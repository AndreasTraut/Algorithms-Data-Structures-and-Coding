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J:\Meine Daten\GitHub\Algorithms-Data-Structures-and-Coding\Excel_Example\"/>
    </mc:Choice>
  </mc:AlternateContent>
  <xr:revisionPtr revIDLastSave="0" documentId="13_ncr:1_{27AD32D3-A08F-4524-9475-F397037EBE93}" xr6:coauthVersionLast="46" xr6:coauthVersionMax="46" xr10:uidLastSave="{00000000-0000-0000-0000-000000000000}"/>
  <bookViews>
    <workbookView xWindow="-120" yWindow="-120" windowWidth="25440" windowHeight="15390" tabRatio="842" activeTab="2" xr2:uid="{00000000-000D-0000-FFFF-FFFF00000000}"/>
  </bookViews>
  <sheets>
    <sheet name="configuration" sheetId="2" r:id="rId1"/>
    <sheet name="Clients" sheetId="11" r:id="rId2"/>
    <sheet name="Orders" sheetId="4" r:id="rId3"/>
    <sheet name="OrdersStatistics" sheetId="16" r:id="rId4"/>
    <sheet name="OrderBasketItems-ToDo" sheetId="14" r:id="rId5"/>
    <sheet name="QualityCheck-Items NOK" sheetId="13" r:id="rId6"/>
    <sheet name="Delivery-ToDo" sheetId="15" r:id="rId7"/>
  </sheets>
  <functionGroups builtInGroupCount="19"/>
  <definedNames>
    <definedName name="_xlnm._FilterDatabase" localSheetId="2" hidden="1">Orders!$A$4:$U$1001</definedName>
    <definedName name="color_code">configuration!$T$7:$U$14</definedName>
  </definedNames>
  <calcPr calcId="191029"/>
  <pivotCaches>
    <pivotCache cacheId="552" r:id="rId8"/>
    <pivotCache cacheId="56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4" l="1"/>
  <c r="R6" i="4"/>
  <c r="R15" i="4"/>
  <c r="R16" i="4"/>
  <c r="R17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E233" i="4"/>
  <c r="AE234" i="4"/>
  <c r="AE235" i="4"/>
  <c r="AE236" i="4"/>
  <c r="AE237" i="4"/>
  <c r="AE238" i="4"/>
  <c r="AE239" i="4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E264" i="4"/>
  <c r="AE265" i="4"/>
  <c r="AE266" i="4"/>
  <c r="AE267" i="4"/>
  <c r="AE268" i="4"/>
  <c r="AE269" i="4"/>
  <c r="AE270" i="4"/>
  <c r="AE271" i="4"/>
  <c r="AE272" i="4"/>
  <c r="AE273" i="4"/>
  <c r="AE274" i="4"/>
  <c r="AE275" i="4"/>
  <c r="AE276" i="4"/>
  <c r="AE277" i="4"/>
  <c r="AE278" i="4"/>
  <c r="AE279" i="4"/>
  <c r="AE280" i="4"/>
  <c r="AE281" i="4"/>
  <c r="AE282" i="4"/>
  <c r="AE283" i="4"/>
  <c r="AE284" i="4"/>
  <c r="AE285" i="4"/>
  <c r="AE286" i="4"/>
  <c r="AE287" i="4"/>
  <c r="AE288" i="4"/>
  <c r="AE289" i="4"/>
  <c r="AE290" i="4"/>
  <c r="AE291" i="4"/>
  <c r="AE292" i="4"/>
  <c r="AE293" i="4"/>
  <c r="AE294" i="4"/>
  <c r="AE295" i="4"/>
  <c r="AE296" i="4"/>
  <c r="AE297" i="4"/>
  <c r="AE298" i="4"/>
  <c r="AE299" i="4"/>
  <c r="AE300" i="4"/>
  <c r="AE301" i="4"/>
  <c r="AE302" i="4"/>
  <c r="AE303" i="4"/>
  <c r="AE304" i="4"/>
  <c r="AE305" i="4"/>
  <c r="AE306" i="4"/>
  <c r="AE307" i="4"/>
  <c r="AE308" i="4"/>
  <c r="AE309" i="4"/>
  <c r="AE310" i="4"/>
  <c r="AE311" i="4"/>
  <c r="AE312" i="4"/>
  <c r="AE313" i="4"/>
  <c r="AE314" i="4"/>
  <c r="AE315" i="4"/>
  <c r="AE316" i="4"/>
  <c r="AE317" i="4"/>
  <c r="AE318" i="4"/>
  <c r="AE319" i="4"/>
  <c r="AE320" i="4"/>
  <c r="AE321" i="4"/>
  <c r="AE322" i="4"/>
  <c r="AE323" i="4"/>
  <c r="AE324" i="4"/>
  <c r="AE325" i="4"/>
  <c r="AE326" i="4"/>
  <c r="AE327" i="4"/>
  <c r="AE328" i="4"/>
  <c r="AE329" i="4"/>
  <c r="AE330" i="4"/>
  <c r="AE331" i="4"/>
  <c r="AE332" i="4"/>
  <c r="AE333" i="4"/>
  <c r="AE334" i="4"/>
  <c r="AE335" i="4"/>
  <c r="AE336" i="4"/>
  <c r="AE337" i="4"/>
  <c r="AE338" i="4"/>
  <c r="AE339" i="4"/>
  <c r="AE340" i="4"/>
  <c r="AE341" i="4"/>
  <c r="AE342" i="4"/>
  <c r="AE343" i="4"/>
  <c r="AE344" i="4"/>
  <c r="AE345" i="4"/>
  <c r="AE346" i="4"/>
  <c r="AE347" i="4"/>
  <c r="AE348" i="4"/>
  <c r="AE349" i="4"/>
  <c r="AE350" i="4"/>
  <c r="AE351" i="4"/>
  <c r="AE352" i="4"/>
  <c r="AE353" i="4"/>
  <c r="AE354" i="4"/>
  <c r="AE355" i="4"/>
  <c r="AE356" i="4"/>
  <c r="AE357" i="4"/>
  <c r="AE358" i="4"/>
  <c r="AE359" i="4"/>
  <c r="AE360" i="4"/>
  <c r="AE361" i="4"/>
  <c r="AE362" i="4"/>
  <c r="AE363" i="4"/>
  <c r="AE364" i="4"/>
  <c r="AE365" i="4"/>
  <c r="AE366" i="4"/>
  <c r="AE367" i="4"/>
  <c r="AE368" i="4"/>
  <c r="AE369" i="4"/>
  <c r="AE370" i="4"/>
  <c r="AE371" i="4"/>
  <c r="AE372" i="4"/>
  <c r="AE373" i="4"/>
  <c r="AE374" i="4"/>
  <c r="AE375" i="4"/>
  <c r="AE376" i="4"/>
  <c r="AE377" i="4"/>
  <c r="AE378" i="4"/>
  <c r="AE379" i="4"/>
  <c r="AE380" i="4"/>
  <c r="AE381" i="4"/>
  <c r="AE382" i="4"/>
  <c r="AE383" i="4"/>
  <c r="AE384" i="4"/>
  <c r="AE385" i="4"/>
  <c r="AE386" i="4"/>
  <c r="AE387" i="4"/>
  <c r="AE388" i="4"/>
  <c r="AE389" i="4"/>
  <c r="AE390" i="4"/>
  <c r="AE391" i="4"/>
  <c r="AE392" i="4"/>
  <c r="AE393" i="4"/>
  <c r="AE394" i="4"/>
  <c r="AE395" i="4"/>
  <c r="AE396" i="4"/>
  <c r="AE397" i="4"/>
  <c r="AE398" i="4"/>
  <c r="AE399" i="4"/>
  <c r="AE400" i="4"/>
  <c r="AE401" i="4"/>
  <c r="AE402" i="4"/>
  <c r="AE403" i="4"/>
  <c r="AE404" i="4"/>
  <c r="AE405" i="4"/>
  <c r="AE406" i="4"/>
  <c r="AE407" i="4"/>
  <c r="AE408" i="4"/>
  <c r="AE409" i="4"/>
  <c r="AE410" i="4"/>
  <c r="AE411" i="4"/>
  <c r="AE412" i="4"/>
  <c r="AE413" i="4"/>
  <c r="AE414" i="4"/>
  <c r="AE415" i="4"/>
  <c r="AE416" i="4"/>
  <c r="AE417" i="4"/>
  <c r="AE418" i="4"/>
  <c r="AE419" i="4"/>
  <c r="AE420" i="4"/>
  <c r="AE421" i="4"/>
  <c r="AE422" i="4"/>
  <c r="AE423" i="4"/>
  <c r="AE424" i="4"/>
  <c r="AE425" i="4"/>
  <c r="AE426" i="4"/>
  <c r="AE427" i="4"/>
  <c r="AE428" i="4"/>
  <c r="AE429" i="4"/>
  <c r="AE430" i="4"/>
  <c r="AE431" i="4"/>
  <c r="AE432" i="4"/>
  <c r="AE433" i="4"/>
  <c r="AE434" i="4"/>
  <c r="AE435" i="4"/>
  <c r="AE436" i="4"/>
  <c r="AE437" i="4"/>
  <c r="AE438" i="4"/>
  <c r="AE439" i="4"/>
  <c r="AE440" i="4"/>
  <c r="AE441" i="4"/>
  <c r="AE442" i="4"/>
  <c r="AE443" i="4"/>
  <c r="AE444" i="4"/>
  <c r="AE445" i="4"/>
  <c r="AE446" i="4"/>
  <c r="AE447" i="4"/>
  <c r="AE448" i="4"/>
  <c r="AE449" i="4"/>
  <c r="AE450" i="4"/>
  <c r="AE451" i="4"/>
  <c r="AE452" i="4"/>
  <c r="AE453" i="4"/>
  <c r="AE454" i="4"/>
  <c r="AE455" i="4"/>
  <c r="AE456" i="4"/>
  <c r="AE457" i="4"/>
  <c r="AE458" i="4"/>
  <c r="AE459" i="4"/>
  <c r="AE460" i="4"/>
  <c r="AE461" i="4"/>
  <c r="AE462" i="4"/>
  <c r="AE463" i="4"/>
  <c r="AE464" i="4"/>
  <c r="AE465" i="4"/>
  <c r="AE466" i="4"/>
  <c r="AE467" i="4"/>
  <c r="AE468" i="4"/>
  <c r="AE469" i="4"/>
  <c r="AE470" i="4"/>
  <c r="AE471" i="4"/>
  <c r="AE472" i="4"/>
  <c r="AE473" i="4"/>
  <c r="AE474" i="4"/>
  <c r="AE475" i="4"/>
  <c r="AE476" i="4"/>
  <c r="AE477" i="4"/>
  <c r="AE478" i="4"/>
  <c r="AE479" i="4"/>
  <c r="AE480" i="4"/>
  <c r="AE481" i="4"/>
  <c r="AE482" i="4"/>
  <c r="AE483" i="4"/>
  <c r="AE484" i="4"/>
  <c r="AE485" i="4"/>
  <c r="AE486" i="4"/>
  <c r="AE487" i="4"/>
  <c r="AE488" i="4"/>
  <c r="AE489" i="4"/>
  <c r="AE490" i="4"/>
  <c r="AE491" i="4"/>
  <c r="AE492" i="4"/>
  <c r="AE493" i="4"/>
  <c r="AE494" i="4"/>
  <c r="AE495" i="4"/>
  <c r="AE496" i="4"/>
  <c r="AE497" i="4"/>
  <c r="AE498" i="4"/>
  <c r="AE499" i="4"/>
  <c r="AE500" i="4"/>
  <c r="AE501" i="4"/>
  <c r="AE502" i="4"/>
  <c r="AE503" i="4"/>
  <c r="AE504" i="4"/>
  <c r="AE505" i="4"/>
  <c r="AE506" i="4"/>
  <c r="AE507" i="4"/>
  <c r="AE508" i="4"/>
  <c r="AE509" i="4"/>
  <c r="AE510" i="4"/>
  <c r="AE511" i="4"/>
  <c r="AE512" i="4"/>
  <c r="AE513" i="4"/>
  <c r="AE514" i="4"/>
  <c r="AE515" i="4"/>
  <c r="AE516" i="4"/>
  <c r="AE517" i="4"/>
  <c r="AE518" i="4"/>
  <c r="AE519" i="4"/>
  <c r="AE520" i="4"/>
  <c r="AE521" i="4"/>
  <c r="AE522" i="4"/>
  <c r="AE523" i="4"/>
  <c r="AE524" i="4"/>
  <c r="AE525" i="4"/>
  <c r="AE526" i="4"/>
  <c r="AE527" i="4"/>
  <c r="AE528" i="4"/>
  <c r="AE529" i="4"/>
  <c r="AE530" i="4"/>
  <c r="AE531" i="4"/>
  <c r="AE532" i="4"/>
  <c r="AE533" i="4"/>
  <c r="AE534" i="4"/>
  <c r="AE535" i="4"/>
  <c r="AE536" i="4"/>
  <c r="AE537" i="4"/>
  <c r="AE538" i="4"/>
  <c r="AE539" i="4"/>
  <c r="AE540" i="4"/>
  <c r="AE541" i="4"/>
  <c r="AE542" i="4"/>
  <c r="AE543" i="4"/>
  <c r="AE544" i="4"/>
  <c r="AE545" i="4"/>
  <c r="AE546" i="4"/>
  <c r="AE547" i="4"/>
  <c r="AE548" i="4"/>
  <c r="AE549" i="4"/>
  <c r="AE550" i="4"/>
  <c r="AE551" i="4"/>
  <c r="AE552" i="4"/>
  <c r="AE553" i="4"/>
  <c r="AE554" i="4"/>
  <c r="AE555" i="4"/>
  <c r="AE556" i="4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AE575" i="4"/>
  <c r="AE576" i="4"/>
  <c r="AE577" i="4"/>
  <c r="AE578" i="4"/>
  <c r="AE579" i="4"/>
  <c r="AE580" i="4"/>
  <c r="AE581" i="4"/>
  <c r="AE582" i="4"/>
  <c r="AE583" i="4"/>
  <c r="AE584" i="4"/>
  <c r="AE585" i="4"/>
  <c r="AE586" i="4"/>
  <c r="AE587" i="4"/>
  <c r="AE588" i="4"/>
  <c r="AE589" i="4"/>
  <c r="AE590" i="4"/>
  <c r="AE591" i="4"/>
  <c r="AE592" i="4"/>
  <c r="AE593" i="4"/>
  <c r="AE594" i="4"/>
  <c r="AE595" i="4"/>
  <c r="AE596" i="4"/>
  <c r="AE597" i="4"/>
  <c r="AE598" i="4"/>
  <c r="AE599" i="4"/>
  <c r="AE600" i="4"/>
  <c r="AE601" i="4"/>
  <c r="AE602" i="4"/>
  <c r="AE603" i="4"/>
  <c r="AE604" i="4"/>
  <c r="AE605" i="4"/>
  <c r="AE606" i="4"/>
  <c r="AE607" i="4"/>
  <c r="AE608" i="4"/>
  <c r="AE609" i="4"/>
  <c r="AE610" i="4"/>
  <c r="AE611" i="4"/>
  <c r="AE612" i="4"/>
  <c r="AE613" i="4"/>
  <c r="AE614" i="4"/>
  <c r="AE615" i="4"/>
  <c r="AE616" i="4"/>
  <c r="AE617" i="4"/>
  <c r="AE618" i="4"/>
  <c r="AE619" i="4"/>
  <c r="AE620" i="4"/>
  <c r="AE621" i="4"/>
  <c r="AE622" i="4"/>
  <c r="AE623" i="4"/>
  <c r="AE624" i="4"/>
  <c r="AE625" i="4"/>
  <c r="AE626" i="4"/>
  <c r="AE627" i="4"/>
  <c r="AE628" i="4"/>
  <c r="AE629" i="4"/>
  <c r="AE630" i="4"/>
  <c r="AE631" i="4"/>
  <c r="AE632" i="4"/>
  <c r="AE633" i="4"/>
  <c r="AE634" i="4"/>
  <c r="AE635" i="4"/>
  <c r="AE636" i="4"/>
  <c r="AE637" i="4"/>
  <c r="AE638" i="4"/>
  <c r="AE639" i="4"/>
  <c r="AE640" i="4"/>
  <c r="AE641" i="4"/>
  <c r="AE642" i="4"/>
  <c r="AE643" i="4"/>
  <c r="AE644" i="4"/>
  <c r="AE645" i="4"/>
  <c r="AE646" i="4"/>
  <c r="AE647" i="4"/>
  <c r="AE648" i="4"/>
  <c r="AE649" i="4"/>
  <c r="AE650" i="4"/>
  <c r="AE651" i="4"/>
  <c r="AE652" i="4"/>
  <c r="AE653" i="4"/>
  <c r="AE654" i="4"/>
  <c r="AE655" i="4"/>
  <c r="AE656" i="4"/>
  <c r="AE657" i="4"/>
  <c r="AE658" i="4"/>
  <c r="AE659" i="4"/>
  <c r="AE660" i="4"/>
  <c r="AE661" i="4"/>
  <c r="AE662" i="4"/>
  <c r="AE663" i="4"/>
  <c r="AE664" i="4"/>
  <c r="AE665" i="4"/>
  <c r="AE666" i="4"/>
  <c r="AE667" i="4"/>
  <c r="AE668" i="4"/>
  <c r="AE669" i="4"/>
  <c r="AE670" i="4"/>
  <c r="AE671" i="4"/>
  <c r="AE672" i="4"/>
  <c r="AE673" i="4"/>
  <c r="AE674" i="4"/>
  <c r="AE675" i="4"/>
  <c r="AE676" i="4"/>
  <c r="AE677" i="4"/>
  <c r="AE678" i="4"/>
  <c r="AE679" i="4"/>
  <c r="AE680" i="4"/>
  <c r="AE681" i="4"/>
  <c r="AE682" i="4"/>
  <c r="AE683" i="4"/>
  <c r="AE684" i="4"/>
  <c r="AE685" i="4"/>
  <c r="AE686" i="4"/>
  <c r="AE687" i="4"/>
  <c r="AE688" i="4"/>
  <c r="AE689" i="4"/>
  <c r="AE690" i="4"/>
  <c r="AE691" i="4"/>
  <c r="AE692" i="4"/>
  <c r="AE693" i="4"/>
  <c r="AE694" i="4"/>
  <c r="AE695" i="4"/>
  <c r="AE696" i="4"/>
  <c r="AE697" i="4"/>
  <c r="AE698" i="4"/>
  <c r="AE699" i="4"/>
  <c r="AE700" i="4"/>
  <c r="AE701" i="4"/>
  <c r="AE702" i="4"/>
  <c r="AE703" i="4"/>
  <c r="AE704" i="4"/>
  <c r="AE705" i="4"/>
  <c r="AE706" i="4"/>
  <c r="AE707" i="4"/>
  <c r="AE708" i="4"/>
  <c r="AE709" i="4"/>
  <c r="AE710" i="4"/>
  <c r="AE711" i="4"/>
  <c r="AE712" i="4"/>
  <c r="AE713" i="4"/>
  <c r="AE714" i="4"/>
  <c r="AE715" i="4"/>
  <c r="AE716" i="4"/>
  <c r="AE717" i="4"/>
  <c r="AE718" i="4"/>
  <c r="AE719" i="4"/>
  <c r="AE720" i="4"/>
  <c r="AE721" i="4"/>
  <c r="AE722" i="4"/>
  <c r="AE723" i="4"/>
  <c r="AE724" i="4"/>
  <c r="AE725" i="4"/>
  <c r="AE726" i="4"/>
  <c r="AE727" i="4"/>
  <c r="AE728" i="4"/>
  <c r="AE729" i="4"/>
  <c r="AE730" i="4"/>
  <c r="AE731" i="4"/>
  <c r="AE732" i="4"/>
  <c r="AE733" i="4"/>
  <c r="AE734" i="4"/>
  <c r="AE735" i="4"/>
  <c r="AE736" i="4"/>
  <c r="AE737" i="4"/>
  <c r="AE738" i="4"/>
  <c r="AE739" i="4"/>
  <c r="AE740" i="4"/>
  <c r="AE741" i="4"/>
  <c r="AE742" i="4"/>
  <c r="AE743" i="4"/>
  <c r="AE744" i="4"/>
  <c r="AE745" i="4"/>
  <c r="AE746" i="4"/>
  <c r="AE747" i="4"/>
  <c r="AE748" i="4"/>
  <c r="AE749" i="4"/>
  <c r="AE750" i="4"/>
  <c r="AE751" i="4"/>
  <c r="AE752" i="4"/>
  <c r="AE753" i="4"/>
  <c r="AE754" i="4"/>
  <c r="AE755" i="4"/>
  <c r="AE756" i="4"/>
  <c r="AE757" i="4"/>
  <c r="AE758" i="4"/>
  <c r="AE759" i="4"/>
  <c r="AE760" i="4"/>
  <c r="AE761" i="4"/>
  <c r="AE762" i="4"/>
  <c r="AE763" i="4"/>
  <c r="AE764" i="4"/>
  <c r="AE765" i="4"/>
  <c r="AE766" i="4"/>
  <c r="AE767" i="4"/>
  <c r="AE768" i="4"/>
  <c r="AE769" i="4"/>
  <c r="AE770" i="4"/>
  <c r="AE771" i="4"/>
  <c r="AE772" i="4"/>
  <c r="AE773" i="4"/>
  <c r="AE774" i="4"/>
  <c r="AE775" i="4"/>
  <c r="AE776" i="4"/>
  <c r="AE777" i="4"/>
  <c r="AE778" i="4"/>
  <c r="AE779" i="4"/>
  <c r="AE780" i="4"/>
  <c r="AE781" i="4"/>
  <c r="AE782" i="4"/>
  <c r="AE783" i="4"/>
  <c r="AE784" i="4"/>
  <c r="AE785" i="4"/>
  <c r="AE786" i="4"/>
  <c r="AE787" i="4"/>
  <c r="AE788" i="4"/>
  <c r="AE789" i="4"/>
  <c r="AE790" i="4"/>
  <c r="AE791" i="4"/>
  <c r="AE792" i="4"/>
  <c r="AE793" i="4"/>
  <c r="AE794" i="4"/>
  <c r="AE795" i="4"/>
  <c r="AE796" i="4"/>
  <c r="AE797" i="4"/>
  <c r="AE798" i="4"/>
  <c r="AE799" i="4"/>
  <c r="AE800" i="4"/>
  <c r="AE801" i="4"/>
  <c r="AE802" i="4"/>
  <c r="AE803" i="4"/>
  <c r="AE804" i="4"/>
  <c r="AE805" i="4"/>
  <c r="AE806" i="4"/>
  <c r="AE807" i="4"/>
  <c r="AE808" i="4"/>
  <c r="AE809" i="4"/>
  <c r="AE810" i="4"/>
  <c r="AE811" i="4"/>
  <c r="AE812" i="4"/>
  <c r="AE813" i="4"/>
  <c r="AE814" i="4"/>
  <c r="AE815" i="4"/>
  <c r="AE816" i="4"/>
  <c r="AE817" i="4"/>
  <c r="AE818" i="4"/>
  <c r="AE819" i="4"/>
  <c r="AE820" i="4"/>
  <c r="AE821" i="4"/>
  <c r="AE822" i="4"/>
  <c r="AE823" i="4"/>
  <c r="AE824" i="4"/>
  <c r="AE825" i="4"/>
  <c r="AE826" i="4"/>
  <c r="AE827" i="4"/>
  <c r="AE828" i="4"/>
  <c r="AE829" i="4"/>
  <c r="AE830" i="4"/>
  <c r="AE831" i="4"/>
  <c r="AE832" i="4"/>
  <c r="AE833" i="4"/>
  <c r="AE834" i="4"/>
  <c r="AE835" i="4"/>
  <c r="AE836" i="4"/>
  <c r="AE837" i="4"/>
  <c r="AE838" i="4"/>
  <c r="AE839" i="4"/>
  <c r="AE840" i="4"/>
  <c r="AE841" i="4"/>
  <c r="AE842" i="4"/>
  <c r="AE843" i="4"/>
  <c r="AE844" i="4"/>
  <c r="AE845" i="4"/>
  <c r="AE846" i="4"/>
  <c r="AE847" i="4"/>
  <c r="AE848" i="4"/>
  <c r="AE849" i="4"/>
  <c r="AE850" i="4"/>
  <c r="AE851" i="4"/>
  <c r="AE852" i="4"/>
  <c r="AE853" i="4"/>
  <c r="AE854" i="4"/>
  <c r="AE855" i="4"/>
  <c r="AE856" i="4"/>
  <c r="AE857" i="4"/>
  <c r="AE858" i="4"/>
  <c r="AE859" i="4"/>
  <c r="AE860" i="4"/>
  <c r="AE861" i="4"/>
  <c r="AE862" i="4"/>
  <c r="AE863" i="4"/>
  <c r="AE864" i="4"/>
  <c r="AE865" i="4"/>
  <c r="AE866" i="4"/>
  <c r="AE867" i="4"/>
  <c r="AE868" i="4"/>
  <c r="AE869" i="4"/>
  <c r="AE870" i="4"/>
  <c r="AE871" i="4"/>
  <c r="AE872" i="4"/>
  <c r="AE873" i="4"/>
  <c r="AE874" i="4"/>
  <c r="AE875" i="4"/>
  <c r="AE876" i="4"/>
  <c r="AE877" i="4"/>
  <c r="AE878" i="4"/>
  <c r="AE879" i="4"/>
  <c r="AE880" i="4"/>
  <c r="AE881" i="4"/>
  <c r="AE882" i="4"/>
  <c r="AE883" i="4"/>
  <c r="AE884" i="4"/>
  <c r="AE885" i="4"/>
  <c r="AE886" i="4"/>
  <c r="AE887" i="4"/>
  <c r="AE888" i="4"/>
  <c r="AE889" i="4"/>
  <c r="AE890" i="4"/>
  <c r="AE891" i="4"/>
  <c r="AE892" i="4"/>
  <c r="AE893" i="4"/>
  <c r="AE894" i="4"/>
  <c r="AE895" i="4"/>
  <c r="AE896" i="4"/>
  <c r="AE897" i="4"/>
  <c r="AE898" i="4"/>
  <c r="AE899" i="4"/>
  <c r="AE900" i="4"/>
  <c r="AE901" i="4"/>
  <c r="AE902" i="4"/>
  <c r="AE903" i="4"/>
  <c r="AE904" i="4"/>
  <c r="AE905" i="4"/>
  <c r="AE906" i="4"/>
  <c r="AE907" i="4"/>
  <c r="AE908" i="4"/>
  <c r="AE909" i="4"/>
  <c r="AE910" i="4"/>
  <c r="AE911" i="4"/>
  <c r="AE912" i="4"/>
  <c r="AE913" i="4"/>
  <c r="AE914" i="4"/>
  <c r="AE915" i="4"/>
  <c r="AE916" i="4"/>
  <c r="AE917" i="4"/>
  <c r="AE918" i="4"/>
  <c r="AE919" i="4"/>
  <c r="AE920" i="4"/>
  <c r="AE921" i="4"/>
  <c r="AE922" i="4"/>
  <c r="AE923" i="4"/>
  <c r="AE924" i="4"/>
  <c r="AE925" i="4"/>
  <c r="AE926" i="4"/>
  <c r="AE927" i="4"/>
  <c r="AE928" i="4"/>
  <c r="AE929" i="4"/>
  <c r="AE930" i="4"/>
  <c r="AE931" i="4"/>
  <c r="AE932" i="4"/>
  <c r="AE933" i="4"/>
  <c r="AE934" i="4"/>
  <c r="AE935" i="4"/>
  <c r="AE936" i="4"/>
  <c r="AE937" i="4"/>
  <c r="AE938" i="4"/>
  <c r="AE939" i="4"/>
  <c r="AE940" i="4"/>
  <c r="AE941" i="4"/>
  <c r="AE942" i="4"/>
  <c r="AE943" i="4"/>
  <c r="AE944" i="4"/>
  <c r="AE945" i="4"/>
  <c r="AE946" i="4"/>
  <c r="AE947" i="4"/>
  <c r="AE948" i="4"/>
  <c r="AE949" i="4"/>
  <c r="AE950" i="4"/>
  <c r="AE951" i="4"/>
  <c r="AE952" i="4"/>
  <c r="AE953" i="4"/>
  <c r="AE954" i="4"/>
  <c r="AE955" i="4"/>
  <c r="AE956" i="4"/>
  <c r="AE957" i="4"/>
  <c r="AE958" i="4"/>
  <c r="AE959" i="4"/>
  <c r="AE960" i="4"/>
  <c r="AE961" i="4"/>
  <c r="AE962" i="4"/>
  <c r="AE963" i="4"/>
  <c r="AE964" i="4"/>
  <c r="AE965" i="4"/>
  <c r="AE966" i="4"/>
  <c r="AE967" i="4"/>
  <c r="AE968" i="4"/>
  <c r="AE969" i="4"/>
  <c r="AE970" i="4"/>
  <c r="AE971" i="4"/>
  <c r="AE972" i="4"/>
  <c r="AE973" i="4"/>
  <c r="AE974" i="4"/>
  <c r="AE975" i="4"/>
  <c r="AE976" i="4"/>
  <c r="AE977" i="4"/>
  <c r="AE978" i="4"/>
  <c r="AE979" i="4"/>
  <c r="AE980" i="4"/>
  <c r="AE981" i="4"/>
  <c r="AE982" i="4"/>
  <c r="AE983" i="4"/>
  <c r="AE984" i="4"/>
  <c r="AE985" i="4"/>
  <c r="AE986" i="4"/>
  <c r="AE987" i="4"/>
  <c r="AE988" i="4"/>
  <c r="AE989" i="4"/>
  <c r="AE990" i="4"/>
  <c r="AE991" i="4"/>
  <c r="AE992" i="4"/>
  <c r="AE993" i="4"/>
  <c r="AE994" i="4"/>
  <c r="AE995" i="4"/>
  <c r="AE996" i="4"/>
  <c r="AE997" i="4"/>
  <c r="AE998" i="4"/>
  <c r="AE999" i="4"/>
  <c r="AE1000" i="4"/>
  <c r="AE1001" i="4"/>
  <c r="AE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1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4" i="4"/>
  <c r="Z505" i="4"/>
  <c r="Z506" i="4"/>
  <c r="Z507" i="4"/>
  <c r="Z508" i="4"/>
  <c r="Z509" i="4"/>
  <c r="Z510" i="4"/>
  <c r="Z511" i="4"/>
  <c r="Z512" i="4"/>
  <c r="Z513" i="4"/>
  <c r="Z514" i="4"/>
  <c r="Z515" i="4"/>
  <c r="Z516" i="4"/>
  <c r="Z517" i="4"/>
  <c r="Z518" i="4"/>
  <c r="Z519" i="4"/>
  <c r="Z520" i="4"/>
  <c r="Z521" i="4"/>
  <c r="Z522" i="4"/>
  <c r="Z523" i="4"/>
  <c r="Z524" i="4"/>
  <c r="Z525" i="4"/>
  <c r="Z526" i="4"/>
  <c r="Z527" i="4"/>
  <c r="Z528" i="4"/>
  <c r="Z529" i="4"/>
  <c r="Z530" i="4"/>
  <c r="Z531" i="4"/>
  <c r="Z532" i="4"/>
  <c r="Z533" i="4"/>
  <c r="Z534" i="4"/>
  <c r="Z535" i="4"/>
  <c r="Z536" i="4"/>
  <c r="Z537" i="4"/>
  <c r="Z538" i="4"/>
  <c r="Z539" i="4"/>
  <c r="Z540" i="4"/>
  <c r="Z541" i="4"/>
  <c r="Z542" i="4"/>
  <c r="Z543" i="4"/>
  <c r="Z544" i="4"/>
  <c r="Z545" i="4"/>
  <c r="Z546" i="4"/>
  <c r="Z547" i="4"/>
  <c r="Z548" i="4"/>
  <c r="Z549" i="4"/>
  <c r="Z550" i="4"/>
  <c r="Z551" i="4"/>
  <c r="Z552" i="4"/>
  <c r="Z553" i="4"/>
  <c r="Z554" i="4"/>
  <c r="Z555" i="4"/>
  <c r="Z556" i="4"/>
  <c r="Z557" i="4"/>
  <c r="Z558" i="4"/>
  <c r="Z559" i="4"/>
  <c r="Z560" i="4"/>
  <c r="Z561" i="4"/>
  <c r="Z562" i="4"/>
  <c r="Z563" i="4"/>
  <c r="Z564" i="4"/>
  <c r="Z565" i="4"/>
  <c r="Z566" i="4"/>
  <c r="Z567" i="4"/>
  <c r="Z568" i="4"/>
  <c r="Z569" i="4"/>
  <c r="Z570" i="4"/>
  <c r="Z571" i="4"/>
  <c r="Z572" i="4"/>
  <c r="Z573" i="4"/>
  <c r="Z574" i="4"/>
  <c r="Z575" i="4"/>
  <c r="Z576" i="4"/>
  <c r="Z577" i="4"/>
  <c r="Z578" i="4"/>
  <c r="Z579" i="4"/>
  <c r="Z580" i="4"/>
  <c r="Z581" i="4"/>
  <c r="Z582" i="4"/>
  <c r="Z583" i="4"/>
  <c r="Z584" i="4"/>
  <c r="Z585" i="4"/>
  <c r="Z586" i="4"/>
  <c r="Z587" i="4"/>
  <c r="Z588" i="4"/>
  <c r="Z589" i="4"/>
  <c r="Z590" i="4"/>
  <c r="Z591" i="4"/>
  <c r="Z592" i="4"/>
  <c r="Z593" i="4"/>
  <c r="Z594" i="4"/>
  <c r="Z595" i="4"/>
  <c r="Z596" i="4"/>
  <c r="Z597" i="4"/>
  <c r="Z598" i="4"/>
  <c r="Z599" i="4"/>
  <c r="Z600" i="4"/>
  <c r="Z601" i="4"/>
  <c r="Z602" i="4"/>
  <c r="Z603" i="4"/>
  <c r="Z604" i="4"/>
  <c r="Z605" i="4"/>
  <c r="Z606" i="4"/>
  <c r="Z607" i="4"/>
  <c r="Z608" i="4"/>
  <c r="Z609" i="4"/>
  <c r="Z610" i="4"/>
  <c r="Z611" i="4"/>
  <c r="Z612" i="4"/>
  <c r="Z613" i="4"/>
  <c r="Z614" i="4"/>
  <c r="Z615" i="4"/>
  <c r="Z616" i="4"/>
  <c r="Z617" i="4"/>
  <c r="Z618" i="4"/>
  <c r="Z619" i="4"/>
  <c r="Z620" i="4"/>
  <c r="Z621" i="4"/>
  <c r="Z622" i="4"/>
  <c r="Z623" i="4"/>
  <c r="Z624" i="4"/>
  <c r="Z625" i="4"/>
  <c r="Z626" i="4"/>
  <c r="Z627" i="4"/>
  <c r="Z628" i="4"/>
  <c r="Z629" i="4"/>
  <c r="Z630" i="4"/>
  <c r="Z631" i="4"/>
  <c r="Z632" i="4"/>
  <c r="Z633" i="4"/>
  <c r="Z634" i="4"/>
  <c r="Z635" i="4"/>
  <c r="Z636" i="4"/>
  <c r="Z637" i="4"/>
  <c r="Z638" i="4"/>
  <c r="Z639" i="4"/>
  <c r="Z640" i="4"/>
  <c r="Z641" i="4"/>
  <c r="Z642" i="4"/>
  <c r="Z643" i="4"/>
  <c r="Z644" i="4"/>
  <c r="Z645" i="4"/>
  <c r="Z646" i="4"/>
  <c r="Z647" i="4"/>
  <c r="Z648" i="4"/>
  <c r="Z649" i="4"/>
  <c r="Z650" i="4"/>
  <c r="Z651" i="4"/>
  <c r="Z652" i="4"/>
  <c r="Z653" i="4"/>
  <c r="Z654" i="4"/>
  <c r="Z655" i="4"/>
  <c r="Z656" i="4"/>
  <c r="Z657" i="4"/>
  <c r="Z658" i="4"/>
  <c r="Z659" i="4"/>
  <c r="Z660" i="4"/>
  <c r="Z661" i="4"/>
  <c r="Z662" i="4"/>
  <c r="Z663" i="4"/>
  <c r="Z664" i="4"/>
  <c r="Z665" i="4"/>
  <c r="Z666" i="4"/>
  <c r="Z667" i="4"/>
  <c r="Z668" i="4"/>
  <c r="Z669" i="4"/>
  <c r="Z670" i="4"/>
  <c r="Z671" i="4"/>
  <c r="Z672" i="4"/>
  <c r="Z673" i="4"/>
  <c r="Z674" i="4"/>
  <c r="Z675" i="4"/>
  <c r="Z676" i="4"/>
  <c r="Z677" i="4"/>
  <c r="Z678" i="4"/>
  <c r="Z679" i="4"/>
  <c r="Z680" i="4"/>
  <c r="Z681" i="4"/>
  <c r="Z682" i="4"/>
  <c r="Z683" i="4"/>
  <c r="Z684" i="4"/>
  <c r="Z685" i="4"/>
  <c r="Z686" i="4"/>
  <c r="Z687" i="4"/>
  <c r="Z688" i="4"/>
  <c r="Z689" i="4"/>
  <c r="Z690" i="4"/>
  <c r="Z691" i="4"/>
  <c r="Z692" i="4"/>
  <c r="Z693" i="4"/>
  <c r="Z694" i="4"/>
  <c r="Z695" i="4"/>
  <c r="Z696" i="4"/>
  <c r="Z697" i="4"/>
  <c r="Z698" i="4"/>
  <c r="Z699" i="4"/>
  <c r="Z700" i="4"/>
  <c r="Z701" i="4"/>
  <c r="Z702" i="4"/>
  <c r="Z703" i="4"/>
  <c r="Z704" i="4"/>
  <c r="Z705" i="4"/>
  <c r="Z706" i="4"/>
  <c r="Z707" i="4"/>
  <c r="Z708" i="4"/>
  <c r="Z709" i="4"/>
  <c r="Z710" i="4"/>
  <c r="Z711" i="4"/>
  <c r="Z712" i="4"/>
  <c r="Z713" i="4"/>
  <c r="Z714" i="4"/>
  <c r="Z715" i="4"/>
  <c r="Z716" i="4"/>
  <c r="Z717" i="4"/>
  <c r="Z718" i="4"/>
  <c r="Z719" i="4"/>
  <c r="Z720" i="4"/>
  <c r="Z721" i="4"/>
  <c r="Z722" i="4"/>
  <c r="Z723" i="4"/>
  <c r="Z724" i="4"/>
  <c r="Z725" i="4"/>
  <c r="Z726" i="4"/>
  <c r="Z727" i="4"/>
  <c r="Z728" i="4"/>
  <c r="Z729" i="4"/>
  <c r="Z730" i="4"/>
  <c r="Z731" i="4"/>
  <c r="Z732" i="4"/>
  <c r="Z733" i="4"/>
  <c r="Z734" i="4"/>
  <c r="Z735" i="4"/>
  <c r="Z736" i="4"/>
  <c r="Z737" i="4"/>
  <c r="Z738" i="4"/>
  <c r="Z739" i="4"/>
  <c r="Z740" i="4"/>
  <c r="Z741" i="4"/>
  <c r="Z742" i="4"/>
  <c r="Z743" i="4"/>
  <c r="Z744" i="4"/>
  <c r="Z745" i="4"/>
  <c r="Z746" i="4"/>
  <c r="Z747" i="4"/>
  <c r="Z748" i="4"/>
  <c r="Z749" i="4"/>
  <c r="Z750" i="4"/>
  <c r="Z751" i="4"/>
  <c r="Z752" i="4"/>
  <c r="Z753" i="4"/>
  <c r="Z754" i="4"/>
  <c r="Z755" i="4"/>
  <c r="Z756" i="4"/>
  <c r="Z757" i="4"/>
  <c r="Z758" i="4"/>
  <c r="Z759" i="4"/>
  <c r="Z760" i="4"/>
  <c r="Z761" i="4"/>
  <c r="Z762" i="4"/>
  <c r="Z763" i="4"/>
  <c r="Z764" i="4"/>
  <c r="Z765" i="4"/>
  <c r="Z766" i="4"/>
  <c r="Z767" i="4"/>
  <c r="Z768" i="4"/>
  <c r="Z769" i="4"/>
  <c r="Z770" i="4"/>
  <c r="Z771" i="4"/>
  <c r="Z772" i="4"/>
  <c r="Z773" i="4"/>
  <c r="Z774" i="4"/>
  <c r="Z775" i="4"/>
  <c r="Z776" i="4"/>
  <c r="Z777" i="4"/>
  <c r="Z778" i="4"/>
  <c r="Z779" i="4"/>
  <c r="Z780" i="4"/>
  <c r="Z781" i="4"/>
  <c r="Z782" i="4"/>
  <c r="Z783" i="4"/>
  <c r="Z784" i="4"/>
  <c r="Z785" i="4"/>
  <c r="Z786" i="4"/>
  <c r="Z787" i="4"/>
  <c r="Z788" i="4"/>
  <c r="Z789" i="4"/>
  <c r="Z790" i="4"/>
  <c r="Z791" i="4"/>
  <c r="Z792" i="4"/>
  <c r="Z793" i="4"/>
  <c r="Z794" i="4"/>
  <c r="Z795" i="4"/>
  <c r="Z796" i="4"/>
  <c r="Z797" i="4"/>
  <c r="Z798" i="4"/>
  <c r="Z799" i="4"/>
  <c r="Z800" i="4"/>
  <c r="Z801" i="4"/>
  <c r="Z802" i="4"/>
  <c r="Z803" i="4"/>
  <c r="Z804" i="4"/>
  <c r="Z805" i="4"/>
  <c r="Z806" i="4"/>
  <c r="Z807" i="4"/>
  <c r="Z808" i="4"/>
  <c r="Z809" i="4"/>
  <c r="Z810" i="4"/>
  <c r="Z811" i="4"/>
  <c r="Z812" i="4"/>
  <c r="Z813" i="4"/>
  <c r="Z814" i="4"/>
  <c r="Z815" i="4"/>
  <c r="Z816" i="4"/>
  <c r="Z817" i="4"/>
  <c r="Z818" i="4"/>
  <c r="Z819" i="4"/>
  <c r="Z820" i="4"/>
  <c r="Z821" i="4"/>
  <c r="Z822" i="4"/>
  <c r="Z823" i="4"/>
  <c r="Z824" i="4"/>
  <c r="Z825" i="4"/>
  <c r="Z826" i="4"/>
  <c r="Z827" i="4"/>
  <c r="Z828" i="4"/>
  <c r="Z829" i="4"/>
  <c r="Z830" i="4"/>
  <c r="Z831" i="4"/>
  <c r="Z832" i="4"/>
  <c r="Z833" i="4"/>
  <c r="Z834" i="4"/>
  <c r="Z835" i="4"/>
  <c r="Z836" i="4"/>
  <c r="Z837" i="4"/>
  <c r="Z838" i="4"/>
  <c r="Z839" i="4"/>
  <c r="Z840" i="4"/>
  <c r="Z841" i="4"/>
  <c r="Z842" i="4"/>
  <c r="Z843" i="4"/>
  <c r="Z844" i="4"/>
  <c r="Z845" i="4"/>
  <c r="Z846" i="4"/>
  <c r="Z847" i="4"/>
  <c r="Z848" i="4"/>
  <c r="Z849" i="4"/>
  <c r="Z850" i="4"/>
  <c r="Z851" i="4"/>
  <c r="Z852" i="4"/>
  <c r="Z853" i="4"/>
  <c r="Z854" i="4"/>
  <c r="Z855" i="4"/>
  <c r="Z856" i="4"/>
  <c r="Z857" i="4"/>
  <c r="Z858" i="4"/>
  <c r="Z859" i="4"/>
  <c r="Z860" i="4"/>
  <c r="Z861" i="4"/>
  <c r="Z862" i="4"/>
  <c r="Z863" i="4"/>
  <c r="Z864" i="4"/>
  <c r="Z865" i="4"/>
  <c r="Z866" i="4"/>
  <c r="Z867" i="4"/>
  <c r="Z868" i="4"/>
  <c r="Z869" i="4"/>
  <c r="Z870" i="4"/>
  <c r="Z871" i="4"/>
  <c r="Z872" i="4"/>
  <c r="Z873" i="4"/>
  <c r="Z874" i="4"/>
  <c r="Z875" i="4"/>
  <c r="Z876" i="4"/>
  <c r="Z877" i="4"/>
  <c r="Z878" i="4"/>
  <c r="Z879" i="4"/>
  <c r="Z880" i="4"/>
  <c r="Z881" i="4"/>
  <c r="Z882" i="4"/>
  <c r="Z883" i="4"/>
  <c r="Z884" i="4"/>
  <c r="Z885" i="4"/>
  <c r="Z886" i="4"/>
  <c r="Z887" i="4"/>
  <c r="Z888" i="4"/>
  <c r="Z889" i="4"/>
  <c r="Z890" i="4"/>
  <c r="Z891" i="4"/>
  <c r="Z892" i="4"/>
  <c r="Z893" i="4"/>
  <c r="Z894" i="4"/>
  <c r="Z895" i="4"/>
  <c r="Z896" i="4"/>
  <c r="Z897" i="4"/>
  <c r="Z898" i="4"/>
  <c r="Z899" i="4"/>
  <c r="Z900" i="4"/>
  <c r="Z901" i="4"/>
  <c r="Z902" i="4"/>
  <c r="Z903" i="4"/>
  <c r="Z904" i="4"/>
  <c r="Z905" i="4"/>
  <c r="Z906" i="4"/>
  <c r="Z907" i="4"/>
  <c r="Z908" i="4"/>
  <c r="Z909" i="4"/>
  <c r="Z910" i="4"/>
  <c r="Z911" i="4"/>
  <c r="Z912" i="4"/>
  <c r="Z913" i="4"/>
  <c r="Z914" i="4"/>
  <c r="Z915" i="4"/>
  <c r="Z916" i="4"/>
  <c r="Z917" i="4"/>
  <c r="Z918" i="4"/>
  <c r="Z919" i="4"/>
  <c r="Z920" i="4"/>
  <c r="Z921" i="4"/>
  <c r="Z922" i="4"/>
  <c r="Z923" i="4"/>
  <c r="Z924" i="4"/>
  <c r="Z925" i="4"/>
  <c r="Z926" i="4"/>
  <c r="Z927" i="4"/>
  <c r="Z928" i="4"/>
  <c r="Z929" i="4"/>
  <c r="Z930" i="4"/>
  <c r="Z931" i="4"/>
  <c r="Z932" i="4"/>
  <c r="Z933" i="4"/>
  <c r="Z934" i="4"/>
  <c r="Z935" i="4"/>
  <c r="Z936" i="4"/>
  <c r="Z937" i="4"/>
  <c r="Z938" i="4"/>
  <c r="Z939" i="4"/>
  <c r="Z940" i="4"/>
  <c r="Z941" i="4"/>
  <c r="Z942" i="4"/>
  <c r="Z943" i="4"/>
  <c r="Z944" i="4"/>
  <c r="Z945" i="4"/>
  <c r="Z946" i="4"/>
  <c r="Z947" i="4"/>
  <c r="Z948" i="4"/>
  <c r="Z949" i="4"/>
  <c r="Z950" i="4"/>
  <c r="Z951" i="4"/>
  <c r="Z952" i="4"/>
  <c r="Z953" i="4"/>
  <c r="Z954" i="4"/>
  <c r="Z955" i="4"/>
  <c r="Z956" i="4"/>
  <c r="Z957" i="4"/>
  <c r="Z958" i="4"/>
  <c r="Z959" i="4"/>
  <c r="Z960" i="4"/>
  <c r="Z961" i="4"/>
  <c r="Z962" i="4"/>
  <c r="Z963" i="4"/>
  <c r="Z964" i="4"/>
  <c r="Z965" i="4"/>
  <c r="Z966" i="4"/>
  <c r="Z967" i="4"/>
  <c r="Z968" i="4"/>
  <c r="Z969" i="4"/>
  <c r="Z970" i="4"/>
  <c r="Z971" i="4"/>
  <c r="Z972" i="4"/>
  <c r="Z973" i="4"/>
  <c r="Z974" i="4"/>
  <c r="Z975" i="4"/>
  <c r="Z976" i="4"/>
  <c r="Z977" i="4"/>
  <c r="Z978" i="4"/>
  <c r="Z979" i="4"/>
  <c r="Z980" i="4"/>
  <c r="Z981" i="4"/>
  <c r="Z982" i="4"/>
  <c r="Z983" i="4"/>
  <c r="Z984" i="4"/>
  <c r="Z985" i="4"/>
  <c r="Z986" i="4"/>
  <c r="Z987" i="4"/>
  <c r="Z988" i="4"/>
  <c r="Z989" i="4"/>
  <c r="Z990" i="4"/>
  <c r="Z991" i="4"/>
  <c r="Z992" i="4"/>
  <c r="Z993" i="4"/>
  <c r="Z994" i="4"/>
  <c r="Z995" i="4"/>
  <c r="Z996" i="4"/>
  <c r="Z997" i="4"/>
  <c r="Z998" i="4"/>
  <c r="Z999" i="4"/>
  <c r="Z1000" i="4"/>
  <c r="Z1001" i="4"/>
  <c r="Z5" i="4"/>
  <c r="AD4" i="4"/>
  <c r="AD779" i="4" s="1"/>
  <c r="AC4" i="4"/>
  <c r="AC815" i="4" s="1"/>
  <c r="AB4" i="4"/>
  <c r="AB745" i="4" s="1"/>
  <c r="AA4" i="4"/>
  <c r="AA811" i="4" s="1"/>
  <c r="Y4" i="4"/>
  <c r="Y880" i="4" s="1"/>
  <c r="X4" i="4"/>
  <c r="X767" i="4" s="1"/>
  <c r="W4" i="4"/>
  <c r="W877" i="4" s="1"/>
  <c r="V4" i="4"/>
  <c r="V878" i="4" s="1"/>
  <c r="D17" i="4"/>
  <c r="D16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5" i="4"/>
  <c r="D6" i="4"/>
  <c r="D7" i="4"/>
  <c r="D8" i="4"/>
  <c r="D9" i="4"/>
  <c r="D10" i="4"/>
  <c r="D11" i="4"/>
  <c r="D12" i="4"/>
  <c r="D13" i="4"/>
  <c r="D14" i="4"/>
  <c r="D5" i="4"/>
  <c r="H9" i="4"/>
  <c r="M9" i="4"/>
  <c r="R9" i="4"/>
  <c r="H10" i="4"/>
  <c r="M10" i="4"/>
  <c r="R10" i="4"/>
  <c r="H11" i="4"/>
  <c r="M11" i="4"/>
  <c r="R11" i="4"/>
  <c r="H12" i="4"/>
  <c r="M12" i="4"/>
  <c r="R12" i="4"/>
  <c r="H13" i="4"/>
  <c r="M13" i="4"/>
  <c r="R13" i="4"/>
  <c r="H14" i="4"/>
  <c r="M14" i="4"/>
  <c r="R14" i="4"/>
  <c r="H15" i="4"/>
  <c r="M15" i="4"/>
  <c r="H16" i="4"/>
  <c r="M16" i="4"/>
  <c r="H17" i="4"/>
  <c r="M17" i="4"/>
  <c r="H18" i="4"/>
  <c r="M18" i="4"/>
  <c r="R18" i="4"/>
  <c r="H19" i="4"/>
  <c r="M19" i="4"/>
  <c r="R19" i="4"/>
  <c r="H20" i="4"/>
  <c r="M20" i="4"/>
  <c r="R20" i="4"/>
  <c r="H21" i="4"/>
  <c r="M21" i="4"/>
  <c r="R21" i="4"/>
  <c r="H22" i="4"/>
  <c r="M22" i="4"/>
  <c r="R22" i="4"/>
  <c r="H23" i="4"/>
  <c r="M23" i="4"/>
  <c r="R23" i="4"/>
  <c r="H24" i="4"/>
  <c r="M24" i="4"/>
  <c r="R24" i="4"/>
  <c r="H25" i="4"/>
  <c r="M25" i="4"/>
  <c r="R25" i="4"/>
  <c r="H26" i="4"/>
  <c r="M26" i="4"/>
  <c r="R26" i="4"/>
  <c r="H27" i="4"/>
  <c r="M27" i="4"/>
  <c r="R27" i="4"/>
  <c r="H28" i="4"/>
  <c r="M28" i="4"/>
  <c r="R28" i="4"/>
  <c r="H29" i="4"/>
  <c r="M29" i="4"/>
  <c r="R29" i="4"/>
  <c r="H30" i="4"/>
  <c r="M30" i="4"/>
  <c r="R30" i="4"/>
  <c r="H31" i="4"/>
  <c r="M31" i="4"/>
  <c r="R31" i="4"/>
  <c r="H32" i="4"/>
  <c r="M32" i="4"/>
  <c r="R32" i="4"/>
  <c r="H33" i="4"/>
  <c r="M33" i="4"/>
  <c r="R33" i="4"/>
  <c r="H34" i="4"/>
  <c r="M34" i="4"/>
  <c r="R34" i="4"/>
  <c r="H35" i="4"/>
  <c r="M35" i="4"/>
  <c r="R35" i="4"/>
  <c r="H36" i="4"/>
  <c r="M36" i="4"/>
  <c r="R36" i="4"/>
  <c r="H37" i="4"/>
  <c r="M37" i="4"/>
  <c r="R37" i="4"/>
  <c r="H38" i="4"/>
  <c r="M38" i="4"/>
  <c r="R38" i="4"/>
  <c r="H39" i="4"/>
  <c r="M39" i="4"/>
  <c r="R39" i="4"/>
  <c r="H40" i="4"/>
  <c r="M40" i="4"/>
  <c r="R40" i="4"/>
  <c r="H41" i="4"/>
  <c r="M41" i="4"/>
  <c r="R41" i="4"/>
  <c r="H42" i="4"/>
  <c r="M42" i="4"/>
  <c r="R42" i="4"/>
  <c r="H43" i="4"/>
  <c r="M43" i="4"/>
  <c r="R43" i="4"/>
  <c r="H44" i="4"/>
  <c r="M44" i="4"/>
  <c r="R44" i="4"/>
  <c r="H45" i="4"/>
  <c r="M45" i="4"/>
  <c r="R45" i="4"/>
  <c r="H46" i="4"/>
  <c r="M46" i="4"/>
  <c r="R46" i="4"/>
  <c r="H47" i="4"/>
  <c r="M47" i="4"/>
  <c r="R47" i="4"/>
  <c r="H48" i="4"/>
  <c r="M48" i="4"/>
  <c r="R48" i="4"/>
  <c r="H49" i="4"/>
  <c r="M49" i="4"/>
  <c r="R49" i="4"/>
  <c r="H50" i="4"/>
  <c r="M50" i="4"/>
  <c r="R50" i="4"/>
  <c r="H51" i="4"/>
  <c r="M51" i="4"/>
  <c r="R51" i="4"/>
  <c r="H52" i="4"/>
  <c r="M52" i="4"/>
  <c r="R52" i="4"/>
  <c r="H53" i="4"/>
  <c r="M53" i="4"/>
  <c r="R53" i="4"/>
  <c r="H54" i="4"/>
  <c r="M54" i="4"/>
  <c r="R54" i="4"/>
  <c r="H55" i="4"/>
  <c r="M55" i="4"/>
  <c r="R55" i="4"/>
  <c r="H56" i="4"/>
  <c r="M56" i="4"/>
  <c r="R56" i="4"/>
  <c r="H57" i="4"/>
  <c r="M57" i="4"/>
  <c r="R57" i="4"/>
  <c r="H58" i="4"/>
  <c r="M58" i="4"/>
  <c r="R58" i="4"/>
  <c r="H59" i="4"/>
  <c r="M59" i="4"/>
  <c r="R59" i="4"/>
  <c r="H60" i="4"/>
  <c r="M60" i="4"/>
  <c r="R60" i="4"/>
  <c r="H61" i="4"/>
  <c r="M61" i="4"/>
  <c r="R61" i="4"/>
  <c r="H62" i="4"/>
  <c r="M62" i="4"/>
  <c r="R62" i="4"/>
  <c r="H63" i="4"/>
  <c r="M63" i="4"/>
  <c r="R63" i="4"/>
  <c r="H64" i="4"/>
  <c r="M64" i="4"/>
  <c r="R64" i="4"/>
  <c r="H65" i="4"/>
  <c r="M65" i="4"/>
  <c r="R65" i="4"/>
  <c r="H66" i="4"/>
  <c r="M66" i="4"/>
  <c r="R66" i="4"/>
  <c r="H67" i="4"/>
  <c r="M67" i="4"/>
  <c r="R67" i="4"/>
  <c r="H68" i="4"/>
  <c r="M68" i="4"/>
  <c r="R68" i="4"/>
  <c r="H69" i="4"/>
  <c r="M69" i="4"/>
  <c r="R69" i="4"/>
  <c r="H70" i="4"/>
  <c r="M70" i="4"/>
  <c r="R70" i="4"/>
  <c r="H71" i="4"/>
  <c r="M71" i="4"/>
  <c r="R71" i="4"/>
  <c r="H72" i="4"/>
  <c r="M72" i="4"/>
  <c r="R72" i="4"/>
  <c r="H73" i="4"/>
  <c r="M73" i="4"/>
  <c r="R73" i="4"/>
  <c r="H74" i="4"/>
  <c r="M74" i="4"/>
  <c r="R74" i="4"/>
  <c r="H75" i="4"/>
  <c r="M75" i="4"/>
  <c r="R75" i="4"/>
  <c r="H76" i="4"/>
  <c r="M76" i="4"/>
  <c r="R76" i="4"/>
  <c r="H77" i="4"/>
  <c r="M77" i="4"/>
  <c r="R77" i="4"/>
  <c r="H78" i="4"/>
  <c r="M78" i="4"/>
  <c r="R78" i="4"/>
  <c r="H79" i="4"/>
  <c r="M79" i="4"/>
  <c r="R79" i="4"/>
  <c r="H80" i="4"/>
  <c r="M80" i="4"/>
  <c r="R80" i="4"/>
  <c r="H81" i="4"/>
  <c r="M81" i="4"/>
  <c r="R81" i="4"/>
  <c r="H82" i="4"/>
  <c r="M82" i="4"/>
  <c r="R82" i="4"/>
  <c r="H83" i="4"/>
  <c r="M83" i="4"/>
  <c r="R83" i="4"/>
  <c r="H84" i="4"/>
  <c r="M84" i="4"/>
  <c r="R84" i="4"/>
  <c r="H85" i="4"/>
  <c r="M85" i="4"/>
  <c r="R85" i="4"/>
  <c r="H86" i="4"/>
  <c r="M86" i="4"/>
  <c r="R86" i="4"/>
  <c r="H87" i="4"/>
  <c r="M87" i="4"/>
  <c r="R87" i="4"/>
  <c r="H88" i="4"/>
  <c r="M88" i="4"/>
  <c r="R88" i="4"/>
  <c r="H89" i="4"/>
  <c r="M89" i="4"/>
  <c r="R89" i="4"/>
  <c r="H90" i="4"/>
  <c r="M90" i="4"/>
  <c r="R90" i="4"/>
  <c r="H91" i="4"/>
  <c r="M91" i="4"/>
  <c r="R91" i="4"/>
  <c r="H92" i="4"/>
  <c r="M92" i="4"/>
  <c r="R92" i="4"/>
  <c r="H93" i="4"/>
  <c r="M93" i="4"/>
  <c r="R93" i="4"/>
  <c r="H94" i="4"/>
  <c r="M94" i="4"/>
  <c r="R94" i="4"/>
  <c r="H95" i="4"/>
  <c r="M95" i="4"/>
  <c r="R95" i="4"/>
  <c r="H96" i="4"/>
  <c r="M96" i="4"/>
  <c r="R96" i="4"/>
  <c r="H97" i="4"/>
  <c r="M97" i="4"/>
  <c r="R97" i="4"/>
  <c r="H98" i="4"/>
  <c r="M98" i="4"/>
  <c r="R98" i="4"/>
  <c r="H99" i="4"/>
  <c r="M99" i="4"/>
  <c r="R99" i="4"/>
  <c r="H100" i="4"/>
  <c r="M100" i="4"/>
  <c r="R100" i="4"/>
  <c r="H101" i="4"/>
  <c r="M101" i="4"/>
  <c r="R101" i="4"/>
  <c r="H102" i="4"/>
  <c r="M102" i="4"/>
  <c r="R102" i="4"/>
  <c r="H103" i="4"/>
  <c r="M103" i="4"/>
  <c r="R103" i="4"/>
  <c r="H104" i="4"/>
  <c r="M104" i="4"/>
  <c r="R104" i="4"/>
  <c r="H105" i="4"/>
  <c r="M105" i="4"/>
  <c r="R105" i="4"/>
  <c r="H106" i="4"/>
  <c r="M106" i="4"/>
  <c r="R106" i="4"/>
  <c r="H107" i="4"/>
  <c r="M107" i="4"/>
  <c r="R107" i="4"/>
  <c r="H108" i="4"/>
  <c r="M108" i="4"/>
  <c r="R108" i="4"/>
  <c r="H109" i="4"/>
  <c r="M109" i="4"/>
  <c r="R109" i="4"/>
  <c r="H110" i="4"/>
  <c r="M110" i="4"/>
  <c r="R110" i="4"/>
  <c r="H111" i="4"/>
  <c r="M111" i="4"/>
  <c r="R111" i="4"/>
  <c r="H112" i="4"/>
  <c r="M112" i="4"/>
  <c r="R112" i="4"/>
  <c r="H113" i="4"/>
  <c r="M113" i="4"/>
  <c r="R113" i="4"/>
  <c r="H114" i="4"/>
  <c r="M114" i="4"/>
  <c r="R114" i="4"/>
  <c r="H115" i="4"/>
  <c r="M115" i="4"/>
  <c r="R115" i="4"/>
  <c r="H116" i="4"/>
  <c r="M116" i="4"/>
  <c r="R116" i="4"/>
  <c r="H117" i="4"/>
  <c r="M117" i="4"/>
  <c r="R117" i="4"/>
  <c r="H118" i="4"/>
  <c r="M118" i="4"/>
  <c r="R118" i="4"/>
  <c r="H119" i="4"/>
  <c r="M119" i="4"/>
  <c r="R119" i="4"/>
  <c r="H120" i="4"/>
  <c r="M120" i="4"/>
  <c r="R120" i="4"/>
  <c r="H121" i="4"/>
  <c r="M121" i="4"/>
  <c r="R121" i="4"/>
  <c r="H122" i="4"/>
  <c r="M122" i="4"/>
  <c r="R122" i="4"/>
  <c r="H123" i="4"/>
  <c r="M123" i="4"/>
  <c r="R123" i="4"/>
  <c r="H124" i="4"/>
  <c r="M124" i="4"/>
  <c r="R124" i="4"/>
  <c r="H125" i="4"/>
  <c r="M125" i="4"/>
  <c r="R125" i="4"/>
  <c r="H126" i="4"/>
  <c r="M126" i="4"/>
  <c r="R126" i="4"/>
  <c r="H127" i="4"/>
  <c r="M127" i="4"/>
  <c r="R127" i="4"/>
  <c r="H128" i="4"/>
  <c r="M128" i="4"/>
  <c r="R128" i="4"/>
  <c r="H129" i="4"/>
  <c r="M129" i="4"/>
  <c r="R129" i="4"/>
  <c r="H130" i="4"/>
  <c r="M130" i="4"/>
  <c r="R130" i="4"/>
  <c r="H131" i="4"/>
  <c r="M131" i="4"/>
  <c r="R131" i="4"/>
  <c r="H132" i="4"/>
  <c r="M132" i="4"/>
  <c r="R132" i="4"/>
  <c r="H133" i="4"/>
  <c r="M133" i="4"/>
  <c r="R133" i="4"/>
  <c r="H134" i="4"/>
  <c r="M134" i="4"/>
  <c r="R134" i="4"/>
  <c r="H135" i="4"/>
  <c r="M135" i="4"/>
  <c r="R135" i="4"/>
  <c r="H136" i="4"/>
  <c r="M136" i="4"/>
  <c r="R136" i="4"/>
  <c r="H137" i="4"/>
  <c r="M137" i="4"/>
  <c r="R137" i="4"/>
  <c r="H138" i="4"/>
  <c r="M138" i="4"/>
  <c r="R138" i="4"/>
  <c r="H139" i="4"/>
  <c r="M139" i="4"/>
  <c r="R139" i="4"/>
  <c r="H140" i="4"/>
  <c r="M140" i="4"/>
  <c r="R140" i="4"/>
  <c r="H141" i="4"/>
  <c r="M141" i="4"/>
  <c r="R141" i="4"/>
  <c r="H142" i="4"/>
  <c r="M142" i="4"/>
  <c r="R142" i="4"/>
  <c r="H143" i="4"/>
  <c r="M143" i="4"/>
  <c r="R143" i="4"/>
  <c r="H144" i="4"/>
  <c r="M144" i="4"/>
  <c r="R144" i="4"/>
  <c r="H145" i="4"/>
  <c r="M145" i="4"/>
  <c r="R145" i="4"/>
  <c r="H146" i="4"/>
  <c r="M146" i="4"/>
  <c r="R146" i="4"/>
  <c r="H147" i="4"/>
  <c r="M147" i="4"/>
  <c r="R147" i="4"/>
  <c r="H148" i="4"/>
  <c r="M148" i="4"/>
  <c r="R148" i="4"/>
  <c r="H149" i="4"/>
  <c r="M149" i="4"/>
  <c r="R149" i="4"/>
  <c r="H150" i="4"/>
  <c r="M150" i="4"/>
  <c r="R150" i="4"/>
  <c r="H151" i="4"/>
  <c r="M151" i="4"/>
  <c r="R151" i="4"/>
  <c r="H152" i="4"/>
  <c r="M152" i="4"/>
  <c r="R152" i="4"/>
  <c r="H153" i="4"/>
  <c r="M153" i="4"/>
  <c r="R153" i="4"/>
  <c r="H154" i="4"/>
  <c r="M154" i="4"/>
  <c r="R154" i="4"/>
  <c r="H155" i="4"/>
  <c r="M155" i="4"/>
  <c r="R155" i="4"/>
  <c r="H156" i="4"/>
  <c r="M156" i="4"/>
  <c r="R156" i="4"/>
  <c r="H157" i="4"/>
  <c r="M157" i="4"/>
  <c r="R157" i="4"/>
  <c r="H158" i="4"/>
  <c r="M158" i="4"/>
  <c r="R158" i="4"/>
  <c r="H159" i="4"/>
  <c r="M159" i="4"/>
  <c r="R159" i="4"/>
  <c r="H160" i="4"/>
  <c r="M160" i="4"/>
  <c r="R160" i="4"/>
  <c r="H161" i="4"/>
  <c r="M161" i="4"/>
  <c r="R161" i="4"/>
  <c r="H162" i="4"/>
  <c r="M162" i="4"/>
  <c r="R162" i="4"/>
  <c r="H163" i="4"/>
  <c r="M163" i="4"/>
  <c r="R163" i="4"/>
  <c r="H164" i="4"/>
  <c r="M164" i="4"/>
  <c r="R164" i="4"/>
  <c r="H165" i="4"/>
  <c r="M165" i="4"/>
  <c r="R165" i="4"/>
  <c r="H166" i="4"/>
  <c r="M166" i="4"/>
  <c r="R166" i="4"/>
  <c r="H167" i="4"/>
  <c r="M167" i="4"/>
  <c r="R167" i="4"/>
  <c r="H168" i="4"/>
  <c r="M168" i="4"/>
  <c r="R168" i="4"/>
  <c r="H169" i="4"/>
  <c r="M169" i="4"/>
  <c r="R169" i="4"/>
  <c r="H170" i="4"/>
  <c r="M170" i="4"/>
  <c r="R170" i="4"/>
  <c r="H171" i="4"/>
  <c r="M171" i="4"/>
  <c r="R171" i="4"/>
  <c r="H172" i="4"/>
  <c r="M172" i="4"/>
  <c r="R172" i="4"/>
  <c r="H173" i="4"/>
  <c r="M173" i="4"/>
  <c r="R173" i="4"/>
  <c r="H174" i="4"/>
  <c r="M174" i="4"/>
  <c r="R174" i="4"/>
  <c r="H175" i="4"/>
  <c r="M175" i="4"/>
  <c r="R175" i="4"/>
  <c r="H176" i="4"/>
  <c r="M176" i="4"/>
  <c r="R176" i="4"/>
  <c r="H177" i="4"/>
  <c r="M177" i="4"/>
  <c r="R177" i="4"/>
  <c r="H178" i="4"/>
  <c r="M178" i="4"/>
  <c r="R178" i="4"/>
  <c r="H179" i="4"/>
  <c r="M179" i="4"/>
  <c r="R179" i="4"/>
  <c r="H180" i="4"/>
  <c r="M180" i="4"/>
  <c r="R180" i="4"/>
  <c r="H181" i="4"/>
  <c r="M181" i="4"/>
  <c r="R181" i="4"/>
  <c r="H182" i="4"/>
  <c r="M182" i="4"/>
  <c r="R182" i="4"/>
  <c r="H183" i="4"/>
  <c r="M183" i="4"/>
  <c r="R183" i="4"/>
  <c r="H184" i="4"/>
  <c r="M184" i="4"/>
  <c r="R184" i="4"/>
  <c r="H185" i="4"/>
  <c r="M185" i="4"/>
  <c r="R185" i="4"/>
  <c r="H186" i="4"/>
  <c r="M186" i="4"/>
  <c r="R186" i="4"/>
  <c r="H187" i="4"/>
  <c r="M187" i="4"/>
  <c r="R187" i="4"/>
  <c r="H188" i="4"/>
  <c r="M188" i="4"/>
  <c r="R188" i="4"/>
  <c r="H189" i="4"/>
  <c r="M189" i="4"/>
  <c r="R189" i="4"/>
  <c r="H190" i="4"/>
  <c r="M190" i="4"/>
  <c r="R190" i="4"/>
  <c r="H191" i="4"/>
  <c r="M191" i="4"/>
  <c r="R191" i="4"/>
  <c r="H192" i="4"/>
  <c r="M192" i="4"/>
  <c r="R192" i="4"/>
  <c r="H193" i="4"/>
  <c r="M193" i="4"/>
  <c r="R193" i="4"/>
  <c r="H194" i="4"/>
  <c r="M194" i="4"/>
  <c r="R194" i="4"/>
  <c r="H195" i="4"/>
  <c r="M195" i="4"/>
  <c r="R195" i="4"/>
  <c r="H196" i="4"/>
  <c r="M196" i="4"/>
  <c r="R196" i="4"/>
  <c r="H197" i="4"/>
  <c r="M197" i="4"/>
  <c r="R197" i="4"/>
  <c r="H198" i="4"/>
  <c r="M198" i="4"/>
  <c r="R198" i="4"/>
  <c r="H199" i="4"/>
  <c r="M199" i="4"/>
  <c r="R199" i="4"/>
  <c r="H200" i="4"/>
  <c r="M200" i="4"/>
  <c r="R200" i="4"/>
  <c r="H201" i="4"/>
  <c r="M201" i="4"/>
  <c r="R201" i="4"/>
  <c r="H202" i="4"/>
  <c r="M202" i="4"/>
  <c r="R202" i="4"/>
  <c r="H203" i="4"/>
  <c r="M203" i="4"/>
  <c r="R203" i="4"/>
  <c r="H204" i="4"/>
  <c r="M204" i="4"/>
  <c r="R204" i="4"/>
  <c r="H205" i="4"/>
  <c r="M205" i="4"/>
  <c r="R205" i="4"/>
  <c r="H206" i="4"/>
  <c r="M206" i="4"/>
  <c r="R206" i="4"/>
  <c r="H207" i="4"/>
  <c r="M207" i="4"/>
  <c r="R207" i="4"/>
  <c r="H208" i="4"/>
  <c r="M208" i="4"/>
  <c r="R208" i="4"/>
  <c r="H209" i="4"/>
  <c r="M209" i="4"/>
  <c r="R209" i="4"/>
  <c r="H210" i="4"/>
  <c r="M210" i="4"/>
  <c r="R210" i="4"/>
  <c r="H211" i="4"/>
  <c r="M211" i="4"/>
  <c r="R211" i="4"/>
  <c r="H212" i="4"/>
  <c r="M212" i="4"/>
  <c r="R212" i="4"/>
  <c r="H213" i="4"/>
  <c r="M213" i="4"/>
  <c r="R213" i="4"/>
  <c r="H214" i="4"/>
  <c r="M214" i="4"/>
  <c r="R214" i="4"/>
  <c r="H215" i="4"/>
  <c r="M215" i="4"/>
  <c r="R215" i="4"/>
  <c r="H216" i="4"/>
  <c r="M216" i="4"/>
  <c r="R216" i="4"/>
  <c r="H217" i="4"/>
  <c r="M217" i="4"/>
  <c r="R217" i="4"/>
  <c r="H218" i="4"/>
  <c r="M218" i="4"/>
  <c r="R218" i="4"/>
  <c r="H219" i="4"/>
  <c r="M219" i="4"/>
  <c r="R219" i="4"/>
  <c r="H220" i="4"/>
  <c r="M220" i="4"/>
  <c r="R220" i="4"/>
  <c r="H221" i="4"/>
  <c r="M221" i="4"/>
  <c r="R221" i="4"/>
  <c r="H222" i="4"/>
  <c r="M222" i="4"/>
  <c r="R222" i="4"/>
  <c r="H223" i="4"/>
  <c r="M223" i="4"/>
  <c r="R223" i="4"/>
  <c r="H224" i="4"/>
  <c r="M224" i="4"/>
  <c r="R224" i="4"/>
  <c r="H225" i="4"/>
  <c r="M225" i="4"/>
  <c r="R225" i="4"/>
  <c r="H226" i="4"/>
  <c r="M226" i="4"/>
  <c r="R226" i="4"/>
  <c r="H227" i="4"/>
  <c r="M227" i="4"/>
  <c r="R227" i="4"/>
  <c r="H228" i="4"/>
  <c r="M228" i="4"/>
  <c r="R228" i="4"/>
  <c r="H229" i="4"/>
  <c r="M229" i="4"/>
  <c r="R229" i="4"/>
  <c r="H230" i="4"/>
  <c r="M230" i="4"/>
  <c r="R230" i="4"/>
  <c r="H231" i="4"/>
  <c r="M231" i="4"/>
  <c r="R231" i="4"/>
  <c r="H232" i="4"/>
  <c r="M232" i="4"/>
  <c r="R232" i="4"/>
  <c r="H233" i="4"/>
  <c r="M233" i="4"/>
  <c r="R233" i="4"/>
  <c r="H234" i="4"/>
  <c r="M234" i="4"/>
  <c r="R234" i="4"/>
  <c r="H235" i="4"/>
  <c r="M235" i="4"/>
  <c r="R235" i="4"/>
  <c r="H236" i="4"/>
  <c r="M236" i="4"/>
  <c r="R236" i="4"/>
  <c r="H237" i="4"/>
  <c r="M237" i="4"/>
  <c r="R237" i="4"/>
  <c r="H238" i="4"/>
  <c r="M238" i="4"/>
  <c r="R238" i="4"/>
  <c r="H239" i="4"/>
  <c r="M239" i="4"/>
  <c r="R239" i="4"/>
  <c r="H240" i="4"/>
  <c r="M240" i="4"/>
  <c r="R240" i="4"/>
  <c r="H241" i="4"/>
  <c r="M241" i="4"/>
  <c r="R241" i="4"/>
  <c r="H242" i="4"/>
  <c r="M242" i="4"/>
  <c r="R242" i="4"/>
  <c r="H243" i="4"/>
  <c r="M243" i="4"/>
  <c r="R243" i="4"/>
  <c r="H244" i="4"/>
  <c r="M244" i="4"/>
  <c r="R244" i="4"/>
  <c r="H245" i="4"/>
  <c r="M245" i="4"/>
  <c r="R245" i="4"/>
  <c r="H246" i="4"/>
  <c r="M246" i="4"/>
  <c r="R246" i="4"/>
  <c r="H247" i="4"/>
  <c r="M247" i="4"/>
  <c r="R247" i="4"/>
  <c r="H248" i="4"/>
  <c r="M248" i="4"/>
  <c r="R248" i="4"/>
  <c r="H249" i="4"/>
  <c r="M249" i="4"/>
  <c r="R249" i="4"/>
  <c r="H250" i="4"/>
  <c r="M250" i="4"/>
  <c r="R250" i="4"/>
  <c r="H251" i="4"/>
  <c r="M251" i="4"/>
  <c r="R251" i="4"/>
  <c r="H252" i="4"/>
  <c r="M252" i="4"/>
  <c r="R252" i="4"/>
  <c r="H253" i="4"/>
  <c r="M253" i="4"/>
  <c r="R253" i="4"/>
  <c r="H254" i="4"/>
  <c r="M254" i="4"/>
  <c r="R254" i="4"/>
  <c r="H255" i="4"/>
  <c r="M255" i="4"/>
  <c r="R255" i="4"/>
  <c r="H256" i="4"/>
  <c r="M256" i="4"/>
  <c r="R256" i="4"/>
  <c r="H257" i="4"/>
  <c r="M257" i="4"/>
  <c r="R257" i="4"/>
  <c r="H258" i="4"/>
  <c r="M258" i="4"/>
  <c r="R258" i="4"/>
  <c r="H259" i="4"/>
  <c r="M259" i="4"/>
  <c r="R259" i="4"/>
  <c r="H260" i="4"/>
  <c r="M260" i="4"/>
  <c r="R260" i="4"/>
  <c r="H261" i="4"/>
  <c r="M261" i="4"/>
  <c r="R261" i="4"/>
  <c r="H262" i="4"/>
  <c r="M262" i="4"/>
  <c r="R262" i="4"/>
  <c r="H263" i="4"/>
  <c r="M263" i="4"/>
  <c r="R263" i="4"/>
  <c r="H264" i="4"/>
  <c r="M264" i="4"/>
  <c r="R264" i="4"/>
  <c r="H265" i="4"/>
  <c r="M265" i="4"/>
  <c r="R265" i="4"/>
  <c r="H266" i="4"/>
  <c r="M266" i="4"/>
  <c r="R266" i="4"/>
  <c r="H267" i="4"/>
  <c r="M267" i="4"/>
  <c r="R267" i="4"/>
  <c r="H268" i="4"/>
  <c r="M268" i="4"/>
  <c r="R268" i="4"/>
  <c r="H269" i="4"/>
  <c r="M269" i="4"/>
  <c r="R269" i="4"/>
  <c r="H270" i="4"/>
  <c r="M270" i="4"/>
  <c r="R270" i="4"/>
  <c r="H271" i="4"/>
  <c r="M271" i="4"/>
  <c r="R271" i="4"/>
  <c r="H272" i="4"/>
  <c r="M272" i="4"/>
  <c r="R272" i="4"/>
  <c r="H273" i="4"/>
  <c r="M273" i="4"/>
  <c r="R273" i="4"/>
  <c r="H274" i="4"/>
  <c r="M274" i="4"/>
  <c r="R274" i="4"/>
  <c r="H275" i="4"/>
  <c r="M275" i="4"/>
  <c r="R275" i="4"/>
  <c r="H276" i="4"/>
  <c r="M276" i="4"/>
  <c r="R276" i="4"/>
  <c r="H277" i="4"/>
  <c r="M277" i="4"/>
  <c r="R277" i="4"/>
  <c r="H278" i="4"/>
  <c r="M278" i="4"/>
  <c r="R278" i="4"/>
  <c r="H279" i="4"/>
  <c r="M279" i="4"/>
  <c r="R279" i="4"/>
  <c r="H280" i="4"/>
  <c r="M280" i="4"/>
  <c r="R280" i="4"/>
  <c r="H281" i="4"/>
  <c r="M281" i="4"/>
  <c r="R281" i="4"/>
  <c r="H282" i="4"/>
  <c r="M282" i="4"/>
  <c r="R282" i="4"/>
  <c r="H283" i="4"/>
  <c r="M283" i="4"/>
  <c r="R283" i="4"/>
  <c r="H284" i="4"/>
  <c r="M284" i="4"/>
  <c r="R284" i="4"/>
  <c r="H285" i="4"/>
  <c r="M285" i="4"/>
  <c r="R285" i="4"/>
  <c r="H286" i="4"/>
  <c r="M286" i="4"/>
  <c r="R286" i="4"/>
  <c r="H287" i="4"/>
  <c r="M287" i="4"/>
  <c r="R287" i="4"/>
  <c r="H288" i="4"/>
  <c r="M288" i="4"/>
  <c r="R288" i="4"/>
  <c r="H289" i="4"/>
  <c r="M289" i="4"/>
  <c r="R289" i="4"/>
  <c r="H290" i="4"/>
  <c r="M290" i="4"/>
  <c r="R290" i="4"/>
  <c r="H291" i="4"/>
  <c r="M291" i="4"/>
  <c r="R291" i="4"/>
  <c r="H292" i="4"/>
  <c r="M292" i="4"/>
  <c r="R292" i="4"/>
  <c r="H293" i="4"/>
  <c r="M293" i="4"/>
  <c r="R293" i="4"/>
  <c r="H294" i="4"/>
  <c r="M294" i="4"/>
  <c r="R294" i="4"/>
  <c r="H295" i="4"/>
  <c r="M295" i="4"/>
  <c r="R295" i="4"/>
  <c r="H296" i="4"/>
  <c r="M296" i="4"/>
  <c r="R296" i="4"/>
  <c r="H297" i="4"/>
  <c r="M297" i="4"/>
  <c r="R297" i="4"/>
  <c r="H298" i="4"/>
  <c r="M298" i="4"/>
  <c r="R298" i="4"/>
  <c r="H299" i="4"/>
  <c r="M299" i="4"/>
  <c r="R299" i="4"/>
  <c r="H300" i="4"/>
  <c r="M300" i="4"/>
  <c r="R300" i="4"/>
  <c r="H301" i="4"/>
  <c r="M301" i="4"/>
  <c r="R301" i="4"/>
  <c r="H302" i="4"/>
  <c r="M302" i="4"/>
  <c r="R302" i="4"/>
  <c r="H303" i="4"/>
  <c r="M303" i="4"/>
  <c r="R303" i="4"/>
  <c r="H304" i="4"/>
  <c r="M304" i="4"/>
  <c r="R304" i="4"/>
  <c r="H305" i="4"/>
  <c r="M305" i="4"/>
  <c r="R305" i="4"/>
  <c r="H306" i="4"/>
  <c r="M306" i="4"/>
  <c r="R306" i="4"/>
  <c r="H307" i="4"/>
  <c r="M307" i="4"/>
  <c r="R307" i="4"/>
  <c r="H308" i="4"/>
  <c r="M308" i="4"/>
  <c r="R308" i="4"/>
  <c r="H309" i="4"/>
  <c r="M309" i="4"/>
  <c r="R309" i="4"/>
  <c r="H310" i="4"/>
  <c r="M310" i="4"/>
  <c r="R310" i="4"/>
  <c r="H311" i="4"/>
  <c r="M311" i="4"/>
  <c r="R311" i="4"/>
  <c r="H312" i="4"/>
  <c r="M312" i="4"/>
  <c r="R312" i="4"/>
  <c r="H313" i="4"/>
  <c r="M313" i="4"/>
  <c r="R313" i="4"/>
  <c r="H314" i="4"/>
  <c r="M314" i="4"/>
  <c r="R314" i="4"/>
  <c r="H315" i="4"/>
  <c r="M315" i="4"/>
  <c r="R315" i="4"/>
  <c r="H316" i="4"/>
  <c r="M316" i="4"/>
  <c r="R316" i="4"/>
  <c r="H317" i="4"/>
  <c r="M317" i="4"/>
  <c r="R317" i="4"/>
  <c r="H318" i="4"/>
  <c r="M318" i="4"/>
  <c r="R318" i="4"/>
  <c r="H319" i="4"/>
  <c r="M319" i="4"/>
  <c r="R319" i="4"/>
  <c r="H320" i="4"/>
  <c r="M320" i="4"/>
  <c r="R320" i="4"/>
  <c r="H321" i="4"/>
  <c r="M321" i="4"/>
  <c r="R321" i="4"/>
  <c r="H322" i="4"/>
  <c r="M322" i="4"/>
  <c r="R322" i="4"/>
  <c r="H323" i="4"/>
  <c r="M323" i="4"/>
  <c r="R323" i="4"/>
  <c r="H324" i="4"/>
  <c r="M324" i="4"/>
  <c r="R324" i="4"/>
  <c r="H325" i="4"/>
  <c r="M325" i="4"/>
  <c r="R325" i="4"/>
  <c r="H326" i="4"/>
  <c r="M326" i="4"/>
  <c r="R326" i="4"/>
  <c r="H327" i="4"/>
  <c r="M327" i="4"/>
  <c r="R327" i="4"/>
  <c r="H328" i="4"/>
  <c r="M328" i="4"/>
  <c r="R328" i="4"/>
  <c r="H329" i="4"/>
  <c r="M329" i="4"/>
  <c r="R329" i="4"/>
  <c r="H330" i="4"/>
  <c r="M330" i="4"/>
  <c r="R330" i="4"/>
  <c r="H331" i="4"/>
  <c r="M331" i="4"/>
  <c r="R331" i="4"/>
  <c r="H332" i="4"/>
  <c r="M332" i="4"/>
  <c r="R332" i="4"/>
  <c r="H333" i="4"/>
  <c r="M333" i="4"/>
  <c r="R333" i="4"/>
  <c r="H334" i="4"/>
  <c r="M334" i="4"/>
  <c r="R334" i="4"/>
  <c r="H335" i="4"/>
  <c r="M335" i="4"/>
  <c r="R335" i="4"/>
  <c r="H336" i="4"/>
  <c r="M336" i="4"/>
  <c r="R336" i="4"/>
  <c r="H337" i="4"/>
  <c r="M337" i="4"/>
  <c r="R337" i="4"/>
  <c r="H338" i="4"/>
  <c r="M338" i="4"/>
  <c r="R338" i="4"/>
  <c r="H339" i="4"/>
  <c r="M339" i="4"/>
  <c r="R339" i="4"/>
  <c r="H340" i="4"/>
  <c r="M340" i="4"/>
  <c r="R340" i="4"/>
  <c r="H341" i="4"/>
  <c r="M341" i="4"/>
  <c r="R341" i="4"/>
  <c r="H342" i="4"/>
  <c r="M342" i="4"/>
  <c r="R342" i="4"/>
  <c r="H343" i="4"/>
  <c r="M343" i="4"/>
  <c r="R343" i="4"/>
  <c r="H344" i="4"/>
  <c r="M344" i="4"/>
  <c r="R344" i="4"/>
  <c r="H345" i="4"/>
  <c r="M345" i="4"/>
  <c r="R345" i="4"/>
  <c r="H346" i="4"/>
  <c r="M346" i="4"/>
  <c r="R346" i="4"/>
  <c r="H347" i="4"/>
  <c r="M347" i="4"/>
  <c r="R347" i="4"/>
  <c r="H348" i="4"/>
  <c r="M348" i="4"/>
  <c r="R348" i="4"/>
  <c r="H349" i="4"/>
  <c r="M349" i="4"/>
  <c r="R349" i="4"/>
  <c r="H350" i="4"/>
  <c r="M350" i="4"/>
  <c r="R350" i="4"/>
  <c r="H351" i="4"/>
  <c r="M351" i="4"/>
  <c r="R351" i="4"/>
  <c r="H352" i="4"/>
  <c r="M352" i="4"/>
  <c r="R352" i="4"/>
  <c r="H353" i="4"/>
  <c r="M353" i="4"/>
  <c r="R353" i="4"/>
  <c r="H354" i="4"/>
  <c r="M354" i="4"/>
  <c r="R354" i="4"/>
  <c r="H355" i="4"/>
  <c r="M355" i="4"/>
  <c r="R355" i="4"/>
  <c r="H356" i="4"/>
  <c r="M356" i="4"/>
  <c r="R356" i="4"/>
  <c r="H357" i="4"/>
  <c r="M357" i="4"/>
  <c r="R357" i="4"/>
  <c r="H358" i="4"/>
  <c r="M358" i="4"/>
  <c r="R358" i="4"/>
  <c r="H359" i="4"/>
  <c r="M359" i="4"/>
  <c r="R359" i="4"/>
  <c r="H360" i="4"/>
  <c r="M360" i="4"/>
  <c r="R360" i="4"/>
  <c r="H361" i="4"/>
  <c r="M361" i="4"/>
  <c r="R361" i="4"/>
  <c r="H362" i="4"/>
  <c r="M362" i="4"/>
  <c r="R362" i="4"/>
  <c r="H363" i="4"/>
  <c r="M363" i="4"/>
  <c r="R363" i="4"/>
  <c r="H364" i="4"/>
  <c r="M364" i="4"/>
  <c r="R364" i="4"/>
  <c r="H365" i="4"/>
  <c r="M365" i="4"/>
  <c r="R365" i="4"/>
  <c r="H366" i="4"/>
  <c r="M366" i="4"/>
  <c r="R366" i="4"/>
  <c r="H367" i="4"/>
  <c r="M367" i="4"/>
  <c r="R367" i="4"/>
  <c r="H368" i="4"/>
  <c r="M368" i="4"/>
  <c r="R368" i="4"/>
  <c r="H369" i="4"/>
  <c r="M369" i="4"/>
  <c r="R369" i="4"/>
  <c r="H370" i="4"/>
  <c r="M370" i="4"/>
  <c r="R370" i="4"/>
  <c r="H371" i="4"/>
  <c r="M371" i="4"/>
  <c r="R371" i="4"/>
  <c r="H372" i="4"/>
  <c r="M372" i="4"/>
  <c r="R372" i="4"/>
  <c r="H373" i="4"/>
  <c r="M373" i="4"/>
  <c r="R373" i="4"/>
  <c r="H374" i="4"/>
  <c r="M374" i="4"/>
  <c r="R374" i="4"/>
  <c r="H375" i="4"/>
  <c r="M375" i="4"/>
  <c r="R375" i="4"/>
  <c r="H376" i="4"/>
  <c r="M376" i="4"/>
  <c r="R376" i="4"/>
  <c r="H377" i="4"/>
  <c r="M377" i="4"/>
  <c r="R377" i="4"/>
  <c r="H378" i="4"/>
  <c r="M378" i="4"/>
  <c r="R378" i="4"/>
  <c r="H379" i="4"/>
  <c r="M379" i="4"/>
  <c r="R379" i="4"/>
  <c r="H380" i="4"/>
  <c r="M380" i="4"/>
  <c r="R380" i="4"/>
  <c r="H381" i="4"/>
  <c r="M381" i="4"/>
  <c r="R381" i="4"/>
  <c r="H382" i="4"/>
  <c r="M382" i="4"/>
  <c r="R382" i="4"/>
  <c r="H383" i="4"/>
  <c r="M383" i="4"/>
  <c r="R383" i="4"/>
  <c r="H384" i="4"/>
  <c r="M384" i="4"/>
  <c r="R384" i="4"/>
  <c r="H385" i="4"/>
  <c r="M385" i="4"/>
  <c r="R385" i="4"/>
  <c r="H386" i="4"/>
  <c r="M386" i="4"/>
  <c r="R386" i="4"/>
  <c r="H387" i="4"/>
  <c r="M387" i="4"/>
  <c r="R387" i="4"/>
  <c r="H388" i="4"/>
  <c r="M388" i="4"/>
  <c r="R388" i="4"/>
  <c r="H389" i="4"/>
  <c r="M389" i="4"/>
  <c r="R389" i="4"/>
  <c r="H390" i="4"/>
  <c r="M390" i="4"/>
  <c r="R390" i="4"/>
  <c r="H391" i="4"/>
  <c r="M391" i="4"/>
  <c r="R391" i="4"/>
  <c r="H392" i="4"/>
  <c r="M392" i="4"/>
  <c r="R392" i="4"/>
  <c r="H393" i="4"/>
  <c r="M393" i="4"/>
  <c r="R393" i="4"/>
  <c r="H394" i="4"/>
  <c r="M394" i="4"/>
  <c r="R394" i="4"/>
  <c r="H395" i="4"/>
  <c r="M395" i="4"/>
  <c r="R395" i="4"/>
  <c r="H396" i="4"/>
  <c r="M396" i="4"/>
  <c r="R396" i="4"/>
  <c r="H397" i="4"/>
  <c r="M397" i="4"/>
  <c r="R397" i="4"/>
  <c r="H398" i="4"/>
  <c r="M398" i="4"/>
  <c r="R398" i="4"/>
  <c r="H399" i="4"/>
  <c r="M399" i="4"/>
  <c r="R399" i="4"/>
  <c r="H400" i="4"/>
  <c r="M400" i="4"/>
  <c r="R400" i="4"/>
  <c r="H401" i="4"/>
  <c r="M401" i="4"/>
  <c r="R401" i="4"/>
  <c r="H402" i="4"/>
  <c r="M402" i="4"/>
  <c r="R402" i="4"/>
  <c r="H403" i="4"/>
  <c r="M403" i="4"/>
  <c r="R403" i="4"/>
  <c r="H404" i="4"/>
  <c r="M404" i="4"/>
  <c r="R404" i="4"/>
  <c r="H405" i="4"/>
  <c r="M405" i="4"/>
  <c r="R405" i="4"/>
  <c r="H406" i="4"/>
  <c r="M406" i="4"/>
  <c r="R406" i="4"/>
  <c r="H407" i="4"/>
  <c r="M407" i="4"/>
  <c r="R407" i="4"/>
  <c r="H408" i="4"/>
  <c r="M408" i="4"/>
  <c r="R408" i="4"/>
  <c r="H409" i="4"/>
  <c r="M409" i="4"/>
  <c r="R409" i="4"/>
  <c r="H410" i="4"/>
  <c r="M410" i="4"/>
  <c r="R410" i="4"/>
  <c r="H411" i="4"/>
  <c r="M411" i="4"/>
  <c r="R411" i="4"/>
  <c r="H412" i="4"/>
  <c r="M412" i="4"/>
  <c r="R412" i="4"/>
  <c r="H413" i="4"/>
  <c r="M413" i="4"/>
  <c r="R413" i="4"/>
  <c r="H414" i="4"/>
  <c r="M414" i="4"/>
  <c r="R414" i="4"/>
  <c r="H415" i="4"/>
  <c r="M415" i="4"/>
  <c r="R415" i="4"/>
  <c r="H416" i="4"/>
  <c r="M416" i="4"/>
  <c r="R416" i="4"/>
  <c r="H417" i="4"/>
  <c r="M417" i="4"/>
  <c r="R417" i="4"/>
  <c r="H418" i="4"/>
  <c r="M418" i="4"/>
  <c r="R418" i="4"/>
  <c r="H419" i="4"/>
  <c r="M419" i="4"/>
  <c r="R419" i="4"/>
  <c r="H420" i="4"/>
  <c r="M420" i="4"/>
  <c r="R420" i="4"/>
  <c r="H421" i="4"/>
  <c r="M421" i="4"/>
  <c r="R421" i="4"/>
  <c r="H422" i="4"/>
  <c r="M422" i="4"/>
  <c r="R422" i="4"/>
  <c r="H423" i="4"/>
  <c r="M423" i="4"/>
  <c r="R423" i="4"/>
  <c r="H424" i="4"/>
  <c r="M424" i="4"/>
  <c r="R424" i="4"/>
  <c r="H425" i="4"/>
  <c r="M425" i="4"/>
  <c r="R425" i="4"/>
  <c r="H426" i="4"/>
  <c r="M426" i="4"/>
  <c r="R426" i="4"/>
  <c r="H427" i="4"/>
  <c r="M427" i="4"/>
  <c r="R427" i="4"/>
  <c r="H428" i="4"/>
  <c r="M428" i="4"/>
  <c r="R428" i="4"/>
  <c r="H429" i="4"/>
  <c r="M429" i="4"/>
  <c r="R429" i="4"/>
  <c r="H430" i="4"/>
  <c r="M430" i="4"/>
  <c r="R430" i="4"/>
  <c r="H431" i="4"/>
  <c r="M431" i="4"/>
  <c r="R431" i="4"/>
  <c r="H432" i="4"/>
  <c r="M432" i="4"/>
  <c r="R432" i="4"/>
  <c r="H433" i="4"/>
  <c r="M433" i="4"/>
  <c r="R433" i="4"/>
  <c r="H434" i="4"/>
  <c r="M434" i="4"/>
  <c r="R434" i="4"/>
  <c r="H435" i="4"/>
  <c r="M435" i="4"/>
  <c r="R435" i="4"/>
  <c r="H436" i="4"/>
  <c r="M436" i="4"/>
  <c r="R436" i="4"/>
  <c r="H437" i="4"/>
  <c r="M437" i="4"/>
  <c r="R437" i="4"/>
  <c r="H438" i="4"/>
  <c r="M438" i="4"/>
  <c r="R438" i="4"/>
  <c r="H439" i="4"/>
  <c r="M439" i="4"/>
  <c r="R439" i="4"/>
  <c r="H440" i="4"/>
  <c r="M440" i="4"/>
  <c r="R440" i="4"/>
  <c r="H441" i="4"/>
  <c r="M441" i="4"/>
  <c r="R441" i="4"/>
  <c r="H442" i="4"/>
  <c r="M442" i="4"/>
  <c r="R442" i="4"/>
  <c r="H443" i="4"/>
  <c r="M443" i="4"/>
  <c r="R443" i="4"/>
  <c r="H444" i="4"/>
  <c r="M444" i="4"/>
  <c r="R444" i="4"/>
  <c r="H445" i="4"/>
  <c r="M445" i="4"/>
  <c r="R445" i="4"/>
  <c r="H446" i="4"/>
  <c r="M446" i="4"/>
  <c r="R446" i="4"/>
  <c r="H447" i="4"/>
  <c r="M447" i="4"/>
  <c r="R447" i="4"/>
  <c r="H448" i="4"/>
  <c r="M448" i="4"/>
  <c r="R448" i="4"/>
  <c r="H449" i="4"/>
  <c r="M449" i="4"/>
  <c r="R449" i="4"/>
  <c r="H450" i="4"/>
  <c r="M450" i="4"/>
  <c r="R450" i="4"/>
  <c r="H451" i="4"/>
  <c r="M451" i="4"/>
  <c r="R451" i="4"/>
  <c r="H452" i="4"/>
  <c r="M452" i="4"/>
  <c r="R452" i="4"/>
  <c r="H453" i="4"/>
  <c r="M453" i="4"/>
  <c r="R453" i="4"/>
  <c r="H454" i="4"/>
  <c r="M454" i="4"/>
  <c r="R454" i="4"/>
  <c r="H455" i="4"/>
  <c r="M455" i="4"/>
  <c r="R455" i="4"/>
  <c r="H456" i="4"/>
  <c r="M456" i="4"/>
  <c r="R456" i="4"/>
  <c r="H457" i="4"/>
  <c r="M457" i="4"/>
  <c r="R457" i="4"/>
  <c r="H458" i="4"/>
  <c r="M458" i="4"/>
  <c r="R458" i="4"/>
  <c r="H459" i="4"/>
  <c r="M459" i="4"/>
  <c r="R459" i="4"/>
  <c r="H460" i="4"/>
  <c r="M460" i="4"/>
  <c r="R460" i="4"/>
  <c r="H461" i="4"/>
  <c r="M461" i="4"/>
  <c r="R461" i="4"/>
  <c r="H462" i="4"/>
  <c r="M462" i="4"/>
  <c r="R462" i="4"/>
  <c r="H463" i="4"/>
  <c r="M463" i="4"/>
  <c r="R463" i="4"/>
  <c r="H464" i="4"/>
  <c r="M464" i="4"/>
  <c r="R464" i="4"/>
  <c r="H465" i="4"/>
  <c r="M465" i="4"/>
  <c r="R465" i="4"/>
  <c r="H466" i="4"/>
  <c r="M466" i="4"/>
  <c r="R466" i="4"/>
  <c r="H467" i="4"/>
  <c r="M467" i="4"/>
  <c r="R467" i="4"/>
  <c r="H468" i="4"/>
  <c r="M468" i="4"/>
  <c r="R468" i="4"/>
  <c r="H469" i="4"/>
  <c r="M469" i="4"/>
  <c r="R469" i="4"/>
  <c r="H470" i="4"/>
  <c r="M470" i="4"/>
  <c r="R470" i="4"/>
  <c r="H471" i="4"/>
  <c r="M471" i="4"/>
  <c r="R471" i="4"/>
  <c r="H472" i="4"/>
  <c r="M472" i="4"/>
  <c r="R472" i="4"/>
  <c r="H473" i="4"/>
  <c r="M473" i="4"/>
  <c r="R473" i="4"/>
  <c r="H474" i="4"/>
  <c r="M474" i="4"/>
  <c r="R474" i="4"/>
  <c r="H475" i="4"/>
  <c r="M475" i="4"/>
  <c r="R475" i="4"/>
  <c r="H476" i="4"/>
  <c r="M476" i="4"/>
  <c r="R476" i="4"/>
  <c r="H477" i="4"/>
  <c r="M477" i="4"/>
  <c r="R477" i="4"/>
  <c r="H478" i="4"/>
  <c r="M478" i="4"/>
  <c r="R478" i="4"/>
  <c r="H479" i="4"/>
  <c r="M479" i="4"/>
  <c r="R479" i="4"/>
  <c r="H480" i="4"/>
  <c r="M480" i="4"/>
  <c r="R480" i="4"/>
  <c r="H481" i="4"/>
  <c r="M481" i="4"/>
  <c r="R481" i="4"/>
  <c r="H482" i="4"/>
  <c r="M482" i="4"/>
  <c r="R482" i="4"/>
  <c r="H483" i="4"/>
  <c r="M483" i="4"/>
  <c r="R483" i="4"/>
  <c r="H484" i="4"/>
  <c r="M484" i="4"/>
  <c r="R484" i="4"/>
  <c r="H485" i="4"/>
  <c r="M485" i="4"/>
  <c r="R485" i="4"/>
  <c r="H486" i="4"/>
  <c r="M486" i="4"/>
  <c r="R486" i="4"/>
  <c r="H487" i="4"/>
  <c r="M487" i="4"/>
  <c r="R487" i="4"/>
  <c r="H488" i="4"/>
  <c r="M488" i="4"/>
  <c r="R488" i="4"/>
  <c r="H489" i="4"/>
  <c r="M489" i="4"/>
  <c r="R489" i="4"/>
  <c r="H490" i="4"/>
  <c r="M490" i="4"/>
  <c r="R490" i="4"/>
  <c r="H491" i="4"/>
  <c r="M491" i="4"/>
  <c r="R491" i="4"/>
  <c r="H492" i="4"/>
  <c r="M492" i="4"/>
  <c r="R492" i="4"/>
  <c r="H493" i="4"/>
  <c r="M493" i="4"/>
  <c r="R493" i="4"/>
  <c r="H494" i="4"/>
  <c r="M494" i="4"/>
  <c r="R494" i="4"/>
  <c r="H495" i="4"/>
  <c r="M495" i="4"/>
  <c r="R495" i="4"/>
  <c r="H496" i="4"/>
  <c r="M496" i="4"/>
  <c r="R496" i="4"/>
  <c r="H497" i="4"/>
  <c r="M497" i="4"/>
  <c r="R497" i="4"/>
  <c r="H498" i="4"/>
  <c r="M498" i="4"/>
  <c r="R498" i="4"/>
  <c r="H499" i="4"/>
  <c r="M499" i="4"/>
  <c r="R499" i="4"/>
  <c r="H500" i="4"/>
  <c r="M500" i="4"/>
  <c r="R500" i="4"/>
  <c r="H501" i="4"/>
  <c r="M501" i="4"/>
  <c r="R501" i="4"/>
  <c r="H502" i="4"/>
  <c r="M502" i="4"/>
  <c r="R502" i="4"/>
  <c r="H503" i="4"/>
  <c r="M503" i="4"/>
  <c r="R503" i="4"/>
  <c r="H504" i="4"/>
  <c r="M504" i="4"/>
  <c r="R504" i="4"/>
  <c r="H505" i="4"/>
  <c r="M505" i="4"/>
  <c r="R505" i="4"/>
  <c r="H506" i="4"/>
  <c r="M506" i="4"/>
  <c r="R506" i="4"/>
  <c r="H507" i="4"/>
  <c r="M507" i="4"/>
  <c r="R507" i="4"/>
  <c r="H508" i="4"/>
  <c r="M508" i="4"/>
  <c r="R508" i="4"/>
  <c r="H509" i="4"/>
  <c r="M509" i="4"/>
  <c r="R509" i="4"/>
  <c r="H510" i="4"/>
  <c r="M510" i="4"/>
  <c r="R510" i="4"/>
  <c r="H511" i="4"/>
  <c r="M511" i="4"/>
  <c r="R511" i="4"/>
  <c r="H512" i="4"/>
  <c r="M512" i="4"/>
  <c r="R512" i="4"/>
  <c r="H513" i="4"/>
  <c r="M513" i="4"/>
  <c r="R513" i="4"/>
  <c r="H514" i="4"/>
  <c r="M514" i="4"/>
  <c r="R514" i="4"/>
  <c r="H515" i="4"/>
  <c r="M515" i="4"/>
  <c r="R515" i="4"/>
  <c r="H516" i="4"/>
  <c r="M516" i="4"/>
  <c r="R516" i="4"/>
  <c r="H517" i="4"/>
  <c r="M517" i="4"/>
  <c r="R517" i="4"/>
  <c r="H518" i="4"/>
  <c r="M518" i="4"/>
  <c r="R518" i="4"/>
  <c r="H519" i="4"/>
  <c r="M519" i="4"/>
  <c r="R519" i="4"/>
  <c r="H520" i="4"/>
  <c r="M520" i="4"/>
  <c r="R520" i="4"/>
  <c r="H521" i="4"/>
  <c r="M521" i="4"/>
  <c r="R521" i="4"/>
  <c r="H522" i="4"/>
  <c r="M522" i="4"/>
  <c r="R522" i="4"/>
  <c r="H523" i="4"/>
  <c r="M523" i="4"/>
  <c r="R523" i="4"/>
  <c r="H524" i="4"/>
  <c r="M524" i="4"/>
  <c r="R524" i="4"/>
  <c r="H525" i="4"/>
  <c r="M525" i="4"/>
  <c r="R525" i="4"/>
  <c r="H526" i="4"/>
  <c r="M526" i="4"/>
  <c r="R526" i="4"/>
  <c r="H527" i="4"/>
  <c r="M527" i="4"/>
  <c r="R527" i="4"/>
  <c r="H528" i="4"/>
  <c r="M528" i="4"/>
  <c r="R528" i="4"/>
  <c r="H529" i="4"/>
  <c r="M529" i="4"/>
  <c r="R529" i="4"/>
  <c r="H530" i="4"/>
  <c r="M530" i="4"/>
  <c r="R530" i="4"/>
  <c r="H531" i="4"/>
  <c r="M531" i="4"/>
  <c r="R531" i="4"/>
  <c r="H532" i="4"/>
  <c r="M532" i="4"/>
  <c r="R532" i="4"/>
  <c r="H533" i="4"/>
  <c r="M533" i="4"/>
  <c r="R533" i="4"/>
  <c r="H534" i="4"/>
  <c r="M534" i="4"/>
  <c r="R534" i="4"/>
  <c r="H535" i="4"/>
  <c r="M535" i="4"/>
  <c r="R535" i="4"/>
  <c r="H536" i="4"/>
  <c r="M536" i="4"/>
  <c r="R536" i="4"/>
  <c r="H537" i="4"/>
  <c r="M537" i="4"/>
  <c r="R537" i="4"/>
  <c r="H538" i="4"/>
  <c r="M538" i="4"/>
  <c r="R538" i="4"/>
  <c r="H539" i="4"/>
  <c r="M539" i="4"/>
  <c r="R539" i="4"/>
  <c r="H540" i="4"/>
  <c r="M540" i="4"/>
  <c r="R540" i="4"/>
  <c r="H541" i="4"/>
  <c r="M541" i="4"/>
  <c r="R541" i="4"/>
  <c r="H542" i="4"/>
  <c r="M542" i="4"/>
  <c r="R542" i="4"/>
  <c r="H543" i="4"/>
  <c r="M543" i="4"/>
  <c r="R543" i="4"/>
  <c r="H544" i="4"/>
  <c r="M544" i="4"/>
  <c r="R544" i="4"/>
  <c r="H545" i="4"/>
  <c r="M545" i="4"/>
  <c r="R545" i="4"/>
  <c r="H546" i="4"/>
  <c r="M546" i="4"/>
  <c r="R546" i="4"/>
  <c r="H547" i="4"/>
  <c r="M547" i="4"/>
  <c r="R547" i="4"/>
  <c r="H548" i="4"/>
  <c r="M548" i="4"/>
  <c r="R548" i="4"/>
  <c r="H549" i="4"/>
  <c r="M549" i="4"/>
  <c r="R549" i="4"/>
  <c r="H550" i="4"/>
  <c r="M550" i="4"/>
  <c r="R550" i="4"/>
  <c r="H551" i="4"/>
  <c r="M551" i="4"/>
  <c r="R551" i="4"/>
  <c r="H552" i="4"/>
  <c r="M552" i="4"/>
  <c r="R552" i="4"/>
  <c r="H553" i="4"/>
  <c r="M553" i="4"/>
  <c r="R553" i="4"/>
  <c r="H554" i="4"/>
  <c r="M554" i="4"/>
  <c r="R554" i="4"/>
  <c r="H555" i="4"/>
  <c r="M555" i="4"/>
  <c r="R555" i="4"/>
  <c r="H556" i="4"/>
  <c r="M556" i="4"/>
  <c r="R556" i="4"/>
  <c r="H557" i="4"/>
  <c r="M557" i="4"/>
  <c r="R557" i="4"/>
  <c r="H558" i="4"/>
  <c r="M558" i="4"/>
  <c r="R558" i="4"/>
  <c r="H559" i="4"/>
  <c r="M559" i="4"/>
  <c r="R559" i="4"/>
  <c r="H560" i="4"/>
  <c r="M560" i="4"/>
  <c r="R560" i="4"/>
  <c r="H561" i="4"/>
  <c r="M561" i="4"/>
  <c r="R561" i="4"/>
  <c r="H562" i="4"/>
  <c r="M562" i="4"/>
  <c r="R562" i="4"/>
  <c r="H563" i="4"/>
  <c r="M563" i="4"/>
  <c r="R563" i="4"/>
  <c r="H564" i="4"/>
  <c r="M564" i="4"/>
  <c r="R564" i="4"/>
  <c r="H565" i="4"/>
  <c r="M565" i="4"/>
  <c r="R565" i="4"/>
  <c r="H566" i="4"/>
  <c r="M566" i="4"/>
  <c r="R566" i="4"/>
  <c r="H567" i="4"/>
  <c r="M567" i="4"/>
  <c r="R567" i="4"/>
  <c r="H568" i="4"/>
  <c r="M568" i="4"/>
  <c r="R568" i="4"/>
  <c r="H569" i="4"/>
  <c r="M569" i="4"/>
  <c r="R569" i="4"/>
  <c r="H570" i="4"/>
  <c r="M570" i="4"/>
  <c r="R570" i="4"/>
  <c r="H571" i="4"/>
  <c r="M571" i="4"/>
  <c r="R571" i="4"/>
  <c r="H572" i="4"/>
  <c r="M572" i="4"/>
  <c r="R572" i="4"/>
  <c r="H573" i="4"/>
  <c r="M573" i="4"/>
  <c r="R573" i="4"/>
  <c r="H574" i="4"/>
  <c r="M574" i="4"/>
  <c r="R574" i="4"/>
  <c r="H575" i="4"/>
  <c r="M575" i="4"/>
  <c r="R575" i="4"/>
  <c r="H576" i="4"/>
  <c r="M576" i="4"/>
  <c r="R576" i="4"/>
  <c r="H577" i="4"/>
  <c r="M577" i="4"/>
  <c r="R577" i="4"/>
  <c r="H578" i="4"/>
  <c r="M578" i="4"/>
  <c r="R578" i="4"/>
  <c r="H579" i="4"/>
  <c r="M579" i="4"/>
  <c r="R579" i="4"/>
  <c r="H580" i="4"/>
  <c r="M580" i="4"/>
  <c r="R580" i="4"/>
  <c r="H581" i="4"/>
  <c r="M581" i="4"/>
  <c r="R581" i="4"/>
  <c r="H582" i="4"/>
  <c r="M582" i="4"/>
  <c r="R582" i="4"/>
  <c r="H583" i="4"/>
  <c r="M583" i="4"/>
  <c r="R583" i="4"/>
  <c r="H584" i="4"/>
  <c r="M584" i="4"/>
  <c r="R584" i="4"/>
  <c r="H585" i="4"/>
  <c r="M585" i="4"/>
  <c r="R585" i="4"/>
  <c r="H586" i="4"/>
  <c r="M586" i="4"/>
  <c r="R586" i="4"/>
  <c r="H587" i="4"/>
  <c r="M587" i="4"/>
  <c r="R587" i="4"/>
  <c r="H588" i="4"/>
  <c r="M588" i="4"/>
  <c r="R588" i="4"/>
  <c r="H589" i="4"/>
  <c r="M589" i="4"/>
  <c r="R589" i="4"/>
  <c r="H590" i="4"/>
  <c r="M590" i="4"/>
  <c r="R590" i="4"/>
  <c r="H591" i="4"/>
  <c r="M591" i="4"/>
  <c r="R591" i="4"/>
  <c r="H592" i="4"/>
  <c r="M592" i="4"/>
  <c r="R592" i="4"/>
  <c r="H593" i="4"/>
  <c r="M593" i="4"/>
  <c r="R593" i="4"/>
  <c r="H594" i="4"/>
  <c r="M594" i="4"/>
  <c r="R594" i="4"/>
  <c r="H595" i="4"/>
  <c r="M595" i="4"/>
  <c r="R595" i="4"/>
  <c r="H596" i="4"/>
  <c r="M596" i="4"/>
  <c r="R596" i="4"/>
  <c r="H597" i="4"/>
  <c r="M597" i="4"/>
  <c r="R597" i="4"/>
  <c r="H598" i="4"/>
  <c r="M598" i="4"/>
  <c r="R598" i="4"/>
  <c r="H599" i="4"/>
  <c r="M599" i="4"/>
  <c r="R599" i="4"/>
  <c r="H600" i="4"/>
  <c r="M600" i="4"/>
  <c r="R600" i="4"/>
  <c r="H601" i="4"/>
  <c r="M601" i="4"/>
  <c r="R601" i="4"/>
  <c r="H602" i="4"/>
  <c r="M602" i="4"/>
  <c r="R602" i="4"/>
  <c r="H603" i="4"/>
  <c r="M603" i="4"/>
  <c r="R603" i="4"/>
  <c r="H604" i="4"/>
  <c r="M604" i="4"/>
  <c r="R604" i="4"/>
  <c r="H605" i="4"/>
  <c r="M605" i="4"/>
  <c r="R605" i="4"/>
  <c r="H606" i="4"/>
  <c r="M606" i="4"/>
  <c r="R606" i="4"/>
  <c r="H607" i="4"/>
  <c r="M607" i="4"/>
  <c r="R607" i="4"/>
  <c r="H608" i="4"/>
  <c r="M608" i="4"/>
  <c r="R608" i="4"/>
  <c r="H609" i="4"/>
  <c r="M609" i="4"/>
  <c r="R609" i="4"/>
  <c r="H610" i="4"/>
  <c r="M610" i="4"/>
  <c r="R610" i="4"/>
  <c r="H611" i="4"/>
  <c r="M611" i="4"/>
  <c r="R611" i="4"/>
  <c r="H612" i="4"/>
  <c r="M612" i="4"/>
  <c r="R612" i="4"/>
  <c r="H613" i="4"/>
  <c r="M613" i="4"/>
  <c r="R613" i="4"/>
  <c r="H614" i="4"/>
  <c r="M614" i="4"/>
  <c r="R614" i="4"/>
  <c r="H615" i="4"/>
  <c r="M615" i="4"/>
  <c r="R615" i="4"/>
  <c r="H616" i="4"/>
  <c r="M616" i="4"/>
  <c r="R616" i="4"/>
  <c r="H617" i="4"/>
  <c r="M617" i="4"/>
  <c r="R617" i="4"/>
  <c r="H618" i="4"/>
  <c r="M618" i="4"/>
  <c r="R618" i="4"/>
  <c r="H619" i="4"/>
  <c r="M619" i="4"/>
  <c r="R619" i="4"/>
  <c r="H620" i="4"/>
  <c r="M620" i="4"/>
  <c r="R620" i="4"/>
  <c r="H621" i="4"/>
  <c r="M621" i="4"/>
  <c r="R621" i="4"/>
  <c r="H622" i="4"/>
  <c r="M622" i="4"/>
  <c r="R622" i="4"/>
  <c r="H623" i="4"/>
  <c r="M623" i="4"/>
  <c r="R623" i="4"/>
  <c r="H624" i="4"/>
  <c r="M624" i="4"/>
  <c r="R624" i="4"/>
  <c r="H625" i="4"/>
  <c r="M625" i="4"/>
  <c r="R625" i="4"/>
  <c r="H626" i="4"/>
  <c r="M626" i="4"/>
  <c r="R626" i="4"/>
  <c r="H627" i="4"/>
  <c r="M627" i="4"/>
  <c r="R627" i="4"/>
  <c r="H628" i="4"/>
  <c r="M628" i="4"/>
  <c r="R628" i="4"/>
  <c r="H629" i="4"/>
  <c r="M629" i="4"/>
  <c r="R629" i="4"/>
  <c r="H630" i="4"/>
  <c r="M630" i="4"/>
  <c r="R630" i="4"/>
  <c r="H631" i="4"/>
  <c r="M631" i="4"/>
  <c r="R631" i="4"/>
  <c r="H632" i="4"/>
  <c r="M632" i="4"/>
  <c r="R632" i="4"/>
  <c r="H633" i="4"/>
  <c r="M633" i="4"/>
  <c r="R633" i="4"/>
  <c r="H634" i="4"/>
  <c r="M634" i="4"/>
  <c r="R634" i="4"/>
  <c r="H635" i="4"/>
  <c r="M635" i="4"/>
  <c r="R635" i="4"/>
  <c r="H636" i="4"/>
  <c r="M636" i="4"/>
  <c r="R636" i="4"/>
  <c r="H637" i="4"/>
  <c r="M637" i="4"/>
  <c r="R637" i="4"/>
  <c r="H638" i="4"/>
  <c r="M638" i="4"/>
  <c r="R638" i="4"/>
  <c r="H639" i="4"/>
  <c r="M639" i="4"/>
  <c r="R639" i="4"/>
  <c r="H640" i="4"/>
  <c r="M640" i="4"/>
  <c r="R640" i="4"/>
  <c r="H641" i="4"/>
  <c r="M641" i="4"/>
  <c r="R641" i="4"/>
  <c r="H642" i="4"/>
  <c r="M642" i="4"/>
  <c r="R642" i="4"/>
  <c r="H643" i="4"/>
  <c r="M643" i="4"/>
  <c r="R643" i="4"/>
  <c r="H644" i="4"/>
  <c r="M644" i="4"/>
  <c r="R644" i="4"/>
  <c r="H645" i="4"/>
  <c r="M645" i="4"/>
  <c r="R645" i="4"/>
  <c r="H646" i="4"/>
  <c r="M646" i="4"/>
  <c r="R646" i="4"/>
  <c r="H647" i="4"/>
  <c r="M647" i="4"/>
  <c r="R647" i="4"/>
  <c r="H648" i="4"/>
  <c r="M648" i="4"/>
  <c r="R648" i="4"/>
  <c r="H649" i="4"/>
  <c r="M649" i="4"/>
  <c r="R649" i="4"/>
  <c r="H650" i="4"/>
  <c r="M650" i="4"/>
  <c r="R650" i="4"/>
  <c r="H651" i="4"/>
  <c r="M651" i="4"/>
  <c r="R651" i="4"/>
  <c r="H652" i="4"/>
  <c r="M652" i="4"/>
  <c r="R652" i="4"/>
  <c r="H653" i="4"/>
  <c r="M653" i="4"/>
  <c r="R653" i="4"/>
  <c r="H654" i="4"/>
  <c r="M654" i="4"/>
  <c r="R654" i="4"/>
  <c r="H655" i="4"/>
  <c r="M655" i="4"/>
  <c r="R655" i="4"/>
  <c r="H656" i="4"/>
  <c r="M656" i="4"/>
  <c r="R656" i="4"/>
  <c r="H657" i="4"/>
  <c r="M657" i="4"/>
  <c r="R657" i="4"/>
  <c r="H658" i="4"/>
  <c r="M658" i="4"/>
  <c r="R658" i="4"/>
  <c r="H659" i="4"/>
  <c r="M659" i="4"/>
  <c r="R659" i="4"/>
  <c r="H660" i="4"/>
  <c r="M660" i="4"/>
  <c r="R660" i="4"/>
  <c r="H661" i="4"/>
  <c r="M661" i="4"/>
  <c r="R661" i="4"/>
  <c r="H662" i="4"/>
  <c r="M662" i="4"/>
  <c r="R662" i="4"/>
  <c r="H663" i="4"/>
  <c r="M663" i="4"/>
  <c r="R663" i="4"/>
  <c r="H664" i="4"/>
  <c r="M664" i="4"/>
  <c r="R664" i="4"/>
  <c r="H665" i="4"/>
  <c r="M665" i="4"/>
  <c r="R665" i="4"/>
  <c r="H666" i="4"/>
  <c r="M666" i="4"/>
  <c r="R666" i="4"/>
  <c r="H667" i="4"/>
  <c r="M667" i="4"/>
  <c r="R667" i="4"/>
  <c r="H668" i="4"/>
  <c r="M668" i="4"/>
  <c r="R668" i="4"/>
  <c r="H669" i="4"/>
  <c r="M669" i="4"/>
  <c r="R669" i="4"/>
  <c r="H670" i="4"/>
  <c r="M670" i="4"/>
  <c r="R670" i="4"/>
  <c r="H671" i="4"/>
  <c r="M671" i="4"/>
  <c r="R671" i="4"/>
  <c r="H672" i="4"/>
  <c r="M672" i="4"/>
  <c r="R672" i="4"/>
  <c r="H673" i="4"/>
  <c r="M673" i="4"/>
  <c r="R673" i="4"/>
  <c r="H674" i="4"/>
  <c r="M674" i="4"/>
  <c r="R674" i="4"/>
  <c r="H675" i="4"/>
  <c r="M675" i="4"/>
  <c r="R675" i="4"/>
  <c r="H676" i="4"/>
  <c r="M676" i="4"/>
  <c r="R676" i="4"/>
  <c r="H677" i="4"/>
  <c r="M677" i="4"/>
  <c r="R677" i="4"/>
  <c r="H678" i="4"/>
  <c r="M678" i="4"/>
  <c r="R678" i="4"/>
  <c r="H679" i="4"/>
  <c r="M679" i="4"/>
  <c r="R679" i="4"/>
  <c r="H680" i="4"/>
  <c r="M680" i="4"/>
  <c r="R680" i="4"/>
  <c r="H681" i="4"/>
  <c r="M681" i="4"/>
  <c r="R681" i="4"/>
  <c r="H682" i="4"/>
  <c r="M682" i="4"/>
  <c r="R682" i="4"/>
  <c r="H683" i="4"/>
  <c r="M683" i="4"/>
  <c r="R683" i="4"/>
  <c r="H684" i="4"/>
  <c r="M684" i="4"/>
  <c r="R684" i="4"/>
  <c r="H685" i="4"/>
  <c r="M685" i="4"/>
  <c r="R685" i="4"/>
  <c r="H686" i="4"/>
  <c r="M686" i="4"/>
  <c r="R686" i="4"/>
  <c r="H687" i="4"/>
  <c r="M687" i="4"/>
  <c r="R687" i="4"/>
  <c r="H688" i="4"/>
  <c r="M688" i="4"/>
  <c r="R688" i="4"/>
  <c r="H689" i="4"/>
  <c r="M689" i="4"/>
  <c r="R689" i="4"/>
  <c r="H690" i="4"/>
  <c r="M690" i="4"/>
  <c r="R690" i="4"/>
  <c r="H691" i="4"/>
  <c r="M691" i="4"/>
  <c r="R691" i="4"/>
  <c r="H692" i="4"/>
  <c r="M692" i="4"/>
  <c r="R692" i="4"/>
  <c r="H693" i="4"/>
  <c r="M693" i="4"/>
  <c r="R693" i="4"/>
  <c r="H694" i="4"/>
  <c r="M694" i="4"/>
  <c r="R694" i="4"/>
  <c r="H695" i="4"/>
  <c r="M695" i="4"/>
  <c r="R695" i="4"/>
  <c r="H696" i="4"/>
  <c r="M696" i="4"/>
  <c r="R696" i="4"/>
  <c r="H697" i="4"/>
  <c r="M697" i="4"/>
  <c r="R697" i="4"/>
  <c r="H698" i="4"/>
  <c r="M698" i="4"/>
  <c r="R698" i="4"/>
  <c r="H699" i="4"/>
  <c r="M699" i="4"/>
  <c r="R699" i="4"/>
  <c r="H700" i="4"/>
  <c r="M700" i="4"/>
  <c r="R700" i="4"/>
  <c r="H701" i="4"/>
  <c r="M701" i="4"/>
  <c r="R701" i="4"/>
  <c r="H702" i="4"/>
  <c r="M702" i="4"/>
  <c r="R702" i="4"/>
  <c r="H703" i="4"/>
  <c r="M703" i="4"/>
  <c r="R703" i="4"/>
  <c r="H704" i="4"/>
  <c r="M704" i="4"/>
  <c r="R704" i="4"/>
  <c r="H705" i="4"/>
  <c r="M705" i="4"/>
  <c r="R705" i="4"/>
  <c r="H706" i="4"/>
  <c r="M706" i="4"/>
  <c r="R706" i="4"/>
  <c r="H707" i="4"/>
  <c r="M707" i="4"/>
  <c r="R707" i="4"/>
  <c r="H708" i="4"/>
  <c r="M708" i="4"/>
  <c r="R708" i="4"/>
  <c r="H709" i="4"/>
  <c r="M709" i="4"/>
  <c r="R709" i="4"/>
  <c r="H710" i="4"/>
  <c r="M710" i="4"/>
  <c r="R710" i="4"/>
  <c r="H711" i="4"/>
  <c r="M711" i="4"/>
  <c r="R711" i="4"/>
  <c r="H712" i="4"/>
  <c r="M712" i="4"/>
  <c r="R712" i="4"/>
  <c r="H713" i="4"/>
  <c r="M713" i="4"/>
  <c r="R713" i="4"/>
  <c r="H714" i="4"/>
  <c r="M714" i="4"/>
  <c r="R714" i="4"/>
  <c r="H715" i="4"/>
  <c r="M715" i="4"/>
  <c r="R715" i="4"/>
  <c r="H716" i="4"/>
  <c r="M716" i="4"/>
  <c r="R716" i="4"/>
  <c r="H717" i="4"/>
  <c r="M717" i="4"/>
  <c r="R717" i="4"/>
  <c r="H718" i="4"/>
  <c r="M718" i="4"/>
  <c r="R718" i="4"/>
  <c r="H719" i="4"/>
  <c r="M719" i="4"/>
  <c r="R719" i="4"/>
  <c r="H720" i="4"/>
  <c r="M720" i="4"/>
  <c r="R720" i="4"/>
  <c r="H721" i="4"/>
  <c r="M721" i="4"/>
  <c r="R721" i="4"/>
  <c r="H722" i="4"/>
  <c r="M722" i="4"/>
  <c r="R722" i="4"/>
  <c r="H723" i="4"/>
  <c r="M723" i="4"/>
  <c r="R723" i="4"/>
  <c r="H724" i="4"/>
  <c r="M724" i="4"/>
  <c r="R724" i="4"/>
  <c r="H725" i="4"/>
  <c r="M725" i="4"/>
  <c r="R725" i="4"/>
  <c r="H726" i="4"/>
  <c r="M726" i="4"/>
  <c r="R726" i="4"/>
  <c r="H727" i="4"/>
  <c r="M727" i="4"/>
  <c r="R727" i="4"/>
  <c r="H728" i="4"/>
  <c r="M728" i="4"/>
  <c r="R728" i="4"/>
  <c r="H729" i="4"/>
  <c r="M729" i="4"/>
  <c r="R729" i="4"/>
  <c r="H730" i="4"/>
  <c r="M730" i="4"/>
  <c r="R730" i="4"/>
  <c r="H731" i="4"/>
  <c r="M731" i="4"/>
  <c r="R731" i="4"/>
  <c r="H732" i="4"/>
  <c r="M732" i="4"/>
  <c r="R732" i="4"/>
  <c r="H733" i="4"/>
  <c r="M733" i="4"/>
  <c r="R733" i="4"/>
  <c r="H734" i="4"/>
  <c r="M734" i="4"/>
  <c r="R734" i="4"/>
  <c r="H735" i="4"/>
  <c r="M735" i="4"/>
  <c r="R735" i="4"/>
  <c r="H736" i="4"/>
  <c r="M736" i="4"/>
  <c r="R736" i="4"/>
  <c r="H737" i="4"/>
  <c r="M737" i="4"/>
  <c r="R737" i="4"/>
  <c r="H738" i="4"/>
  <c r="M738" i="4"/>
  <c r="R738" i="4"/>
  <c r="H739" i="4"/>
  <c r="M739" i="4"/>
  <c r="R739" i="4"/>
  <c r="H740" i="4"/>
  <c r="M740" i="4"/>
  <c r="R740" i="4"/>
  <c r="H741" i="4"/>
  <c r="M741" i="4"/>
  <c r="R741" i="4"/>
  <c r="H742" i="4"/>
  <c r="M742" i="4"/>
  <c r="R742" i="4"/>
  <c r="H743" i="4"/>
  <c r="M743" i="4"/>
  <c r="R743" i="4"/>
  <c r="H744" i="4"/>
  <c r="M744" i="4"/>
  <c r="R744" i="4"/>
  <c r="H745" i="4"/>
  <c r="M745" i="4"/>
  <c r="R745" i="4"/>
  <c r="H746" i="4"/>
  <c r="M746" i="4"/>
  <c r="R746" i="4"/>
  <c r="H747" i="4"/>
  <c r="M747" i="4"/>
  <c r="R747" i="4"/>
  <c r="H748" i="4"/>
  <c r="M748" i="4"/>
  <c r="R748" i="4"/>
  <c r="H749" i="4"/>
  <c r="M749" i="4"/>
  <c r="R749" i="4"/>
  <c r="H750" i="4"/>
  <c r="M750" i="4"/>
  <c r="R750" i="4"/>
  <c r="H751" i="4"/>
  <c r="M751" i="4"/>
  <c r="R751" i="4"/>
  <c r="H752" i="4"/>
  <c r="M752" i="4"/>
  <c r="R752" i="4"/>
  <c r="H753" i="4"/>
  <c r="M753" i="4"/>
  <c r="R753" i="4"/>
  <c r="H754" i="4"/>
  <c r="M754" i="4"/>
  <c r="R754" i="4"/>
  <c r="H755" i="4"/>
  <c r="M755" i="4"/>
  <c r="R755" i="4"/>
  <c r="H756" i="4"/>
  <c r="M756" i="4"/>
  <c r="R756" i="4"/>
  <c r="H757" i="4"/>
  <c r="M757" i="4"/>
  <c r="R757" i="4"/>
  <c r="H758" i="4"/>
  <c r="M758" i="4"/>
  <c r="R758" i="4"/>
  <c r="H759" i="4"/>
  <c r="M759" i="4"/>
  <c r="R759" i="4"/>
  <c r="H760" i="4"/>
  <c r="M760" i="4"/>
  <c r="R760" i="4"/>
  <c r="H761" i="4"/>
  <c r="M761" i="4"/>
  <c r="R761" i="4"/>
  <c r="H762" i="4"/>
  <c r="M762" i="4"/>
  <c r="R762" i="4"/>
  <c r="H763" i="4"/>
  <c r="M763" i="4"/>
  <c r="R763" i="4"/>
  <c r="H764" i="4"/>
  <c r="M764" i="4"/>
  <c r="R764" i="4"/>
  <c r="H765" i="4"/>
  <c r="M765" i="4"/>
  <c r="R765" i="4"/>
  <c r="H766" i="4"/>
  <c r="M766" i="4"/>
  <c r="R766" i="4"/>
  <c r="H767" i="4"/>
  <c r="M767" i="4"/>
  <c r="R767" i="4"/>
  <c r="H768" i="4"/>
  <c r="M768" i="4"/>
  <c r="R768" i="4"/>
  <c r="H769" i="4"/>
  <c r="M769" i="4"/>
  <c r="R769" i="4"/>
  <c r="H770" i="4"/>
  <c r="M770" i="4"/>
  <c r="R770" i="4"/>
  <c r="H771" i="4"/>
  <c r="M771" i="4"/>
  <c r="R771" i="4"/>
  <c r="H772" i="4"/>
  <c r="M772" i="4"/>
  <c r="R772" i="4"/>
  <c r="H773" i="4"/>
  <c r="M773" i="4"/>
  <c r="R773" i="4"/>
  <c r="H774" i="4"/>
  <c r="M774" i="4"/>
  <c r="R774" i="4"/>
  <c r="H775" i="4"/>
  <c r="M775" i="4"/>
  <c r="R775" i="4"/>
  <c r="H776" i="4"/>
  <c r="M776" i="4"/>
  <c r="R776" i="4"/>
  <c r="H777" i="4"/>
  <c r="M777" i="4"/>
  <c r="R777" i="4"/>
  <c r="H778" i="4"/>
  <c r="M778" i="4"/>
  <c r="R778" i="4"/>
  <c r="H779" i="4"/>
  <c r="M779" i="4"/>
  <c r="R779" i="4"/>
  <c r="H780" i="4"/>
  <c r="M780" i="4"/>
  <c r="R780" i="4"/>
  <c r="H781" i="4"/>
  <c r="M781" i="4"/>
  <c r="R781" i="4"/>
  <c r="H782" i="4"/>
  <c r="M782" i="4"/>
  <c r="R782" i="4"/>
  <c r="H783" i="4"/>
  <c r="M783" i="4"/>
  <c r="R783" i="4"/>
  <c r="H784" i="4"/>
  <c r="M784" i="4"/>
  <c r="R784" i="4"/>
  <c r="H785" i="4"/>
  <c r="M785" i="4"/>
  <c r="R785" i="4"/>
  <c r="H786" i="4"/>
  <c r="M786" i="4"/>
  <c r="R786" i="4"/>
  <c r="H787" i="4"/>
  <c r="M787" i="4"/>
  <c r="R787" i="4"/>
  <c r="H788" i="4"/>
  <c r="M788" i="4"/>
  <c r="R788" i="4"/>
  <c r="H789" i="4"/>
  <c r="M789" i="4"/>
  <c r="R789" i="4"/>
  <c r="H790" i="4"/>
  <c r="M790" i="4"/>
  <c r="R790" i="4"/>
  <c r="H791" i="4"/>
  <c r="M791" i="4"/>
  <c r="R791" i="4"/>
  <c r="H792" i="4"/>
  <c r="M792" i="4"/>
  <c r="R792" i="4"/>
  <c r="H793" i="4"/>
  <c r="M793" i="4"/>
  <c r="R793" i="4"/>
  <c r="H794" i="4"/>
  <c r="M794" i="4"/>
  <c r="R794" i="4"/>
  <c r="H795" i="4"/>
  <c r="M795" i="4"/>
  <c r="R795" i="4"/>
  <c r="H796" i="4"/>
  <c r="M796" i="4"/>
  <c r="R796" i="4"/>
  <c r="H797" i="4"/>
  <c r="M797" i="4"/>
  <c r="R797" i="4"/>
  <c r="H798" i="4"/>
  <c r="M798" i="4"/>
  <c r="R798" i="4"/>
  <c r="H799" i="4"/>
  <c r="M799" i="4"/>
  <c r="R799" i="4"/>
  <c r="H800" i="4"/>
  <c r="M800" i="4"/>
  <c r="R800" i="4"/>
  <c r="H801" i="4"/>
  <c r="M801" i="4"/>
  <c r="R801" i="4"/>
  <c r="H802" i="4"/>
  <c r="M802" i="4"/>
  <c r="R802" i="4"/>
  <c r="H803" i="4"/>
  <c r="M803" i="4"/>
  <c r="R803" i="4"/>
  <c r="H804" i="4"/>
  <c r="M804" i="4"/>
  <c r="R804" i="4"/>
  <c r="H805" i="4"/>
  <c r="M805" i="4"/>
  <c r="R805" i="4"/>
  <c r="H806" i="4"/>
  <c r="M806" i="4"/>
  <c r="R806" i="4"/>
  <c r="H807" i="4"/>
  <c r="M807" i="4"/>
  <c r="R807" i="4"/>
  <c r="H808" i="4"/>
  <c r="M808" i="4"/>
  <c r="R808" i="4"/>
  <c r="H809" i="4"/>
  <c r="M809" i="4"/>
  <c r="R809" i="4"/>
  <c r="H810" i="4"/>
  <c r="M810" i="4"/>
  <c r="R810" i="4"/>
  <c r="H811" i="4"/>
  <c r="M811" i="4"/>
  <c r="R811" i="4"/>
  <c r="H812" i="4"/>
  <c r="M812" i="4"/>
  <c r="R812" i="4"/>
  <c r="H813" i="4"/>
  <c r="M813" i="4"/>
  <c r="R813" i="4"/>
  <c r="H814" i="4"/>
  <c r="M814" i="4"/>
  <c r="R814" i="4"/>
  <c r="H815" i="4"/>
  <c r="M815" i="4"/>
  <c r="R815" i="4"/>
  <c r="H816" i="4"/>
  <c r="M816" i="4"/>
  <c r="R816" i="4"/>
  <c r="H817" i="4"/>
  <c r="M817" i="4"/>
  <c r="R817" i="4"/>
  <c r="H818" i="4"/>
  <c r="M818" i="4"/>
  <c r="R818" i="4"/>
  <c r="H819" i="4"/>
  <c r="M819" i="4"/>
  <c r="R819" i="4"/>
  <c r="H820" i="4"/>
  <c r="M820" i="4"/>
  <c r="R820" i="4"/>
  <c r="H821" i="4"/>
  <c r="M821" i="4"/>
  <c r="R821" i="4"/>
  <c r="H822" i="4"/>
  <c r="M822" i="4"/>
  <c r="R822" i="4"/>
  <c r="H823" i="4"/>
  <c r="M823" i="4"/>
  <c r="R823" i="4"/>
  <c r="H824" i="4"/>
  <c r="M824" i="4"/>
  <c r="R824" i="4"/>
  <c r="H825" i="4"/>
  <c r="M825" i="4"/>
  <c r="R825" i="4"/>
  <c r="H826" i="4"/>
  <c r="M826" i="4"/>
  <c r="R826" i="4"/>
  <c r="H827" i="4"/>
  <c r="M827" i="4"/>
  <c r="R827" i="4"/>
  <c r="H828" i="4"/>
  <c r="M828" i="4"/>
  <c r="R828" i="4"/>
  <c r="H829" i="4"/>
  <c r="M829" i="4"/>
  <c r="R829" i="4"/>
  <c r="H830" i="4"/>
  <c r="M830" i="4"/>
  <c r="R830" i="4"/>
  <c r="H831" i="4"/>
  <c r="M831" i="4"/>
  <c r="R831" i="4"/>
  <c r="H832" i="4"/>
  <c r="M832" i="4"/>
  <c r="R832" i="4"/>
  <c r="H833" i="4"/>
  <c r="M833" i="4"/>
  <c r="R833" i="4"/>
  <c r="H834" i="4"/>
  <c r="M834" i="4"/>
  <c r="R834" i="4"/>
  <c r="H835" i="4"/>
  <c r="M835" i="4"/>
  <c r="R835" i="4"/>
  <c r="H836" i="4"/>
  <c r="M836" i="4"/>
  <c r="R836" i="4"/>
  <c r="H837" i="4"/>
  <c r="M837" i="4"/>
  <c r="R837" i="4"/>
  <c r="H838" i="4"/>
  <c r="M838" i="4"/>
  <c r="R838" i="4"/>
  <c r="H839" i="4"/>
  <c r="M839" i="4"/>
  <c r="R839" i="4"/>
  <c r="H840" i="4"/>
  <c r="M840" i="4"/>
  <c r="R840" i="4"/>
  <c r="H841" i="4"/>
  <c r="M841" i="4"/>
  <c r="R841" i="4"/>
  <c r="H842" i="4"/>
  <c r="M842" i="4"/>
  <c r="R842" i="4"/>
  <c r="H843" i="4"/>
  <c r="M843" i="4"/>
  <c r="R843" i="4"/>
  <c r="H844" i="4"/>
  <c r="M844" i="4"/>
  <c r="R844" i="4"/>
  <c r="H845" i="4"/>
  <c r="M845" i="4"/>
  <c r="R845" i="4"/>
  <c r="H846" i="4"/>
  <c r="M846" i="4"/>
  <c r="R846" i="4"/>
  <c r="H847" i="4"/>
  <c r="M847" i="4"/>
  <c r="R847" i="4"/>
  <c r="H848" i="4"/>
  <c r="M848" i="4"/>
  <c r="R848" i="4"/>
  <c r="H849" i="4"/>
  <c r="M849" i="4"/>
  <c r="R849" i="4"/>
  <c r="H850" i="4"/>
  <c r="M850" i="4"/>
  <c r="R850" i="4"/>
  <c r="H851" i="4"/>
  <c r="M851" i="4"/>
  <c r="R851" i="4"/>
  <c r="H852" i="4"/>
  <c r="M852" i="4"/>
  <c r="R852" i="4"/>
  <c r="H853" i="4"/>
  <c r="M853" i="4"/>
  <c r="R853" i="4"/>
  <c r="H854" i="4"/>
  <c r="M854" i="4"/>
  <c r="R854" i="4"/>
  <c r="H855" i="4"/>
  <c r="M855" i="4"/>
  <c r="R855" i="4"/>
  <c r="H856" i="4"/>
  <c r="M856" i="4"/>
  <c r="R856" i="4"/>
  <c r="H857" i="4"/>
  <c r="M857" i="4"/>
  <c r="R857" i="4"/>
  <c r="H858" i="4"/>
  <c r="M858" i="4"/>
  <c r="R858" i="4"/>
  <c r="H859" i="4"/>
  <c r="M859" i="4"/>
  <c r="R859" i="4"/>
  <c r="H860" i="4"/>
  <c r="M860" i="4"/>
  <c r="R860" i="4"/>
  <c r="H861" i="4"/>
  <c r="M861" i="4"/>
  <c r="R861" i="4"/>
  <c r="H862" i="4"/>
  <c r="M862" i="4"/>
  <c r="R862" i="4"/>
  <c r="H863" i="4"/>
  <c r="M863" i="4"/>
  <c r="R863" i="4"/>
  <c r="H864" i="4"/>
  <c r="M864" i="4"/>
  <c r="R864" i="4"/>
  <c r="H865" i="4"/>
  <c r="M865" i="4"/>
  <c r="R865" i="4"/>
  <c r="H866" i="4"/>
  <c r="M866" i="4"/>
  <c r="R866" i="4"/>
  <c r="H867" i="4"/>
  <c r="M867" i="4"/>
  <c r="R867" i="4"/>
  <c r="H868" i="4"/>
  <c r="M868" i="4"/>
  <c r="R868" i="4"/>
  <c r="H869" i="4"/>
  <c r="M869" i="4"/>
  <c r="R869" i="4"/>
  <c r="H870" i="4"/>
  <c r="M870" i="4"/>
  <c r="R870" i="4"/>
  <c r="H871" i="4"/>
  <c r="M871" i="4"/>
  <c r="R871" i="4"/>
  <c r="H872" i="4"/>
  <c r="M872" i="4"/>
  <c r="R872" i="4"/>
  <c r="H873" i="4"/>
  <c r="M873" i="4"/>
  <c r="R873" i="4"/>
  <c r="H874" i="4"/>
  <c r="M874" i="4"/>
  <c r="R874" i="4"/>
  <c r="H875" i="4"/>
  <c r="M875" i="4"/>
  <c r="R875" i="4"/>
  <c r="H876" i="4"/>
  <c r="M876" i="4"/>
  <c r="R876" i="4"/>
  <c r="H877" i="4"/>
  <c r="M877" i="4"/>
  <c r="R877" i="4"/>
  <c r="H878" i="4"/>
  <c r="M878" i="4"/>
  <c r="R878" i="4"/>
  <c r="H879" i="4"/>
  <c r="M879" i="4"/>
  <c r="R879" i="4"/>
  <c r="H880" i="4"/>
  <c r="M880" i="4"/>
  <c r="R880" i="4"/>
  <c r="H881" i="4"/>
  <c r="M881" i="4"/>
  <c r="R881" i="4"/>
  <c r="H882" i="4"/>
  <c r="M882" i="4"/>
  <c r="R882" i="4"/>
  <c r="H883" i="4"/>
  <c r="M883" i="4"/>
  <c r="R883" i="4"/>
  <c r="H884" i="4"/>
  <c r="M884" i="4"/>
  <c r="R884" i="4"/>
  <c r="H885" i="4"/>
  <c r="M885" i="4"/>
  <c r="R885" i="4"/>
  <c r="H886" i="4"/>
  <c r="M886" i="4"/>
  <c r="R886" i="4"/>
  <c r="H887" i="4"/>
  <c r="M887" i="4"/>
  <c r="R887" i="4"/>
  <c r="H888" i="4"/>
  <c r="M888" i="4"/>
  <c r="R888" i="4"/>
  <c r="H889" i="4"/>
  <c r="M889" i="4"/>
  <c r="R889" i="4"/>
  <c r="H890" i="4"/>
  <c r="M890" i="4"/>
  <c r="R890" i="4"/>
  <c r="H891" i="4"/>
  <c r="M891" i="4"/>
  <c r="R891" i="4"/>
  <c r="H892" i="4"/>
  <c r="M892" i="4"/>
  <c r="R892" i="4"/>
  <c r="H893" i="4"/>
  <c r="M893" i="4"/>
  <c r="R893" i="4"/>
  <c r="H894" i="4"/>
  <c r="M894" i="4"/>
  <c r="R894" i="4"/>
  <c r="H895" i="4"/>
  <c r="M895" i="4"/>
  <c r="R895" i="4"/>
  <c r="H896" i="4"/>
  <c r="M896" i="4"/>
  <c r="R896" i="4"/>
  <c r="H897" i="4"/>
  <c r="M897" i="4"/>
  <c r="R897" i="4"/>
  <c r="H898" i="4"/>
  <c r="M898" i="4"/>
  <c r="R898" i="4"/>
  <c r="H899" i="4"/>
  <c r="M899" i="4"/>
  <c r="R899" i="4"/>
  <c r="H900" i="4"/>
  <c r="M900" i="4"/>
  <c r="R900" i="4"/>
  <c r="H901" i="4"/>
  <c r="M901" i="4"/>
  <c r="R901" i="4"/>
  <c r="H902" i="4"/>
  <c r="M902" i="4"/>
  <c r="R902" i="4"/>
  <c r="H903" i="4"/>
  <c r="M903" i="4"/>
  <c r="R903" i="4"/>
  <c r="H904" i="4"/>
  <c r="M904" i="4"/>
  <c r="R904" i="4"/>
  <c r="H905" i="4"/>
  <c r="M905" i="4"/>
  <c r="R905" i="4"/>
  <c r="H906" i="4"/>
  <c r="M906" i="4"/>
  <c r="R906" i="4"/>
  <c r="H907" i="4"/>
  <c r="M907" i="4"/>
  <c r="R907" i="4"/>
  <c r="H908" i="4"/>
  <c r="M908" i="4"/>
  <c r="R908" i="4"/>
  <c r="H909" i="4"/>
  <c r="M909" i="4"/>
  <c r="R909" i="4"/>
  <c r="H910" i="4"/>
  <c r="M910" i="4"/>
  <c r="R910" i="4"/>
  <c r="H911" i="4"/>
  <c r="M911" i="4"/>
  <c r="R911" i="4"/>
  <c r="H912" i="4"/>
  <c r="M912" i="4"/>
  <c r="R912" i="4"/>
  <c r="H913" i="4"/>
  <c r="M913" i="4"/>
  <c r="R913" i="4"/>
  <c r="H914" i="4"/>
  <c r="M914" i="4"/>
  <c r="R914" i="4"/>
  <c r="H915" i="4"/>
  <c r="M915" i="4"/>
  <c r="R915" i="4"/>
  <c r="H916" i="4"/>
  <c r="M916" i="4"/>
  <c r="R916" i="4"/>
  <c r="H917" i="4"/>
  <c r="M917" i="4"/>
  <c r="R917" i="4"/>
  <c r="H918" i="4"/>
  <c r="M918" i="4"/>
  <c r="R918" i="4"/>
  <c r="H919" i="4"/>
  <c r="M919" i="4"/>
  <c r="R919" i="4"/>
  <c r="H920" i="4"/>
  <c r="M920" i="4"/>
  <c r="R920" i="4"/>
  <c r="H921" i="4"/>
  <c r="M921" i="4"/>
  <c r="R921" i="4"/>
  <c r="H922" i="4"/>
  <c r="M922" i="4"/>
  <c r="R922" i="4"/>
  <c r="H923" i="4"/>
  <c r="M923" i="4"/>
  <c r="R923" i="4"/>
  <c r="H924" i="4"/>
  <c r="M924" i="4"/>
  <c r="R924" i="4"/>
  <c r="H925" i="4"/>
  <c r="M925" i="4"/>
  <c r="R925" i="4"/>
  <c r="H926" i="4"/>
  <c r="M926" i="4"/>
  <c r="R926" i="4"/>
  <c r="H927" i="4"/>
  <c r="M927" i="4"/>
  <c r="R927" i="4"/>
  <c r="H928" i="4"/>
  <c r="M928" i="4"/>
  <c r="R928" i="4"/>
  <c r="H929" i="4"/>
  <c r="M929" i="4"/>
  <c r="R929" i="4"/>
  <c r="H930" i="4"/>
  <c r="M930" i="4"/>
  <c r="R930" i="4"/>
  <c r="H931" i="4"/>
  <c r="M931" i="4"/>
  <c r="R931" i="4"/>
  <c r="H932" i="4"/>
  <c r="M932" i="4"/>
  <c r="R932" i="4"/>
  <c r="H933" i="4"/>
  <c r="M933" i="4"/>
  <c r="R933" i="4"/>
  <c r="H934" i="4"/>
  <c r="M934" i="4"/>
  <c r="R934" i="4"/>
  <c r="H935" i="4"/>
  <c r="M935" i="4"/>
  <c r="R935" i="4"/>
  <c r="H936" i="4"/>
  <c r="M936" i="4"/>
  <c r="R936" i="4"/>
  <c r="H937" i="4"/>
  <c r="M937" i="4"/>
  <c r="R937" i="4"/>
  <c r="H938" i="4"/>
  <c r="M938" i="4"/>
  <c r="R938" i="4"/>
  <c r="H939" i="4"/>
  <c r="M939" i="4"/>
  <c r="R939" i="4"/>
  <c r="H940" i="4"/>
  <c r="M940" i="4"/>
  <c r="R940" i="4"/>
  <c r="H941" i="4"/>
  <c r="M941" i="4"/>
  <c r="R941" i="4"/>
  <c r="H942" i="4"/>
  <c r="M942" i="4"/>
  <c r="R942" i="4"/>
  <c r="H943" i="4"/>
  <c r="M943" i="4"/>
  <c r="R943" i="4"/>
  <c r="H944" i="4"/>
  <c r="M944" i="4"/>
  <c r="R944" i="4"/>
  <c r="H945" i="4"/>
  <c r="M945" i="4"/>
  <c r="R945" i="4"/>
  <c r="H946" i="4"/>
  <c r="M946" i="4"/>
  <c r="R946" i="4"/>
  <c r="H947" i="4"/>
  <c r="M947" i="4"/>
  <c r="R947" i="4"/>
  <c r="H948" i="4"/>
  <c r="M948" i="4"/>
  <c r="R948" i="4"/>
  <c r="H949" i="4"/>
  <c r="M949" i="4"/>
  <c r="R949" i="4"/>
  <c r="H950" i="4"/>
  <c r="M950" i="4"/>
  <c r="R950" i="4"/>
  <c r="H951" i="4"/>
  <c r="M951" i="4"/>
  <c r="R951" i="4"/>
  <c r="H952" i="4"/>
  <c r="M952" i="4"/>
  <c r="R952" i="4"/>
  <c r="H953" i="4"/>
  <c r="M953" i="4"/>
  <c r="R953" i="4"/>
  <c r="H954" i="4"/>
  <c r="M954" i="4"/>
  <c r="R954" i="4"/>
  <c r="H955" i="4"/>
  <c r="M955" i="4"/>
  <c r="R955" i="4"/>
  <c r="H956" i="4"/>
  <c r="M956" i="4"/>
  <c r="R956" i="4"/>
  <c r="H957" i="4"/>
  <c r="M957" i="4"/>
  <c r="R957" i="4"/>
  <c r="H958" i="4"/>
  <c r="M958" i="4"/>
  <c r="R958" i="4"/>
  <c r="H959" i="4"/>
  <c r="M959" i="4"/>
  <c r="R959" i="4"/>
  <c r="H960" i="4"/>
  <c r="M960" i="4"/>
  <c r="R960" i="4"/>
  <c r="H961" i="4"/>
  <c r="M961" i="4"/>
  <c r="R961" i="4"/>
  <c r="H962" i="4"/>
  <c r="M962" i="4"/>
  <c r="R962" i="4"/>
  <c r="H963" i="4"/>
  <c r="M963" i="4"/>
  <c r="R963" i="4"/>
  <c r="H964" i="4"/>
  <c r="M964" i="4"/>
  <c r="R964" i="4"/>
  <c r="H965" i="4"/>
  <c r="M965" i="4"/>
  <c r="R965" i="4"/>
  <c r="H966" i="4"/>
  <c r="M966" i="4"/>
  <c r="R966" i="4"/>
  <c r="H967" i="4"/>
  <c r="M967" i="4"/>
  <c r="R967" i="4"/>
  <c r="H968" i="4"/>
  <c r="M968" i="4"/>
  <c r="R968" i="4"/>
  <c r="H969" i="4"/>
  <c r="M969" i="4"/>
  <c r="R969" i="4"/>
  <c r="H970" i="4"/>
  <c r="M970" i="4"/>
  <c r="R970" i="4"/>
  <c r="H971" i="4"/>
  <c r="M971" i="4"/>
  <c r="R971" i="4"/>
  <c r="H972" i="4"/>
  <c r="M972" i="4"/>
  <c r="R972" i="4"/>
  <c r="H973" i="4"/>
  <c r="M973" i="4"/>
  <c r="R973" i="4"/>
  <c r="H974" i="4"/>
  <c r="M974" i="4"/>
  <c r="R974" i="4"/>
  <c r="H975" i="4"/>
  <c r="M975" i="4"/>
  <c r="R975" i="4"/>
  <c r="H976" i="4"/>
  <c r="M976" i="4"/>
  <c r="R976" i="4"/>
  <c r="H977" i="4"/>
  <c r="M977" i="4"/>
  <c r="R977" i="4"/>
  <c r="H978" i="4"/>
  <c r="M978" i="4"/>
  <c r="R978" i="4"/>
  <c r="H979" i="4"/>
  <c r="M979" i="4"/>
  <c r="R979" i="4"/>
  <c r="H980" i="4"/>
  <c r="M980" i="4"/>
  <c r="R980" i="4"/>
  <c r="H981" i="4"/>
  <c r="M981" i="4"/>
  <c r="R981" i="4"/>
  <c r="H982" i="4"/>
  <c r="M982" i="4"/>
  <c r="R982" i="4"/>
  <c r="H983" i="4"/>
  <c r="M983" i="4"/>
  <c r="R983" i="4"/>
  <c r="H984" i="4"/>
  <c r="M984" i="4"/>
  <c r="R984" i="4"/>
  <c r="H985" i="4"/>
  <c r="M985" i="4"/>
  <c r="R985" i="4"/>
  <c r="H986" i="4"/>
  <c r="M986" i="4"/>
  <c r="R986" i="4"/>
  <c r="H987" i="4"/>
  <c r="M987" i="4"/>
  <c r="R987" i="4"/>
  <c r="H988" i="4"/>
  <c r="M988" i="4"/>
  <c r="R988" i="4"/>
  <c r="H989" i="4"/>
  <c r="M989" i="4"/>
  <c r="R989" i="4"/>
  <c r="H990" i="4"/>
  <c r="M990" i="4"/>
  <c r="R990" i="4"/>
  <c r="H991" i="4"/>
  <c r="M991" i="4"/>
  <c r="R991" i="4"/>
  <c r="H992" i="4"/>
  <c r="M992" i="4"/>
  <c r="R992" i="4"/>
  <c r="H993" i="4"/>
  <c r="M993" i="4"/>
  <c r="R993" i="4"/>
  <c r="H994" i="4"/>
  <c r="M994" i="4"/>
  <c r="R994" i="4"/>
  <c r="H995" i="4"/>
  <c r="M995" i="4"/>
  <c r="R995" i="4"/>
  <c r="H996" i="4"/>
  <c r="M996" i="4"/>
  <c r="R996" i="4"/>
  <c r="H997" i="4"/>
  <c r="M997" i="4"/>
  <c r="R997" i="4"/>
  <c r="H998" i="4"/>
  <c r="M998" i="4"/>
  <c r="R998" i="4"/>
  <c r="H999" i="4"/>
  <c r="M999" i="4"/>
  <c r="R999" i="4"/>
  <c r="H1000" i="4"/>
  <c r="M1000" i="4"/>
  <c r="R1000" i="4"/>
  <c r="H1001" i="4"/>
  <c r="M1001" i="4"/>
  <c r="R1001" i="4"/>
  <c r="R7" i="4"/>
  <c r="R8" i="4"/>
  <c r="R5" i="4"/>
  <c r="M6" i="4"/>
  <c r="M7" i="4"/>
  <c r="M8" i="4"/>
  <c r="M5" i="4"/>
  <c r="H6" i="4"/>
  <c r="H7" i="4"/>
  <c r="H8" i="4"/>
  <c r="H5" i="4"/>
  <c r="S7" i="2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T1" i="2"/>
  <c r="AD985" i="4" l="1"/>
  <c r="V13" i="4"/>
  <c r="V999" i="4"/>
  <c r="AC962" i="4"/>
  <c r="AD984" i="4"/>
  <c r="AC982" i="4"/>
  <c r="X976" i="4"/>
  <c r="V974" i="4"/>
  <c r="AD14" i="4"/>
  <c r="V968" i="4"/>
  <c r="AC12" i="4"/>
  <c r="V938" i="4"/>
  <c r="AC9" i="4"/>
  <c r="AC930" i="4"/>
  <c r="V8" i="4"/>
  <c r="X894" i="4"/>
  <c r="W993" i="4"/>
  <c r="V998" i="4"/>
  <c r="X963" i="4"/>
  <c r="V891" i="4"/>
  <c r="X883" i="4"/>
  <c r="AD990" i="4"/>
  <c r="V950" i="4"/>
  <c r="X874" i="4"/>
  <c r="V988" i="4"/>
  <c r="AC948" i="4"/>
  <c r="V873" i="4"/>
  <c r="AC5" i="4"/>
  <c r="AC987" i="4"/>
  <c r="X939" i="4"/>
  <c r="V836" i="4"/>
  <c r="V831" i="4"/>
  <c r="X770" i="4"/>
  <c r="X930" i="4"/>
  <c r="AC764" i="4"/>
  <c r="V10" i="4"/>
  <c r="V982" i="4"/>
  <c r="X919" i="4"/>
  <c r="X737" i="4"/>
  <c r="X908" i="4"/>
  <c r="V903" i="4"/>
  <c r="AB5" i="4"/>
  <c r="X10" i="4"/>
  <c r="X1001" i="4"/>
  <c r="AB995" i="4"/>
  <c r="X993" i="4"/>
  <c r="X988" i="4"/>
  <c r="AB985" i="4"/>
  <c r="AB982" i="4"/>
  <c r="X980" i="4"/>
  <c r="AC976" i="4"/>
  <c r="X974" i="4"/>
  <c r="X971" i="4"/>
  <c r="AD968" i="4"/>
  <c r="W966" i="4"/>
  <c r="X960" i="4"/>
  <c r="AB956" i="4"/>
  <c r="AD953" i="4"/>
  <c r="X946" i="4"/>
  <c r="AB942" i="4"/>
  <c r="AB927" i="4"/>
  <c r="AA923" i="4"/>
  <c r="AB911" i="4"/>
  <c r="X903" i="4"/>
  <c r="V883" i="4"/>
  <c r="V865" i="4"/>
  <c r="AB849" i="4"/>
  <c r="X841" i="4"/>
  <c r="X832" i="4"/>
  <c r="X823" i="4"/>
  <c r="X792" i="4"/>
  <c r="AB673" i="4"/>
  <c r="AB7" i="4"/>
  <c r="AB976" i="4"/>
  <c r="AB953" i="4"/>
  <c r="AB938" i="4"/>
  <c r="AB873" i="4"/>
  <c r="AB817" i="4"/>
  <c r="AB775" i="4"/>
  <c r="AB12" i="4"/>
  <c r="AC1000" i="4"/>
  <c r="X998" i="4"/>
  <c r="X995" i="4"/>
  <c r="V993" i="4"/>
  <c r="AB990" i="4"/>
  <c r="X982" i="4"/>
  <c r="AB979" i="4"/>
  <c r="AC970" i="4"/>
  <c r="X968" i="4"/>
  <c r="AB965" i="4"/>
  <c r="V956" i="4"/>
  <c r="AB945" i="4"/>
  <c r="W942" i="4"/>
  <c r="AB934" i="4"/>
  <c r="V919" i="4"/>
  <c r="AA914" i="4"/>
  <c r="W907" i="4"/>
  <c r="AB898" i="4"/>
  <c r="X890" i="4"/>
  <c r="AA885" i="4"/>
  <c r="AC882" i="4"/>
  <c r="AC864" i="4"/>
  <c r="X849" i="4"/>
  <c r="AB826" i="4"/>
  <c r="X807" i="4"/>
  <c r="W12" i="4"/>
  <c r="AD6" i="4"/>
  <c r="AC994" i="4"/>
  <c r="AD992" i="4"/>
  <c r="W990" i="4"/>
  <c r="AB984" i="4"/>
  <c r="X965" i="4"/>
  <c r="AC958" i="4"/>
  <c r="AD955" i="4"/>
  <c r="AB952" i="4"/>
  <c r="X926" i="4"/>
  <c r="AC918" i="4"/>
  <c r="V914" i="4"/>
  <c r="X910" i="4"/>
  <c r="AB906" i="4"/>
  <c r="X885" i="4"/>
  <c r="X858" i="4"/>
  <c r="AC848" i="4"/>
  <c r="AB843" i="4"/>
  <c r="X835" i="4"/>
  <c r="X826" i="4"/>
  <c r="AB816" i="4"/>
  <c r="AC790" i="4"/>
  <c r="AB973" i="4"/>
  <c r="AB893" i="4"/>
  <c r="X14" i="4"/>
  <c r="X9" i="4"/>
  <c r="AC6" i="4"/>
  <c r="X1000" i="4"/>
  <c r="AB997" i="4"/>
  <c r="AB994" i="4"/>
  <c r="X987" i="4"/>
  <c r="AC981" i="4"/>
  <c r="AB978" i="4"/>
  <c r="AC975" i="4"/>
  <c r="W973" i="4"/>
  <c r="X970" i="4"/>
  <c r="AD967" i="4"/>
  <c r="X962" i="4"/>
  <c r="X948" i="4"/>
  <c r="AA944" i="4"/>
  <c r="AC933" i="4"/>
  <c r="AB929" i="4"/>
  <c r="AD921" i="4"/>
  <c r="W889" i="4"/>
  <c r="X876" i="4"/>
  <c r="AB852" i="4"/>
  <c r="X806" i="4"/>
  <c r="V757" i="4"/>
  <c r="X752" i="4"/>
  <c r="V14" i="4"/>
  <c r="AB11" i="4"/>
  <c r="W9" i="4"/>
  <c r="AB6" i="4"/>
  <c r="X992" i="4"/>
  <c r="AB989" i="4"/>
  <c r="V987" i="4"/>
  <c r="V970" i="4"/>
  <c r="AB967" i="4"/>
  <c r="AC964" i="4"/>
  <c r="W958" i="4"/>
  <c r="X955" i="4"/>
  <c r="AC940" i="4"/>
  <c r="X937" i="4"/>
  <c r="AB909" i="4"/>
  <c r="AB884" i="4"/>
  <c r="X872" i="4"/>
  <c r="V867" i="4"/>
  <c r="X843" i="4"/>
  <c r="AC834" i="4"/>
  <c r="AB825" i="4"/>
  <c r="AC746" i="4"/>
  <c r="X2" i="4"/>
  <c r="AC999" i="4"/>
  <c r="W997" i="4"/>
  <c r="X994" i="4"/>
  <c r="V992" i="4"/>
  <c r="AB983" i="4"/>
  <c r="X981" i="4"/>
  <c r="X975" i="4"/>
  <c r="AB972" i="4"/>
  <c r="AB964" i="4"/>
  <c r="AC951" i="4"/>
  <c r="AB947" i="4"/>
  <c r="X944" i="4"/>
  <c r="V937" i="4"/>
  <c r="V929" i="4"/>
  <c r="X921" i="4"/>
  <c r="X901" i="4"/>
  <c r="X892" i="4"/>
  <c r="AB888" i="4"/>
  <c r="AB880" i="4"/>
  <c r="AB875" i="4"/>
  <c r="AC829" i="4"/>
  <c r="AB809" i="4"/>
  <c r="V784" i="4"/>
  <c r="AB740" i="4"/>
  <c r="AC2" i="4"/>
  <c r="AD13" i="4"/>
  <c r="X11" i="4"/>
  <c r="AA8" i="4"/>
  <c r="V994" i="4"/>
  <c r="X989" i="4"/>
  <c r="V981" i="4"/>
  <c r="AB977" i="4"/>
  <c r="V975" i="4"/>
  <c r="W961" i="4"/>
  <c r="AC954" i="4"/>
  <c r="AD924" i="4"/>
  <c r="AC912" i="4"/>
  <c r="V909" i="4"/>
  <c r="V901" i="4"/>
  <c r="V896" i="4"/>
  <c r="V884" i="4"/>
  <c r="X847" i="4"/>
  <c r="AB837" i="4"/>
  <c r="AB2" i="4"/>
  <c r="AB13" i="4"/>
  <c r="AD1001" i="4"/>
  <c r="X999" i="4"/>
  <c r="AB996" i="4"/>
  <c r="AD991" i="4"/>
  <c r="X986" i="4"/>
  <c r="X983" i="4"/>
  <c r="X969" i="4"/>
  <c r="AD966" i="4"/>
  <c r="X964" i="4"/>
  <c r="X957" i="4"/>
  <c r="AB954" i="4"/>
  <c r="V947" i="4"/>
  <c r="AA939" i="4"/>
  <c r="V932" i="4"/>
  <c r="AB924" i="4"/>
  <c r="AB920" i="4"/>
  <c r="AB916" i="4"/>
  <c r="AB891" i="4"/>
  <c r="V866" i="4"/>
  <c r="W819" i="4"/>
  <c r="AB798" i="4"/>
  <c r="AC788" i="4"/>
  <c r="AB1000" i="4"/>
  <c r="AB970" i="4"/>
  <c r="AB902" i="4"/>
  <c r="W5" i="4"/>
  <c r="AB10" i="4"/>
  <c r="X8" i="4"/>
  <c r="AB1001" i="4"/>
  <c r="W999" i="4"/>
  <c r="AC993" i="4"/>
  <c r="AB991" i="4"/>
  <c r="AB988" i="4"/>
  <c r="AD980" i="4"/>
  <c r="X977" i="4"/>
  <c r="AD974" i="4"/>
  <c r="AB971" i="4"/>
  <c r="V969" i="4"/>
  <c r="AB966" i="4"/>
  <c r="AB960" i="4"/>
  <c r="V957" i="4"/>
  <c r="W943" i="4"/>
  <c r="V936" i="4"/>
  <c r="X928" i="4"/>
  <c r="X912" i="4"/>
  <c r="AB870" i="4"/>
  <c r="AC841" i="4"/>
  <c r="X837" i="4"/>
  <c r="AC792" i="4"/>
  <c r="X755" i="4"/>
  <c r="X657" i="4"/>
  <c r="AB543" i="4"/>
  <c r="AB963" i="4"/>
  <c r="V855" i="4"/>
  <c r="X808" i="4"/>
  <c r="AC749" i="4"/>
  <c r="AB727" i="4"/>
  <c r="AD8" i="4"/>
  <c r="V7" i="4"/>
  <c r="AD995" i="4"/>
  <c r="V986" i="4"/>
  <c r="AA981" i="4"/>
  <c r="AD979" i="4"/>
  <c r="W967" i="4"/>
  <c r="W960" i="4"/>
  <c r="V955" i="4"/>
  <c r="W953" i="4"/>
  <c r="AC944" i="4"/>
  <c r="AD939" i="4"/>
  <c r="W935" i="4"/>
  <c r="AA926" i="4"/>
  <c r="V921" i="4"/>
  <c r="Y905" i="4"/>
  <c r="V902" i="4"/>
  <c r="AD885" i="4"/>
  <c r="AC876" i="4"/>
  <c r="AD863" i="4"/>
  <c r="V842" i="4"/>
  <c r="AD838" i="4"/>
  <c r="AD807" i="4"/>
  <c r="W768" i="4"/>
  <c r="AD757" i="4"/>
  <c r="Y15" i="4"/>
  <c r="Y20" i="4"/>
  <c r="Y26" i="4"/>
  <c r="Y32" i="4"/>
  <c r="Y38" i="4"/>
  <c r="Y44" i="4"/>
  <c r="Y50" i="4"/>
  <c r="Y56" i="4"/>
  <c r="Y62" i="4"/>
  <c r="Y68" i="4"/>
  <c r="Y74" i="4"/>
  <c r="Y80" i="4"/>
  <c r="Y86" i="4"/>
  <c r="Y92" i="4"/>
  <c r="Y98" i="4"/>
  <c r="Y19" i="4"/>
  <c r="Y25" i="4"/>
  <c r="Y31" i="4"/>
  <c r="Y37" i="4"/>
  <c r="Y43" i="4"/>
  <c r="Y49" i="4"/>
  <c r="Y55" i="4"/>
  <c r="Y61" i="4"/>
  <c r="Y67" i="4"/>
  <c r="Y18" i="4"/>
  <c r="Y24" i="4"/>
  <c r="Y30" i="4"/>
  <c r="Y36" i="4"/>
  <c r="Y42" i="4"/>
  <c r="Y48" i="4"/>
  <c r="Y54" i="4"/>
  <c r="Y60" i="4"/>
  <c r="Y66" i="4"/>
  <c r="Y72" i="4"/>
  <c r="Y78" i="4"/>
  <c r="Y84" i="4"/>
  <c r="Y90" i="4"/>
  <c r="Y96" i="4"/>
  <c r="Y102" i="4"/>
  <c r="Y108" i="4"/>
  <c r="Y114" i="4"/>
  <c r="Y120" i="4"/>
  <c r="Y126" i="4"/>
  <c r="Y132" i="4"/>
  <c r="Y138" i="4"/>
  <c r="Y17" i="4"/>
  <c r="Y23" i="4"/>
  <c r="Y29" i="4"/>
  <c r="Y35" i="4"/>
  <c r="Y41" i="4"/>
  <c r="Y47" i="4"/>
  <c r="Y53" i="4"/>
  <c r="Y59" i="4"/>
  <c r="Y65" i="4"/>
  <c r="Y71" i="4"/>
  <c r="Y135" i="4"/>
  <c r="Y148" i="4"/>
  <c r="Y154" i="4"/>
  <c r="Y160" i="4"/>
  <c r="Y166" i="4"/>
  <c r="Y172" i="4"/>
  <c r="Y178" i="4"/>
  <c r="Y184" i="4"/>
  <c r="Y190" i="4"/>
  <c r="Y196" i="4"/>
  <c r="Y202" i="4"/>
  <c r="Y208" i="4"/>
  <c r="Y28" i="4"/>
  <c r="Y77" i="4"/>
  <c r="Y79" i="4"/>
  <c r="Y83" i="4"/>
  <c r="Y85" i="4"/>
  <c r="Y89" i="4"/>
  <c r="Y91" i="4"/>
  <c r="Y95" i="4"/>
  <c r="Y127" i="4"/>
  <c r="Y147" i="4"/>
  <c r="Y153" i="4"/>
  <c r="Y159" i="4"/>
  <c r="Y165" i="4"/>
  <c r="Y171" i="4"/>
  <c r="Y177" i="4"/>
  <c r="Y183" i="4"/>
  <c r="Y189" i="4"/>
  <c r="Y21" i="4"/>
  <c r="Y81" i="4"/>
  <c r="Y87" i="4"/>
  <c r="Y93" i="4"/>
  <c r="Y97" i="4"/>
  <c r="Y22" i="4"/>
  <c r="Y101" i="4"/>
  <c r="Y133" i="4"/>
  <c r="Y145" i="4"/>
  <c r="Y151" i="4"/>
  <c r="Y157" i="4"/>
  <c r="Y163" i="4"/>
  <c r="Y169" i="4"/>
  <c r="Y175" i="4"/>
  <c r="Y181" i="4"/>
  <c r="Y187" i="4"/>
  <c r="Y193" i="4"/>
  <c r="Y199" i="4"/>
  <c r="Y205" i="4"/>
  <c r="Y33" i="4"/>
  <c r="Y45" i="4"/>
  <c r="Y57" i="4"/>
  <c r="Y69" i="4"/>
  <c r="Y113" i="4"/>
  <c r="Y118" i="4"/>
  <c r="Y123" i="4"/>
  <c r="Y128" i="4"/>
  <c r="Y82" i="4"/>
  <c r="Y117" i="4"/>
  <c r="Y122" i="4"/>
  <c r="Y203" i="4"/>
  <c r="Y210" i="4"/>
  <c r="Y216" i="4"/>
  <c r="Y222" i="4"/>
  <c r="Y228" i="4"/>
  <c r="Y234" i="4"/>
  <c r="Y240" i="4"/>
  <c r="Y246" i="4"/>
  <c r="Y252" i="4"/>
  <c r="Y258" i="4"/>
  <c r="Y39" i="4"/>
  <c r="Y51" i="4"/>
  <c r="Y63" i="4"/>
  <c r="Y103" i="4"/>
  <c r="Y27" i="4"/>
  <c r="Y88" i="4"/>
  <c r="Y119" i="4"/>
  <c r="Y124" i="4"/>
  <c r="Y129" i="4"/>
  <c r="Y136" i="4"/>
  <c r="Y141" i="4"/>
  <c r="Y75" i="4"/>
  <c r="Y94" i="4"/>
  <c r="Y121" i="4"/>
  <c r="Y143" i="4"/>
  <c r="Y146" i="4"/>
  <c r="Y149" i="4"/>
  <c r="Y152" i="4"/>
  <c r="Y155" i="4"/>
  <c r="Y158" i="4"/>
  <c r="Y161" i="4"/>
  <c r="Y164" i="4"/>
  <c r="Y167" i="4"/>
  <c r="Y170" i="4"/>
  <c r="Y173" i="4"/>
  <c r="Y176" i="4"/>
  <c r="Y179" i="4"/>
  <c r="Y182" i="4"/>
  <c r="Y185" i="4"/>
  <c r="Y188" i="4"/>
  <c r="Y191" i="4"/>
  <c r="Y194" i="4"/>
  <c r="Y201" i="4"/>
  <c r="Y213" i="4"/>
  <c r="Y219" i="4"/>
  <c r="Y225" i="4"/>
  <c r="Y231" i="4"/>
  <c r="Y237" i="4"/>
  <c r="Y243" i="4"/>
  <c r="Y249" i="4"/>
  <c r="Y255" i="4"/>
  <c r="Y107" i="4"/>
  <c r="Y112" i="4"/>
  <c r="Y144" i="4"/>
  <c r="Y261" i="4"/>
  <c r="Y115" i="4"/>
  <c r="Y265" i="4"/>
  <c r="Y271" i="4"/>
  <c r="Y277" i="4"/>
  <c r="Y283" i="4"/>
  <c r="Y289" i="4"/>
  <c r="Y295" i="4"/>
  <c r="Y301" i="4"/>
  <c r="Y307" i="4"/>
  <c r="Y313" i="4"/>
  <c r="Y319" i="4"/>
  <c r="Y325" i="4"/>
  <c r="Y331" i="4"/>
  <c r="Y337" i="4"/>
  <c r="Y343" i="4"/>
  <c r="Y349" i="4"/>
  <c r="Y76" i="4"/>
  <c r="Y111" i="4"/>
  <c r="Y264" i="4"/>
  <c r="Y270" i="4"/>
  <c r="Y276" i="4"/>
  <c r="Y46" i="4"/>
  <c r="Y64" i="4"/>
  <c r="Y100" i="4"/>
  <c r="Y106" i="4"/>
  <c r="Y174" i="4"/>
  <c r="Y186" i="4"/>
  <c r="Y209" i="4"/>
  <c r="Y212" i="4"/>
  <c r="Y223" i="4"/>
  <c r="Y230" i="4"/>
  <c r="Y241" i="4"/>
  <c r="Y248" i="4"/>
  <c r="Y259" i="4"/>
  <c r="Y73" i="4"/>
  <c r="Y104" i="4"/>
  <c r="Y131" i="4"/>
  <c r="Y150" i="4"/>
  <c r="Y262" i="4"/>
  <c r="Y268" i="4"/>
  <c r="Y274" i="4"/>
  <c r="Y280" i="4"/>
  <c r="Y286" i="4"/>
  <c r="Y292" i="4"/>
  <c r="Y298" i="4"/>
  <c r="Y304" i="4"/>
  <c r="Y310" i="4"/>
  <c r="Y316" i="4"/>
  <c r="Y322" i="4"/>
  <c r="Y328" i="4"/>
  <c r="Y334" i="4"/>
  <c r="Y340" i="4"/>
  <c r="Y346" i="4"/>
  <c r="Y16" i="4"/>
  <c r="Y198" i="4"/>
  <c r="Y233" i="4"/>
  <c r="Y260" i="4"/>
  <c r="Y279" i="4"/>
  <c r="Y290" i="4"/>
  <c r="Y297" i="4"/>
  <c r="Y308" i="4"/>
  <c r="Y315" i="4"/>
  <c r="Y326" i="4"/>
  <c r="Y333" i="4"/>
  <c r="Y235" i="4"/>
  <c r="Y239" i="4"/>
  <c r="Y105" i="4"/>
  <c r="Y214" i="4"/>
  <c r="Y218" i="4"/>
  <c r="Y245" i="4"/>
  <c r="Y282" i="4"/>
  <c r="Y70" i="4"/>
  <c r="Y109" i="4"/>
  <c r="Y168" i="4"/>
  <c r="Y206" i="4"/>
  <c r="Y220" i="4"/>
  <c r="Y247" i="4"/>
  <c r="Y34" i="4"/>
  <c r="Y125" i="4"/>
  <c r="Y156" i="4"/>
  <c r="Y224" i="4"/>
  <c r="Y226" i="4"/>
  <c r="Y251" i="4"/>
  <c r="Y266" i="4"/>
  <c r="Y269" i="4"/>
  <c r="Y272" i="4"/>
  <c r="Y275" i="4"/>
  <c r="Y278" i="4"/>
  <c r="Y285" i="4"/>
  <c r="Y296" i="4"/>
  <c r="Y303" i="4"/>
  <c r="Y314" i="4"/>
  <c r="Y321" i="4"/>
  <c r="Y332" i="4"/>
  <c r="Y339" i="4"/>
  <c r="Y40" i="4"/>
  <c r="Y52" i="4"/>
  <c r="Y99" i="4"/>
  <c r="Y137" i="4"/>
  <c r="Y140" i="4"/>
  <c r="Y180" i="4"/>
  <c r="Y207" i="4"/>
  <c r="Y217" i="4"/>
  <c r="Y221" i="4"/>
  <c r="Y192" i="4"/>
  <c r="Y195" i="4"/>
  <c r="Y211" i="4"/>
  <c r="Y299" i="4"/>
  <c r="Y306" i="4"/>
  <c r="Y345" i="4"/>
  <c r="Y353" i="4"/>
  <c r="Y359" i="4"/>
  <c r="Y365" i="4"/>
  <c r="Y371" i="4"/>
  <c r="Y377" i="4"/>
  <c r="Y383" i="4"/>
  <c r="Y389" i="4"/>
  <c r="Y395" i="4"/>
  <c r="Y401" i="4"/>
  <c r="Y58" i="4"/>
  <c r="Y110" i="4"/>
  <c r="Y139" i="4"/>
  <c r="Y229" i="4"/>
  <c r="Y287" i="4"/>
  <c r="Y162" i="4"/>
  <c r="Y232" i="4"/>
  <c r="Y267" i="4"/>
  <c r="Y294" i="4"/>
  <c r="Y323" i="4"/>
  <c r="Y341" i="4"/>
  <c r="Y344" i="4"/>
  <c r="Y351" i="4"/>
  <c r="Y357" i="4"/>
  <c r="Y363" i="4"/>
  <c r="Y369" i="4"/>
  <c r="Y375" i="4"/>
  <c r="Y215" i="4"/>
  <c r="Y281" i="4"/>
  <c r="Y305" i="4"/>
  <c r="Y312" i="4"/>
  <c r="Y320" i="4"/>
  <c r="Y330" i="4"/>
  <c r="Y338" i="4"/>
  <c r="Y347" i="4"/>
  <c r="Y356" i="4"/>
  <c r="Y362" i="4"/>
  <c r="Y368" i="4"/>
  <c r="Y374" i="4"/>
  <c r="Y380" i="4"/>
  <c r="Y386" i="4"/>
  <c r="Y392" i="4"/>
  <c r="Y398" i="4"/>
  <c r="Y227" i="4"/>
  <c r="Y250" i="4"/>
  <c r="Y288" i="4"/>
  <c r="Y300" i="4"/>
  <c r="Y317" i="4"/>
  <c r="Y335" i="4"/>
  <c r="Y204" i="4"/>
  <c r="Y242" i="4"/>
  <c r="Y254" i="4"/>
  <c r="Y309" i="4"/>
  <c r="Y116" i="4"/>
  <c r="Y284" i="4"/>
  <c r="Y293" i="4"/>
  <c r="Y302" i="4"/>
  <c r="Y324" i="4"/>
  <c r="Y342" i="4"/>
  <c r="Y354" i="4"/>
  <c r="Y360" i="4"/>
  <c r="Y366" i="4"/>
  <c r="Y134" i="4"/>
  <c r="Y273" i="4"/>
  <c r="Y336" i="4"/>
  <c r="Y361" i="4"/>
  <c r="Y130" i="4"/>
  <c r="Y311" i="4"/>
  <c r="Y352" i="4"/>
  <c r="Y370" i="4"/>
  <c r="Y373" i="4"/>
  <c r="Y376" i="4"/>
  <c r="Y379" i="4"/>
  <c r="Y390" i="4"/>
  <c r="Y397" i="4"/>
  <c r="Y406" i="4"/>
  <c r="Y412" i="4"/>
  <c r="Y418" i="4"/>
  <c r="Y424" i="4"/>
  <c r="Y430" i="4"/>
  <c r="Y436" i="4"/>
  <c r="Y442" i="4"/>
  <c r="Y448" i="4"/>
  <c r="Y382" i="4"/>
  <c r="Y393" i="4"/>
  <c r="Y400" i="4"/>
  <c r="Y405" i="4"/>
  <c r="Y411" i="4"/>
  <c r="Y417" i="4"/>
  <c r="Y423" i="4"/>
  <c r="Y429" i="4"/>
  <c r="Y435" i="4"/>
  <c r="Y200" i="4"/>
  <c r="Y329" i="4"/>
  <c r="Y358" i="4"/>
  <c r="Y372" i="4"/>
  <c r="Y378" i="4"/>
  <c r="Y385" i="4"/>
  <c r="Y396" i="4"/>
  <c r="Y404" i="4"/>
  <c r="Y410" i="4"/>
  <c r="Y416" i="4"/>
  <c r="Y422" i="4"/>
  <c r="Y428" i="4"/>
  <c r="Y434" i="4"/>
  <c r="Y440" i="4"/>
  <c r="Y142" i="4"/>
  <c r="Y197" i="4"/>
  <c r="Y381" i="4"/>
  <c r="Y388" i="4"/>
  <c r="Y399" i="4"/>
  <c r="Y403" i="4"/>
  <c r="Y409" i="4"/>
  <c r="Y415" i="4"/>
  <c r="Y421" i="4"/>
  <c r="Y427" i="4"/>
  <c r="Y433" i="4"/>
  <c r="Y439" i="4"/>
  <c r="Y445" i="4"/>
  <c r="Y451" i="4"/>
  <c r="Y291" i="4"/>
  <c r="Y236" i="4"/>
  <c r="Y263" i="4"/>
  <c r="Y318" i="4"/>
  <c r="Y355" i="4"/>
  <c r="Y408" i="4"/>
  <c r="Y426" i="4"/>
  <c r="Y449" i="4"/>
  <c r="Y453" i="4"/>
  <c r="Y459" i="4"/>
  <c r="Y465" i="4"/>
  <c r="Y471" i="4"/>
  <c r="Y477" i="4"/>
  <c r="Y483" i="4"/>
  <c r="Y489" i="4"/>
  <c r="Y495" i="4"/>
  <c r="Y501" i="4"/>
  <c r="Y507" i="4"/>
  <c r="Y327" i="4"/>
  <c r="Y407" i="4"/>
  <c r="Y364" i="4"/>
  <c r="Y244" i="4"/>
  <c r="Y402" i="4"/>
  <c r="Y413" i="4"/>
  <c r="Y438" i="4"/>
  <c r="Y450" i="4"/>
  <c r="Y460" i="4"/>
  <c r="Y467" i="4"/>
  <c r="Y478" i="4"/>
  <c r="Y485" i="4"/>
  <c r="Y496" i="4"/>
  <c r="Y503" i="4"/>
  <c r="Y350" i="4"/>
  <c r="Y387" i="4"/>
  <c r="Y367" i="4"/>
  <c r="Y455" i="4"/>
  <c r="Y466" i="4"/>
  <c r="Y473" i="4"/>
  <c r="Y484" i="4"/>
  <c r="Y491" i="4"/>
  <c r="Y502" i="4"/>
  <c r="Y509" i="4"/>
  <c r="Y444" i="4"/>
  <c r="Y462" i="4"/>
  <c r="Y480" i="4"/>
  <c r="Y498" i="4"/>
  <c r="Y514" i="4"/>
  <c r="Y520" i="4"/>
  <c r="Y526" i="4"/>
  <c r="Y532" i="4"/>
  <c r="Y538" i="4"/>
  <c r="Y256" i="4"/>
  <c r="Y348" i="4"/>
  <c r="Y391" i="4"/>
  <c r="Y257" i="4"/>
  <c r="Y419" i="4"/>
  <c r="Y468" i="4"/>
  <c r="Y486" i="4"/>
  <c r="Y504" i="4"/>
  <c r="Y384" i="4"/>
  <c r="Y394" i="4"/>
  <c r="Y457" i="4"/>
  <c r="Y464" i="4"/>
  <c r="Y475" i="4"/>
  <c r="Y482" i="4"/>
  <c r="Y493" i="4"/>
  <c r="Y500" i="4"/>
  <c r="Y511" i="4"/>
  <c r="Y517" i="4"/>
  <c r="Y523" i="4"/>
  <c r="Y529" i="4"/>
  <c r="Y535" i="4"/>
  <c r="Y541" i="4"/>
  <c r="Y547" i="4"/>
  <c r="Y553" i="4"/>
  <c r="Y559" i="4"/>
  <c r="Y565" i="4"/>
  <c r="Y571" i="4"/>
  <c r="Y577" i="4"/>
  <c r="Y583" i="4"/>
  <c r="Y589" i="4"/>
  <c r="Y595" i="4"/>
  <c r="Y601" i="4"/>
  <c r="Y607" i="4"/>
  <c r="Y613" i="4"/>
  <c r="Y619" i="4"/>
  <c r="Y625" i="4"/>
  <c r="Y631" i="4"/>
  <c r="Y637" i="4"/>
  <c r="Y643" i="4"/>
  <c r="Y649" i="4"/>
  <c r="Y515" i="4"/>
  <c r="Y533" i="4"/>
  <c r="Y443" i="4"/>
  <c r="Y470" i="4"/>
  <c r="Y432" i="4"/>
  <c r="Y472" i="4"/>
  <c r="Y474" i="4"/>
  <c r="Y497" i="4"/>
  <c r="Y558" i="4"/>
  <c r="Y576" i="4"/>
  <c r="Y594" i="4"/>
  <c r="Y612" i="4"/>
  <c r="Y630" i="4"/>
  <c r="Y238" i="4"/>
  <c r="Y446" i="4"/>
  <c r="Y527" i="4"/>
  <c r="Y488" i="4"/>
  <c r="Y519" i="4"/>
  <c r="Y537" i="4"/>
  <c r="Y557" i="4"/>
  <c r="Y575" i="4"/>
  <c r="Y593" i="4"/>
  <c r="Y611" i="4"/>
  <c r="Y425" i="4"/>
  <c r="Y463" i="4"/>
  <c r="Y469" i="4"/>
  <c r="Y494" i="4"/>
  <c r="Y516" i="4"/>
  <c r="Y524" i="4"/>
  <c r="Y534" i="4"/>
  <c r="Y542" i="4"/>
  <c r="Y549" i="4"/>
  <c r="Y556" i="4"/>
  <c r="Y560" i="4"/>
  <c r="Y567" i="4"/>
  <c r="Y574" i="4"/>
  <c r="Y578" i="4"/>
  <c r="Y585" i="4"/>
  <c r="Y592" i="4"/>
  <c r="Y596" i="4"/>
  <c r="Y603" i="4"/>
  <c r="Y610" i="4"/>
  <c r="Y614" i="4"/>
  <c r="Y621" i="4"/>
  <c r="Y628" i="4"/>
  <c r="Y632" i="4"/>
  <c r="Y431" i="4"/>
  <c r="Y437" i="4"/>
  <c r="Y447" i="4"/>
  <c r="Y452" i="4"/>
  <c r="Y506" i="4"/>
  <c r="Y513" i="4"/>
  <c r="Y531" i="4"/>
  <c r="Y458" i="4"/>
  <c r="Y481" i="4"/>
  <c r="Y487" i="4"/>
  <c r="Y508" i="4"/>
  <c r="Y510" i="4"/>
  <c r="Y518" i="4"/>
  <c r="Y528" i="4"/>
  <c r="Y536" i="4"/>
  <c r="Y544" i="4"/>
  <c r="Y548" i="4"/>
  <c r="Y555" i="4"/>
  <c r="Y562" i="4"/>
  <c r="Y566" i="4"/>
  <c r="Y573" i="4"/>
  <c r="Y580" i="4"/>
  <c r="Y584" i="4"/>
  <c r="Y591" i="4"/>
  <c r="Y598" i="4"/>
  <c r="Y602" i="4"/>
  <c r="Y609" i="4"/>
  <c r="Y505" i="4"/>
  <c r="Y525" i="4"/>
  <c r="Y627" i="4"/>
  <c r="Y639" i="4"/>
  <c r="Y646" i="4"/>
  <c r="Y650" i="4"/>
  <c r="Y655" i="4"/>
  <c r="Y661" i="4"/>
  <c r="Y667" i="4"/>
  <c r="Y673" i="4"/>
  <c r="Y679" i="4"/>
  <c r="Y685" i="4"/>
  <c r="Y691" i="4"/>
  <c r="Y697" i="4"/>
  <c r="Y703" i="4"/>
  <c r="Y709" i="4"/>
  <c r="Y715" i="4"/>
  <c r="Y721" i="4"/>
  <c r="Y727" i="4"/>
  <c r="Y539" i="4"/>
  <c r="Y568" i="4"/>
  <c r="Y572" i="4"/>
  <c r="Y441" i="4"/>
  <c r="Y564" i="4"/>
  <c r="Y570" i="4"/>
  <c r="Y579" i="4"/>
  <c r="Y581" i="4"/>
  <c r="Y624" i="4"/>
  <c r="Y635" i="4"/>
  <c r="Y551" i="4"/>
  <c r="Y605" i="4"/>
  <c r="Y454" i="4"/>
  <c r="Y461" i="4"/>
  <c r="Y499" i="4"/>
  <c r="Y615" i="4"/>
  <c r="Y634" i="4"/>
  <c r="Y638" i="4"/>
  <c r="Y645" i="4"/>
  <c r="Y653" i="4"/>
  <c r="Y659" i="4"/>
  <c r="Y665" i="4"/>
  <c r="Y671" i="4"/>
  <c r="Y677" i="4"/>
  <c r="Y683" i="4"/>
  <c r="Y689" i="4"/>
  <c r="Y695" i="4"/>
  <c r="Y701" i="4"/>
  <c r="Y707" i="4"/>
  <c r="Y713" i="4"/>
  <c r="Y719" i="4"/>
  <c r="Y725" i="4"/>
  <c r="Y731" i="4"/>
  <c r="Y737" i="4"/>
  <c r="Y743" i="4"/>
  <c r="Y749" i="4"/>
  <c r="Y755" i="4"/>
  <c r="Y761" i="4"/>
  <c r="Y767" i="4"/>
  <c r="Y773" i="4"/>
  <c r="Y779" i="4"/>
  <c r="Y785" i="4"/>
  <c r="Y791" i="4"/>
  <c r="Y797" i="4"/>
  <c r="Y803" i="4"/>
  <c r="Y809" i="4"/>
  <c r="Y815" i="4"/>
  <c r="Y821" i="4"/>
  <c r="Y492" i="4"/>
  <c r="Y512" i="4"/>
  <c r="Y540" i="4"/>
  <c r="Y586" i="4"/>
  <c r="Y590" i="4"/>
  <c r="Y623" i="4"/>
  <c r="Y626" i="4"/>
  <c r="Y479" i="4"/>
  <c r="Y545" i="4"/>
  <c r="Y582" i="4"/>
  <c r="Y588" i="4"/>
  <c r="Y597" i="4"/>
  <c r="Y599" i="4"/>
  <c r="Y476" i="4"/>
  <c r="Y521" i="4"/>
  <c r="Y543" i="4"/>
  <c r="Y569" i="4"/>
  <c r="Y617" i="4"/>
  <c r="Y620" i="4"/>
  <c r="Y253" i="4"/>
  <c r="Y414" i="4"/>
  <c r="Y456" i="4"/>
  <c r="Y522" i="4"/>
  <c r="Y530" i="4"/>
  <c r="Y587" i="4"/>
  <c r="Y616" i="4"/>
  <c r="Y636" i="4"/>
  <c r="Y647" i="4"/>
  <c r="Y654" i="4"/>
  <c r="Y664" i="4"/>
  <c r="Y672" i="4"/>
  <c r="Y682" i="4"/>
  <c r="Y690" i="4"/>
  <c r="Y700" i="4"/>
  <c r="Y708" i="4"/>
  <c r="Y718" i="4"/>
  <c r="Y726" i="4"/>
  <c r="Y735" i="4"/>
  <c r="Y742" i="4"/>
  <c r="Y753" i="4"/>
  <c r="Y760" i="4"/>
  <c r="Y554" i="4"/>
  <c r="Y622" i="4"/>
  <c r="Y738" i="4"/>
  <c r="Y550" i="4"/>
  <c r="Y563" i="4"/>
  <c r="Y651" i="4"/>
  <c r="Y656" i="4"/>
  <c r="Y669" i="4"/>
  <c r="Y674" i="4"/>
  <c r="Y687" i="4"/>
  <c r="Y692" i="4"/>
  <c r="Y705" i="4"/>
  <c r="Y710" i="4"/>
  <c r="Y723" i="4"/>
  <c r="Y728" i="4"/>
  <c r="Y734" i="4"/>
  <c r="Y546" i="4"/>
  <c r="Y600" i="4"/>
  <c r="Y604" i="4"/>
  <c r="Y825" i="4"/>
  <c r="Y831" i="4"/>
  <c r="Y837" i="4"/>
  <c r="Y843" i="4"/>
  <c r="Y849" i="4"/>
  <c r="Y855" i="4"/>
  <c r="Y861" i="4"/>
  <c r="Y867" i="4"/>
  <c r="Y873" i="4"/>
  <c r="Y879" i="4"/>
  <c r="Y885" i="4"/>
  <c r="Y891" i="4"/>
  <c r="Y897" i="4"/>
  <c r="Y903" i="4"/>
  <c r="Y909" i="4"/>
  <c r="Y915" i="4"/>
  <c r="Y921" i="4"/>
  <c r="Y927" i="4"/>
  <c r="Y933" i="4"/>
  <c r="Y939" i="4"/>
  <c r="Y945" i="4"/>
  <c r="Y951" i="4"/>
  <c r="Y957" i="4"/>
  <c r="Y963" i="4"/>
  <c r="Y490" i="4"/>
  <c r="Y608" i="4"/>
  <c r="Y633" i="4"/>
  <c r="Y640" i="4"/>
  <c r="Y658" i="4"/>
  <c r="Y666" i="4"/>
  <c r="Y676" i="4"/>
  <c r="Y684" i="4"/>
  <c r="Y694" i="4"/>
  <c r="Y702" i="4"/>
  <c r="Y712" i="4"/>
  <c r="Y720" i="4"/>
  <c r="Y730" i="4"/>
  <c r="Y642" i="4"/>
  <c r="Y644" i="4"/>
  <c r="Y733" i="4"/>
  <c r="Y744" i="4"/>
  <c r="Y751" i="4"/>
  <c r="Y762" i="4"/>
  <c r="Y769" i="4"/>
  <c r="Y780" i="4"/>
  <c r="Y787" i="4"/>
  <c r="Y798" i="4"/>
  <c r="Y805" i="4"/>
  <c r="Y816" i="4"/>
  <c r="Y824" i="4"/>
  <c r="Y830" i="4"/>
  <c r="Y648" i="4"/>
  <c r="Y663" i="4"/>
  <c r="Y668" i="4"/>
  <c r="Y681" i="4"/>
  <c r="Y686" i="4"/>
  <c r="Y699" i="4"/>
  <c r="Y704" i="4"/>
  <c r="Y717" i="4"/>
  <c r="Y722" i="4"/>
  <c r="Y740" i="4"/>
  <c r="Y758" i="4"/>
  <c r="Y618" i="4"/>
  <c r="Y420" i="4"/>
  <c r="Y552" i="4"/>
  <c r="Y561" i="4"/>
  <c r="Y652" i="4"/>
  <c r="Y660" i="4"/>
  <c r="Y670" i="4"/>
  <c r="Y678" i="4"/>
  <c r="Y688" i="4"/>
  <c r="Y696" i="4"/>
  <c r="Y706" i="4"/>
  <c r="Y714" i="4"/>
  <c r="Y724" i="4"/>
  <c r="Y736" i="4"/>
  <c r="Y747" i="4"/>
  <c r="Y754" i="4"/>
  <c r="Y765" i="4"/>
  <c r="Y772" i="4"/>
  <c r="Y783" i="4"/>
  <c r="Y790" i="4"/>
  <c r="Y801" i="4"/>
  <c r="Y808" i="4"/>
  <c r="Y819" i="4"/>
  <c r="Y606" i="4"/>
  <c r="Y629" i="4"/>
  <c r="Y641" i="4"/>
  <c r="Y657" i="4"/>
  <c r="Y662" i="4"/>
  <c r="Y675" i="4"/>
  <c r="Y680" i="4"/>
  <c r="Y693" i="4"/>
  <c r="Y698" i="4"/>
  <c r="Y711" i="4"/>
  <c r="Y716" i="4"/>
  <c r="Y729" i="4"/>
  <c r="Y746" i="4"/>
  <c r="Y764" i="4"/>
  <c r="Y782" i="4"/>
  <c r="Y800" i="4"/>
  <c r="Y818" i="4"/>
  <c r="Y859" i="4"/>
  <c r="Y866" i="4"/>
  <c r="Y877" i="4"/>
  <c r="Y884" i="4"/>
  <c r="Y895" i="4"/>
  <c r="Y902" i="4"/>
  <c r="Y913" i="4"/>
  <c r="Y920" i="4"/>
  <c r="Y931" i="4"/>
  <c r="Y938" i="4"/>
  <c r="Y949" i="4"/>
  <c r="Y956" i="4"/>
  <c r="Y741" i="4"/>
  <c r="Y750" i="4"/>
  <c r="Y763" i="4"/>
  <c r="Y768" i="4"/>
  <c r="Y770" i="4"/>
  <c r="Y776" i="4"/>
  <c r="Y823" i="4"/>
  <c r="Y858" i="4"/>
  <c r="Y876" i="4"/>
  <c r="Y894" i="4"/>
  <c r="Y912" i="4"/>
  <c r="Y930" i="4"/>
  <c r="Y948" i="4"/>
  <c r="Y745" i="4"/>
  <c r="Y774" i="4"/>
  <c r="Y799" i="4"/>
  <c r="Y810" i="4"/>
  <c r="Y812" i="4"/>
  <c r="Y836" i="4"/>
  <c r="Y842" i="4"/>
  <c r="Y848" i="4"/>
  <c r="Y748" i="4"/>
  <c r="Y766" i="4"/>
  <c r="Y793" i="4"/>
  <c r="Y795" i="4"/>
  <c r="Y814" i="4"/>
  <c r="Y854" i="4"/>
  <c r="Y865" i="4"/>
  <c r="Y872" i="4"/>
  <c r="Y883" i="4"/>
  <c r="Y890" i="4"/>
  <c r="Y901" i="4"/>
  <c r="Y908" i="4"/>
  <c r="Y919" i="4"/>
  <c r="Y926" i="4"/>
  <c r="Y937" i="4"/>
  <c r="Y944" i="4"/>
  <c r="Y955" i="4"/>
  <c r="Y962" i="4"/>
  <c r="Y739" i="4"/>
  <c r="Y789" i="4"/>
  <c r="Y820" i="4"/>
  <c r="Y822" i="4"/>
  <c r="Y827" i="4"/>
  <c r="Y857" i="4"/>
  <c r="Y868" i="4"/>
  <c r="Y875" i="4"/>
  <c r="Y886" i="4"/>
  <c r="Y893" i="4"/>
  <c r="Y904" i="4"/>
  <c r="Y911" i="4"/>
  <c r="Y922" i="4"/>
  <c r="Y929" i="4"/>
  <c r="Y940" i="4"/>
  <c r="Y947" i="4"/>
  <c r="Y958" i="4"/>
  <c r="Y966" i="4"/>
  <c r="Y972" i="4"/>
  <c r="Y978" i="4"/>
  <c r="Y984" i="4"/>
  <c r="Y990" i="4"/>
  <c r="Y996" i="4"/>
  <c r="Y6" i="4"/>
  <c r="Y12" i="4"/>
  <c r="Y756" i="4"/>
  <c r="Y781" i="4"/>
  <c r="Y838" i="4"/>
  <c r="Y844" i="4"/>
  <c r="Y807" i="4"/>
  <c r="Y832" i="4"/>
  <c r="Y835" i="4"/>
  <c r="Y841" i="4"/>
  <c r="Y847" i="4"/>
  <c r="Y965" i="4"/>
  <c r="Y971" i="4"/>
  <c r="Y977" i="4"/>
  <c r="Y983" i="4"/>
  <c r="Y989" i="4"/>
  <c r="Y995" i="4"/>
  <c r="Y1001" i="4"/>
  <c r="Y11" i="4"/>
  <c r="Y775" i="4"/>
  <c r="Y777" i="4"/>
  <c r="Y811" i="4"/>
  <c r="Y853" i="4"/>
  <c r="Y860" i="4"/>
  <c r="Y871" i="4"/>
  <c r="Y878" i="4"/>
  <c r="Y889" i="4"/>
  <c r="Y896" i="4"/>
  <c r="Y907" i="4"/>
  <c r="Y914" i="4"/>
  <c r="Y925" i="4"/>
  <c r="Y732" i="4"/>
  <c r="Y759" i="4"/>
  <c r="Y771" i="4"/>
  <c r="Y796" i="4"/>
  <c r="Y802" i="4"/>
  <c r="Y804" i="4"/>
  <c r="Y834" i="4"/>
  <c r="Y840" i="4"/>
  <c r="Y846" i="4"/>
  <c r="Y856" i="4"/>
  <c r="Y863" i="4"/>
  <c r="Y874" i="4"/>
  <c r="Y881" i="4"/>
  <c r="Y892" i="4"/>
  <c r="Y899" i="4"/>
  <c r="Y910" i="4"/>
  <c r="Y917" i="4"/>
  <c r="Y928" i="4"/>
  <c r="Y935" i="4"/>
  <c r="Y946" i="4"/>
  <c r="Y953" i="4"/>
  <c r="Y964" i="4"/>
  <c r="Y970" i="4"/>
  <c r="Y976" i="4"/>
  <c r="Y982" i="4"/>
  <c r="Y988" i="4"/>
  <c r="Y752" i="4"/>
  <c r="Y757" i="4"/>
  <c r="Y784" i="4"/>
  <c r="Y792" i="4"/>
  <c r="Y806" i="4"/>
  <c r="Y817" i="4"/>
  <c r="Y826" i="4"/>
  <c r="Y969" i="4"/>
  <c r="Y975" i="4"/>
  <c r="Y981" i="4"/>
  <c r="Y987" i="4"/>
  <c r="Y993" i="4"/>
  <c r="Y999" i="4"/>
  <c r="Y9" i="4"/>
  <c r="Y10" i="4"/>
  <c r="Y973" i="4"/>
  <c r="Y950" i="4"/>
  <c r="Y942" i="4"/>
  <c r="Y932" i="4"/>
  <c r="Y918" i="4"/>
  <c r="Y870" i="4"/>
  <c r="Y852" i="4"/>
  <c r="AA15" i="4"/>
  <c r="AA21" i="4"/>
  <c r="AA27" i="4"/>
  <c r="AA33" i="4"/>
  <c r="AA39" i="4"/>
  <c r="AA45" i="4"/>
  <c r="AA51" i="4"/>
  <c r="AA57" i="4"/>
  <c r="AA63" i="4"/>
  <c r="AA69" i="4"/>
  <c r="AA75" i="4"/>
  <c r="AA81" i="4"/>
  <c r="AA87" i="4"/>
  <c r="AA93" i="4"/>
  <c r="AA99" i="4"/>
  <c r="AA20" i="4"/>
  <c r="AA26" i="4"/>
  <c r="AA32" i="4"/>
  <c r="AA38" i="4"/>
  <c r="AA44" i="4"/>
  <c r="AA50" i="4"/>
  <c r="AA56" i="4"/>
  <c r="AA62" i="4"/>
  <c r="AA68" i="4"/>
  <c r="AA19" i="4"/>
  <c r="AA25" i="4"/>
  <c r="AA31" i="4"/>
  <c r="AA37" i="4"/>
  <c r="AA43" i="4"/>
  <c r="AA49" i="4"/>
  <c r="AA55" i="4"/>
  <c r="AA61" i="4"/>
  <c r="AA67" i="4"/>
  <c r="AA73" i="4"/>
  <c r="AA79" i="4"/>
  <c r="AA85" i="4"/>
  <c r="AA91" i="4"/>
  <c r="AA97" i="4"/>
  <c r="AA103" i="4"/>
  <c r="AA109" i="4"/>
  <c r="AA115" i="4"/>
  <c r="AA121" i="4"/>
  <c r="AA127" i="4"/>
  <c r="AA133" i="4"/>
  <c r="AA139" i="4"/>
  <c r="AA18" i="4"/>
  <c r="AA24" i="4"/>
  <c r="AA30" i="4"/>
  <c r="AA36" i="4"/>
  <c r="AA42" i="4"/>
  <c r="AA48" i="4"/>
  <c r="AA54" i="4"/>
  <c r="AA60" i="4"/>
  <c r="AA66" i="4"/>
  <c r="AA72" i="4"/>
  <c r="AA22" i="4"/>
  <c r="AA101" i="4"/>
  <c r="AA16" i="4"/>
  <c r="AA98" i="4"/>
  <c r="AA143" i="4"/>
  <c r="AA149" i="4"/>
  <c r="AA155" i="4"/>
  <c r="AA161" i="4"/>
  <c r="AA167" i="4"/>
  <c r="AA173" i="4"/>
  <c r="AA179" i="4"/>
  <c r="AA185" i="4"/>
  <c r="AA191" i="4"/>
  <c r="AA197" i="4"/>
  <c r="AA203" i="4"/>
  <c r="AA209" i="4"/>
  <c r="AA135" i="4"/>
  <c r="AA148" i="4"/>
  <c r="AA154" i="4"/>
  <c r="AA160" i="4"/>
  <c r="AA166" i="4"/>
  <c r="AA172" i="4"/>
  <c r="AA178" i="4"/>
  <c r="AA184" i="4"/>
  <c r="AA190" i="4"/>
  <c r="AA17" i="4"/>
  <c r="AA34" i="4"/>
  <c r="AA40" i="4"/>
  <c r="AA46" i="4"/>
  <c r="AA52" i="4"/>
  <c r="AA58" i="4"/>
  <c r="AA64" i="4"/>
  <c r="AA70" i="4"/>
  <c r="AA102" i="4"/>
  <c r="AA105" i="4"/>
  <c r="AA123" i="4"/>
  <c r="AA141" i="4"/>
  <c r="AA146" i="4"/>
  <c r="AA152" i="4"/>
  <c r="AA158" i="4"/>
  <c r="AA164" i="4"/>
  <c r="AA170" i="4"/>
  <c r="AA176" i="4"/>
  <c r="AA182" i="4"/>
  <c r="AA188" i="4"/>
  <c r="AA194" i="4"/>
  <c r="AA200" i="4"/>
  <c r="AA206" i="4"/>
  <c r="AA94" i="4"/>
  <c r="AA95" i="4"/>
  <c r="AA100" i="4"/>
  <c r="AA110" i="4"/>
  <c r="AA120" i="4"/>
  <c r="AA130" i="4"/>
  <c r="AA137" i="4"/>
  <c r="AA142" i="4"/>
  <c r="AA196" i="4"/>
  <c r="AA207" i="4"/>
  <c r="AA211" i="4"/>
  <c r="AA217" i="4"/>
  <c r="AA223" i="4"/>
  <c r="AA229" i="4"/>
  <c r="AA235" i="4"/>
  <c r="AA241" i="4"/>
  <c r="AA247" i="4"/>
  <c r="AA253" i="4"/>
  <c r="AA259" i="4"/>
  <c r="AA82" i="4"/>
  <c r="AA117" i="4"/>
  <c r="AA122" i="4"/>
  <c r="AA132" i="4"/>
  <c r="AA77" i="4"/>
  <c r="AA107" i="4"/>
  <c r="AA112" i="4"/>
  <c r="AA134" i="4"/>
  <c r="AA144" i="4"/>
  <c r="AA147" i="4"/>
  <c r="AA150" i="4"/>
  <c r="AA153" i="4"/>
  <c r="AA156" i="4"/>
  <c r="AA159" i="4"/>
  <c r="AA83" i="4"/>
  <c r="AA198" i="4"/>
  <c r="AA205" i="4"/>
  <c r="AA214" i="4"/>
  <c r="AA220" i="4"/>
  <c r="AA226" i="4"/>
  <c r="AA232" i="4"/>
  <c r="AA238" i="4"/>
  <c r="AA244" i="4"/>
  <c r="AA250" i="4"/>
  <c r="AA256" i="4"/>
  <c r="AA84" i="4"/>
  <c r="AA104" i="4"/>
  <c r="AA124" i="4"/>
  <c r="AA126" i="4"/>
  <c r="AA131" i="4"/>
  <c r="AA169" i="4"/>
  <c r="AA171" i="4"/>
  <c r="AA183" i="4"/>
  <c r="AA262" i="4"/>
  <c r="AA35" i="4"/>
  <c r="AA157" i="4"/>
  <c r="AA168" i="4"/>
  <c r="AA202" i="4"/>
  <c r="AA266" i="4"/>
  <c r="AA272" i="4"/>
  <c r="AA278" i="4"/>
  <c r="AA284" i="4"/>
  <c r="AA290" i="4"/>
  <c r="AA296" i="4"/>
  <c r="AA302" i="4"/>
  <c r="AA308" i="4"/>
  <c r="AA314" i="4"/>
  <c r="AA320" i="4"/>
  <c r="AA326" i="4"/>
  <c r="AA332" i="4"/>
  <c r="AA338" i="4"/>
  <c r="AA344" i="4"/>
  <c r="AA350" i="4"/>
  <c r="AA108" i="4"/>
  <c r="AA113" i="4"/>
  <c r="AA151" i="4"/>
  <c r="AA177" i="4"/>
  <c r="AA189" i="4"/>
  <c r="AA265" i="4"/>
  <c r="AA271" i="4"/>
  <c r="AA277" i="4"/>
  <c r="AA41" i="4"/>
  <c r="AA59" i="4"/>
  <c r="AA86" i="4"/>
  <c r="AA125" i="4"/>
  <c r="AA138" i="4"/>
  <c r="AA163" i="4"/>
  <c r="AA165" i="4"/>
  <c r="AA204" i="4"/>
  <c r="AA216" i="4"/>
  <c r="AA227" i="4"/>
  <c r="AA234" i="4"/>
  <c r="AA245" i="4"/>
  <c r="AA252" i="4"/>
  <c r="AA23" i="4"/>
  <c r="AA28" i="4"/>
  <c r="AA80" i="4"/>
  <c r="AA136" i="4"/>
  <c r="AA263" i="4"/>
  <c r="AA269" i="4"/>
  <c r="AA275" i="4"/>
  <c r="AA281" i="4"/>
  <c r="AA287" i="4"/>
  <c r="AA293" i="4"/>
  <c r="AA299" i="4"/>
  <c r="AA305" i="4"/>
  <c r="AA311" i="4"/>
  <c r="AA317" i="4"/>
  <c r="AA323" i="4"/>
  <c r="AA329" i="4"/>
  <c r="AA335" i="4"/>
  <c r="AA341" i="4"/>
  <c r="AA347" i="4"/>
  <c r="AA47" i="4"/>
  <c r="AA111" i="4"/>
  <c r="AA254" i="4"/>
  <c r="AA283" i="4"/>
  <c r="AA294" i="4"/>
  <c r="AA301" i="4"/>
  <c r="AA312" i="4"/>
  <c r="AA319" i="4"/>
  <c r="AA330" i="4"/>
  <c r="AA337" i="4"/>
  <c r="AA53" i="4"/>
  <c r="AA78" i="4"/>
  <c r="AA96" i="4"/>
  <c r="AA193" i="4"/>
  <c r="AA258" i="4"/>
  <c r="AA267" i="4"/>
  <c r="AA270" i="4"/>
  <c r="AA273" i="4"/>
  <c r="AA276" i="4"/>
  <c r="AA88" i="4"/>
  <c r="AA92" i="4"/>
  <c r="AA118" i="4"/>
  <c r="AA175" i="4"/>
  <c r="AA210" i="4"/>
  <c r="AA231" i="4"/>
  <c r="AA233" i="4"/>
  <c r="AA237" i="4"/>
  <c r="AA260" i="4"/>
  <c r="AA279" i="4"/>
  <c r="AA286" i="4"/>
  <c r="AA74" i="4"/>
  <c r="AA128" i="4"/>
  <c r="AA186" i="4"/>
  <c r="AA212" i="4"/>
  <c r="AA239" i="4"/>
  <c r="AA243" i="4"/>
  <c r="AA264" i="4"/>
  <c r="AA65" i="4"/>
  <c r="AA201" i="4"/>
  <c r="AA208" i="4"/>
  <c r="AA218" i="4"/>
  <c r="AA282" i="4"/>
  <c r="AA289" i="4"/>
  <c r="AA300" i="4"/>
  <c r="AA307" i="4"/>
  <c r="AA318" i="4"/>
  <c r="AA325" i="4"/>
  <c r="AA336" i="4"/>
  <c r="AA29" i="4"/>
  <c r="AA90" i="4"/>
  <c r="AA240" i="4"/>
  <c r="AA268" i="4"/>
  <c r="AA274" i="4"/>
  <c r="AA116" i="4"/>
  <c r="AA129" i="4"/>
  <c r="AA174" i="4"/>
  <c r="AA181" i="4"/>
  <c r="AA304" i="4"/>
  <c r="AA324" i="4"/>
  <c r="AA342" i="4"/>
  <c r="AA349" i="4"/>
  <c r="AA354" i="4"/>
  <c r="AA360" i="4"/>
  <c r="AA366" i="4"/>
  <c r="AA372" i="4"/>
  <c r="AA378" i="4"/>
  <c r="AA384" i="4"/>
  <c r="AA390" i="4"/>
  <c r="AA396" i="4"/>
  <c r="AA199" i="4"/>
  <c r="AA246" i="4"/>
  <c r="AA249" i="4"/>
  <c r="AA261" i="4"/>
  <c r="AA285" i="4"/>
  <c r="AA310" i="4"/>
  <c r="AA328" i="4"/>
  <c r="AA348" i="4"/>
  <c r="AA352" i="4"/>
  <c r="AA358" i="4"/>
  <c r="AA364" i="4"/>
  <c r="AA370" i="4"/>
  <c r="AA376" i="4"/>
  <c r="AA162" i="4"/>
  <c r="AA315" i="4"/>
  <c r="AA333" i="4"/>
  <c r="AA351" i="4"/>
  <c r="AA357" i="4"/>
  <c r="AA363" i="4"/>
  <c r="AA369" i="4"/>
  <c r="AA375" i="4"/>
  <c r="AA381" i="4"/>
  <c r="AA387" i="4"/>
  <c r="AA393" i="4"/>
  <c r="AA399" i="4"/>
  <c r="AA298" i="4"/>
  <c r="AA71" i="4"/>
  <c r="AA119" i="4"/>
  <c r="AA180" i="4"/>
  <c r="AA224" i="4"/>
  <c r="AA288" i="4"/>
  <c r="AA322" i="4"/>
  <c r="AA340" i="4"/>
  <c r="AA187" i="4"/>
  <c r="AA221" i="4"/>
  <c r="AA236" i="4"/>
  <c r="AA257" i="4"/>
  <c r="AA327" i="4"/>
  <c r="AA346" i="4"/>
  <c r="AA355" i="4"/>
  <c r="AA361" i="4"/>
  <c r="AA367" i="4"/>
  <c r="AA213" i="4"/>
  <c r="AA248" i="4"/>
  <c r="AA230" i="4"/>
  <c r="AA291" i="4"/>
  <c r="AA313" i="4"/>
  <c r="AA316" i="4"/>
  <c r="AA359" i="4"/>
  <c r="AA368" i="4"/>
  <c r="AA222" i="4"/>
  <c r="AA295" i="4"/>
  <c r="AA383" i="4"/>
  <c r="AA394" i="4"/>
  <c r="AA401" i="4"/>
  <c r="AA407" i="4"/>
  <c r="AA413" i="4"/>
  <c r="AA419" i="4"/>
  <c r="AA425" i="4"/>
  <c r="AA431" i="4"/>
  <c r="AA437" i="4"/>
  <c r="AA443" i="4"/>
  <c r="AA449" i="4"/>
  <c r="AA114" i="4"/>
  <c r="AA215" i="4"/>
  <c r="AA89" i="4"/>
  <c r="AA140" i="4"/>
  <c r="AA195" i="4"/>
  <c r="AA219" i="4"/>
  <c r="AA255" i="4"/>
  <c r="AA339" i="4"/>
  <c r="AA373" i="4"/>
  <c r="AA379" i="4"/>
  <c r="AA386" i="4"/>
  <c r="AA397" i="4"/>
  <c r="AA406" i="4"/>
  <c r="AA412" i="4"/>
  <c r="AA418" i="4"/>
  <c r="AA424" i="4"/>
  <c r="AA430" i="4"/>
  <c r="AA436" i="4"/>
  <c r="AA106" i="4"/>
  <c r="AA382" i="4"/>
  <c r="AA389" i="4"/>
  <c r="AA400" i="4"/>
  <c r="AA405" i="4"/>
  <c r="AA411" i="4"/>
  <c r="AA417" i="4"/>
  <c r="AA423" i="4"/>
  <c r="AA429" i="4"/>
  <c r="AA435" i="4"/>
  <c r="AA192" i="4"/>
  <c r="AA306" i="4"/>
  <c r="AA309" i="4"/>
  <c r="AA385" i="4"/>
  <c r="AA392" i="4"/>
  <c r="AA404" i="4"/>
  <c r="AA410" i="4"/>
  <c r="AA416" i="4"/>
  <c r="AA422" i="4"/>
  <c r="AA428" i="4"/>
  <c r="AA434" i="4"/>
  <c r="AA440" i="4"/>
  <c r="AA446" i="4"/>
  <c r="AA303" i="4"/>
  <c r="AA345" i="4"/>
  <c r="AA225" i="4"/>
  <c r="AA292" i="4"/>
  <c r="AA343" i="4"/>
  <c r="AA415" i="4"/>
  <c r="AA433" i="4"/>
  <c r="AA454" i="4"/>
  <c r="AA460" i="4"/>
  <c r="AA466" i="4"/>
  <c r="AA472" i="4"/>
  <c r="AA478" i="4"/>
  <c r="AA484" i="4"/>
  <c r="AA490" i="4"/>
  <c r="AA496" i="4"/>
  <c r="AA502" i="4"/>
  <c r="AA508" i="4"/>
  <c r="AA242" i="4"/>
  <c r="AA251" i="4"/>
  <c r="AA280" i="4"/>
  <c r="AA334" i="4"/>
  <c r="AA353" i="4"/>
  <c r="AA380" i="4"/>
  <c r="AA228" i="4"/>
  <c r="AA331" i="4"/>
  <c r="AA356" i="4"/>
  <c r="AA371" i="4"/>
  <c r="AA444" i="4"/>
  <c r="AA445" i="4"/>
  <c r="AA374" i="4"/>
  <c r="AA145" i="4"/>
  <c r="AA76" i="4"/>
  <c r="AA377" i="4"/>
  <c r="AA395" i="4"/>
  <c r="AA409" i="4"/>
  <c r="AA432" i="4"/>
  <c r="AA447" i="4"/>
  <c r="AA420" i="4"/>
  <c r="AA426" i="4"/>
  <c r="AA452" i="4"/>
  <c r="AA459" i="4"/>
  <c r="AA463" i="4"/>
  <c r="AA470" i="4"/>
  <c r="AA477" i="4"/>
  <c r="AA481" i="4"/>
  <c r="AA488" i="4"/>
  <c r="AA495" i="4"/>
  <c r="AA499" i="4"/>
  <c r="AA506" i="4"/>
  <c r="AA515" i="4"/>
  <c r="AA521" i="4"/>
  <c r="AA527" i="4"/>
  <c r="AA533" i="4"/>
  <c r="AA539" i="4"/>
  <c r="AA321" i="4"/>
  <c r="AA297" i="4"/>
  <c r="AA362" i="4"/>
  <c r="AA388" i="4"/>
  <c r="AA441" i="4"/>
  <c r="AA451" i="4"/>
  <c r="AA458" i="4"/>
  <c r="AA465" i="4"/>
  <c r="AA469" i="4"/>
  <c r="AA476" i="4"/>
  <c r="AA483" i="4"/>
  <c r="AA487" i="4"/>
  <c r="AA494" i="4"/>
  <c r="AA501" i="4"/>
  <c r="AA505" i="4"/>
  <c r="AA408" i="4"/>
  <c r="AA421" i="4"/>
  <c r="AA427" i="4"/>
  <c r="AA448" i="4"/>
  <c r="AA468" i="4"/>
  <c r="AA486" i="4"/>
  <c r="AA504" i="4"/>
  <c r="AA512" i="4"/>
  <c r="AA518" i="4"/>
  <c r="AA524" i="4"/>
  <c r="AA530" i="4"/>
  <c r="AA536" i="4"/>
  <c r="AA542" i="4"/>
  <c r="AA548" i="4"/>
  <c r="AA554" i="4"/>
  <c r="AA560" i="4"/>
  <c r="AA566" i="4"/>
  <c r="AA572" i="4"/>
  <c r="AA578" i="4"/>
  <c r="AA584" i="4"/>
  <c r="AA590" i="4"/>
  <c r="AA596" i="4"/>
  <c r="AA602" i="4"/>
  <c r="AA608" i="4"/>
  <c r="AA614" i="4"/>
  <c r="AA620" i="4"/>
  <c r="AA626" i="4"/>
  <c r="AA632" i="4"/>
  <c r="AA638" i="4"/>
  <c r="AA644" i="4"/>
  <c r="AA650" i="4"/>
  <c r="AA398" i="4"/>
  <c r="AA414" i="4"/>
  <c r="AA456" i="4"/>
  <c r="AA479" i="4"/>
  <c r="AA485" i="4"/>
  <c r="AA489" i="4"/>
  <c r="AA523" i="4"/>
  <c r="AA541" i="4"/>
  <c r="AA552" i="4"/>
  <c r="AA559" i="4"/>
  <c r="AA570" i="4"/>
  <c r="AA577" i="4"/>
  <c r="AA588" i="4"/>
  <c r="AA595" i="4"/>
  <c r="AA606" i="4"/>
  <c r="AA365" i="4"/>
  <c r="AA402" i="4"/>
  <c r="AA462" i="4"/>
  <c r="AA491" i="4"/>
  <c r="AA391" i="4"/>
  <c r="AA438" i="4"/>
  <c r="AA464" i="4"/>
  <c r="AA493" i="4"/>
  <c r="AA453" i="4"/>
  <c r="AA474" i="4"/>
  <c r="AA497" i="4"/>
  <c r="AA503" i="4"/>
  <c r="AA517" i="4"/>
  <c r="AA535" i="4"/>
  <c r="AA547" i="4"/>
  <c r="AA558" i="4"/>
  <c r="AA565" i="4"/>
  <c r="AA576" i="4"/>
  <c r="AA583" i="4"/>
  <c r="AA594" i="4"/>
  <c r="AA601" i="4"/>
  <c r="AA612" i="4"/>
  <c r="AA455" i="4"/>
  <c r="AA480" i="4"/>
  <c r="AA507" i="4"/>
  <c r="AA514" i="4"/>
  <c r="AA522" i="4"/>
  <c r="AA532" i="4"/>
  <c r="AA540" i="4"/>
  <c r="AA543" i="4"/>
  <c r="AA550" i="4"/>
  <c r="AA561" i="4"/>
  <c r="AA568" i="4"/>
  <c r="AA579" i="4"/>
  <c r="AA586" i="4"/>
  <c r="AA597" i="4"/>
  <c r="AA604" i="4"/>
  <c r="AA439" i="4"/>
  <c r="AA519" i="4"/>
  <c r="AA537" i="4"/>
  <c r="AA557" i="4"/>
  <c r="AA575" i="4"/>
  <c r="AA593" i="4"/>
  <c r="AA611" i="4"/>
  <c r="AA629" i="4"/>
  <c r="AA442" i="4"/>
  <c r="AA473" i="4"/>
  <c r="AA498" i="4"/>
  <c r="AA516" i="4"/>
  <c r="AA526" i="4"/>
  <c r="AA534" i="4"/>
  <c r="AA450" i="4"/>
  <c r="AA513" i="4"/>
  <c r="AA531" i="4"/>
  <c r="AA545" i="4"/>
  <c r="AA563" i="4"/>
  <c r="AA581" i="4"/>
  <c r="AA599" i="4"/>
  <c r="AA546" i="4"/>
  <c r="AA589" i="4"/>
  <c r="AA591" i="4"/>
  <c r="AA600" i="4"/>
  <c r="AA619" i="4"/>
  <c r="AA630" i="4"/>
  <c r="AA647" i="4"/>
  <c r="AA656" i="4"/>
  <c r="AA662" i="4"/>
  <c r="AA668" i="4"/>
  <c r="AA674" i="4"/>
  <c r="AA680" i="4"/>
  <c r="AA686" i="4"/>
  <c r="AA692" i="4"/>
  <c r="AA698" i="4"/>
  <c r="AA704" i="4"/>
  <c r="AA710" i="4"/>
  <c r="AA716" i="4"/>
  <c r="AA722" i="4"/>
  <c r="AA728" i="4"/>
  <c r="AA511" i="4"/>
  <c r="AA544" i="4"/>
  <c r="AA574" i="4"/>
  <c r="AA585" i="4"/>
  <c r="AA587" i="4"/>
  <c r="AA598" i="4"/>
  <c r="AA525" i="4"/>
  <c r="AA627" i="4"/>
  <c r="AA639" i="4"/>
  <c r="AA467" i="4"/>
  <c r="AA520" i="4"/>
  <c r="AA528" i="4"/>
  <c r="AA457" i="4"/>
  <c r="AA471" i="4"/>
  <c r="AA509" i="4"/>
  <c r="AA553" i="4"/>
  <c r="AA555" i="4"/>
  <c r="AA564" i="4"/>
  <c r="AA607" i="4"/>
  <c r="AA609" i="4"/>
  <c r="AA613" i="4"/>
  <c r="AA624" i="4"/>
  <c r="AA635" i="4"/>
  <c r="AA654" i="4"/>
  <c r="AA660" i="4"/>
  <c r="AA666" i="4"/>
  <c r="AA672" i="4"/>
  <c r="AA678" i="4"/>
  <c r="AA684" i="4"/>
  <c r="AA690" i="4"/>
  <c r="AA696" i="4"/>
  <c r="AA702" i="4"/>
  <c r="AA708" i="4"/>
  <c r="AA714" i="4"/>
  <c r="AA720" i="4"/>
  <c r="AA726" i="4"/>
  <c r="AA732" i="4"/>
  <c r="AA738" i="4"/>
  <c r="AA744" i="4"/>
  <c r="AA750" i="4"/>
  <c r="AA756" i="4"/>
  <c r="AA762" i="4"/>
  <c r="AA768" i="4"/>
  <c r="AA774" i="4"/>
  <c r="AA780" i="4"/>
  <c r="AA786" i="4"/>
  <c r="AA792" i="4"/>
  <c r="AA798" i="4"/>
  <c r="AA804" i="4"/>
  <c r="AA810" i="4"/>
  <c r="AA816" i="4"/>
  <c r="AA475" i="4"/>
  <c r="AA482" i="4"/>
  <c r="AA549" i="4"/>
  <c r="AA551" i="4"/>
  <c r="AA562" i="4"/>
  <c r="AA592" i="4"/>
  <c r="AA603" i="4"/>
  <c r="AA605" i="4"/>
  <c r="AA618" i="4"/>
  <c r="AA642" i="4"/>
  <c r="AA649" i="4"/>
  <c r="AA403" i="4"/>
  <c r="AA461" i="4"/>
  <c r="AA492" i="4"/>
  <c r="AA529" i="4"/>
  <c r="AA623" i="4"/>
  <c r="AA571" i="4"/>
  <c r="AA573" i="4"/>
  <c r="AA582" i="4"/>
  <c r="AA625" i="4"/>
  <c r="AA610" i="4"/>
  <c r="AA616" i="4"/>
  <c r="AA621" i="4"/>
  <c r="AA739" i="4"/>
  <c r="AA757" i="4"/>
  <c r="AA775" i="4"/>
  <c r="AA793" i="4"/>
  <c r="AA580" i="4"/>
  <c r="AA641" i="4"/>
  <c r="AA643" i="4"/>
  <c r="AA645" i="4"/>
  <c r="AA657" i="4"/>
  <c r="AA667" i="4"/>
  <c r="AA675" i="4"/>
  <c r="AA685" i="4"/>
  <c r="AA693" i="4"/>
  <c r="AA703" i="4"/>
  <c r="AA711" i="4"/>
  <c r="AA721" i="4"/>
  <c r="AA729" i="4"/>
  <c r="AA746" i="4"/>
  <c r="AA764" i="4"/>
  <c r="AA567" i="4"/>
  <c r="AA510" i="4"/>
  <c r="AA637" i="4"/>
  <c r="AA659" i="4"/>
  <c r="AA664" i="4"/>
  <c r="AA677" i="4"/>
  <c r="AA682" i="4"/>
  <c r="AA695" i="4"/>
  <c r="AA700" i="4"/>
  <c r="AA713" i="4"/>
  <c r="AA718" i="4"/>
  <c r="AA731" i="4"/>
  <c r="AA735" i="4"/>
  <c r="AA500" i="4"/>
  <c r="AA617" i="4"/>
  <c r="AA622" i="4"/>
  <c r="AA745" i="4"/>
  <c r="AA763" i="4"/>
  <c r="AA781" i="4"/>
  <c r="AA799" i="4"/>
  <c r="AA817" i="4"/>
  <c r="AA826" i="4"/>
  <c r="AA832" i="4"/>
  <c r="AA838" i="4"/>
  <c r="AA844" i="4"/>
  <c r="AA850" i="4"/>
  <c r="AA856" i="4"/>
  <c r="AA862" i="4"/>
  <c r="AA868" i="4"/>
  <c r="AA874" i="4"/>
  <c r="AA880" i="4"/>
  <c r="AA886" i="4"/>
  <c r="AA892" i="4"/>
  <c r="AA898" i="4"/>
  <c r="AA904" i="4"/>
  <c r="AA910" i="4"/>
  <c r="AA916" i="4"/>
  <c r="AA922" i="4"/>
  <c r="AA928" i="4"/>
  <c r="AA934" i="4"/>
  <c r="AA940" i="4"/>
  <c r="AA946" i="4"/>
  <c r="AA952" i="4"/>
  <c r="AA958" i="4"/>
  <c r="AA651" i="4"/>
  <c r="AA661" i="4"/>
  <c r="AA669" i="4"/>
  <c r="AA679" i="4"/>
  <c r="AA687" i="4"/>
  <c r="AA697" i="4"/>
  <c r="AA705" i="4"/>
  <c r="AA715" i="4"/>
  <c r="AA723" i="4"/>
  <c r="AA734" i="4"/>
  <c r="AA628" i="4"/>
  <c r="AA646" i="4"/>
  <c r="AA825" i="4"/>
  <c r="AA831" i="4"/>
  <c r="AA615" i="4"/>
  <c r="AA633" i="4"/>
  <c r="AA640" i="4"/>
  <c r="AA653" i="4"/>
  <c r="AA658" i="4"/>
  <c r="AA671" i="4"/>
  <c r="AA676" i="4"/>
  <c r="AA689" i="4"/>
  <c r="AA694" i="4"/>
  <c r="AA707" i="4"/>
  <c r="AA712" i="4"/>
  <c r="AA725" i="4"/>
  <c r="AA730" i="4"/>
  <c r="AA737" i="4"/>
  <c r="AA741" i="4"/>
  <c r="AA748" i="4"/>
  <c r="AA755" i="4"/>
  <c r="AA759" i="4"/>
  <c r="AA766" i="4"/>
  <c r="AA538" i="4"/>
  <c r="AA556" i="4"/>
  <c r="AA569" i="4"/>
  <c r="AA733" i="4"/>
  <c r="AA648" i="4"/>
  <c r="AA655" i="4"/>
  <c r="AA663" i="4"/>
  <c r="AA673" i="4"/>
  <c r="AA681" i="4"/>
  <c r="AA691" i="4"/>
  <c r="AA699" i="4"/>
  <c r="AA709" i="4"/>
  <c r="AA717" i="4"/>
  <c r="AA727" i="4"/>
  <c r="AA740" i="4"/>
  <c r="AA758" i="4"/>
  <c r="AA776" i="4"/>
  <c r="AA794" i="4"/>
  <c r="AA812" i="4"/>
  <c r="AA634" i="4"/>
  <c r="AA652" i="4"/>
  <c r="AA665" i="4"/>
  <c r="AA670" i="4"/>
  <c r="AA683" i="4"/>
  <c r="AA688" i="4"/>
  <c r="AA701" i="4"/>
  <c r="AA706" i="4"/>
  <c r="AA719" i="4"/>
  <c r="AA724" i="4"/>
  <c r="AA736" i="4"/>
  <c r="AA743" i="4"/>
  <c r="AA747" i="4"/>
  <c r="AA754" i="4"/>
  <c r="AA761" i="4"/>
  <c r="AA765" i="4"/>
  <c r="AA772" i="4"/>
  <c r="AA779" i="4"/>
  <c r="AA783" i="4"/>
  <c r="AA790" i="4"/>
  <c r="AA797" i="4"/>
  <c r="AA801" i="4"/>
  <c r="AA808" i="4"/>
  <c r="AA815" i="4"/>
  <c r="AA819" i="4"/>
  <c r="AA788" i="4"/>
  <c r="AA813" i="4"/>
  <c r="AA829" i="4"/>
  <c r="AA837" i="4"/>
  <c r="AA843" i="4"/>
  <c r="AA849" i="4"/>
  <c r="AA852" i="4"/>
  <c r="AA870" i="4"/>
  <c r="AA888" i="4"/>
  <c r="AA906" i="4"/>
  <c r="AA924" i="4"/>
  <c r="AA942" i="4"/>
  <c r="AA960" i="4"/>
  <c r="AA752" i="4"/>
  <c r="AA760" i="4"/>
  <c r="AA855" i="4"/>
  <c r="AA859" i="4"/>
  <c r="AA866" i="4"/>
  <c r="AA873" i="4"/>
  <c r="AA877" i="4"/>
  <c r="AA884" i="4"/>
  <c r="AA891" i="4"/>
  <c r="AA895" i="4"/>
  <c r="AA902" i="4"/>
  <c r="AA909" i="4"/>
  <c r="AA913" i="4"/>
  <c r="AA920" i="4"/>
  <c r="AA927" i="4"/>
  <c r="AA931" i="4"/>
  <c r="AA938" i="4"/>
  <c r="AA945" i="4"/>
  <c r="AA949" i="4"/>
  <c r="AA956" i="4"/>
  <c r="AA963" i="4"/>
  <c r="AA778" i="4"/>
  <c r="AA828" i="4"/>
  <c r="AA833" i="4"/>
  <c r="AA839" i="4"/>
  <c r="AA845" i="4"/>
  <c r="AA851" i="4"/>
  <c r="AA869" i="4"/>
  <c r="AA887" i="4"/>
  <c r="AA905" i="4"/>
  <c r="AA770" i="4"/>
  <c r="AA823" i="4"/>
  <c r="AA858" i="4"/>
  <c r="AA876" i="4"/>
  <c r="AA894" i="4"/>
  <c r="AA912" i="4"/>
  <c r="AA930" i="4"/>
  <c r="AA948" i="4"/>
  <c r="AA742" i="4"/>
  <c r="AA787" i="4"/>
  <c r="AA803" i="4"/>
  <c r="AA805" i="4"/>
  <c r="AA836" i="4"/>
  <c r="AA842" i="4"/>
  <c r="AA848" i="4"/>
  <c r="AA967" i="4"/>
  <c r="AA973" i="4"/>
  <c r="AA979" i="4"/>
  <c r="AA985" i="4"/>
  <c r="AA991" i="4"/>
  <c r="AA997" i="4"/>
  <c r="AA7" i="4"/>
  <c r="AA13" i="4"/>
  <c r="AA753" i="4"/>
  <c r="AA785" i="4"/>
  <c r="AA791" i="4"/>
  <c r="AA795" i="4"/>
  <c r="AA814" i="4"/>
  <c r="AA818" i="4"/>
  <c r="AA636" i="4"/>
  <c r="AA751" i="4"/>
  <c r="AA789" i="4"/>
  <c r="AA820" i="4"/>
  <c r="AA822" i="4"/>
  <c r="AA827" i="4"/>
  <c r="AA830" i="4"/>
  <c r="AA857" i="4"/>
  <c r="AA875" i="4"/>
  <c r="AA893" i="4"/>
  <c r="AA911" i="4"/>
  <c r="AA929" i="4"/>
  <c r="AA947" i="4"/>
  <c r="AA966" i="4"/>
  <c r="AA972" i="4"/>
  <c r="AA978" i="4"/>
  <c r="AA984" i="4"/>
  <c r="AA990" i="4"/>
  <c r="AA996" i="4"/>
  <c r="AA6" i="4"/>
  <c r="AA12" i="4"/>
  <c r="AA631" i="4"/>
  <c r="AA864" i="4"/>
  <c r="AA882" i="4"/>
  <c r="AA900" i="4"/>
  <c r="AA918" i="4"/>
  <c r="AA749" i="4"/>
  <c r="AA769" i="4"/>
  <c r="AA807" i="4"/>
  <c r="AA809" i="4"/>
  <c r="AA835" i="4"/>
  <c r="AA841" i="4"/>
  <c r="AA847" i="4"/>
  <c r="AA965" i="4"/>
  <c r="AA971" i="4"/>
  <c r="AA977" i="4"/>
  <c r="AA983" i="4"/>
  <c r="AA989" i="4"/>
  <c r="AA771" i="4"/>
  <c r="AA796" i="4"/>
  <c r="AA802" i="4"/>
  <c r="AA824" i="4"/>
  <c r="AA834" i="4"/>
  <c r="AA840" i="4"/>
  <c r="AA846" i="4"/>
  <c r="AA863" i="4"/>
  <c r="AA881" i="4"/>
  <c r="AA899" i="4"/>
  <c r="AA917" i="4"/>
  <c r="AA935" i="4"/>
  <c r="AA953" i="4"/>
  <c r="AA964" i="4"/>
  <c r="AA970" i="4"/>
  <c r="AA976" i="4"/>
  <c r="AA982" i="4"/>
  <c r="AA988" i="4"/>
  <c r="AA994" i="4"/>
  <c r="AA1000" i="4"/>
  <c r="AA10" i="4"/>
  <c r="AA5" i="4"/>
  <c r="Y5" i="4"/>
  <c r="Y997" i="4"/>
  <c r="AA995" i="4"/>
  <c r="AA993" i="4"/>
  <c r="AA987" i="4"/>
  <c r="AA968" i="4"/>
  <c r="AA961" i="4"/>
  <c r="AA959" i="4"/>
  <c r="AA901" i="4"/>
  <c r="W895" i="4"/>
  <c r="AA879" i="4"/>
  <c r="W859" i="4"/>
  <c r="Y845" i="4"/>
  <c r="AD822" i="4"/>
  <c r="W815" i="4"/>
  <c r="AA767" i="4"/>
  <c r="Y8" i="4"/>
  <c r="Y979" i="4"/>
  <c r="Y923" i="4"/>
  <c r="AD917" i="4"/>
  <c r="AD910" i="4"/>
  <c r="AA907" i="4"/>
  <c r="AA872" i="4"/>
  <c r="AA784" i="4"/>
  <c r="W776" i="4"/>
  <c r="AD707" i="4"/>
  <c r="AC16" i="4"/>
  <c r="AC22" i="4"/>
  <c r="AC28" i="4"/>
  <c r="AC34" i="4"/>
  <c r="AC40" i="4"/>
  <c r="AC46" i="4"/>
  <c r="AC52" i="4"/>
  <c r="AC58" i="4"/>
  <c r="AC64" i="4"/>
  <c r="AC70" i="4"/>
  <c r="AC76" i="4"/>
  <c r="AC82" i="4"/>
  <c r="AC88" i="4"/>
  <c r="AC94" i="4"/>
  <c r="AC15" i="4"/>
  <c r="AC21" i="4"/>
  <c r="AC27" i="4"/>
  <c r="AC33" i="4"/>
  <c r="AC39" i="4"/>
  <c r="AC45" i="4"/>
  <c r="AC51" i="4"/>
  <c r="AC57" i="4"/>
  <c r="AC63" i="4"/>
  <c r="AC69" i="4"/>
  <c r="AC20" i="4"/>
  <c r="AC26" i="4"/>
  <c r="AC32" i="4"/>
  <c r="AC38" i="4"/>
  <c r="AC44" i="4"/>
  <c r="AC50" i="4"/>
  <c r="AC56" i="4"/>
  <c r="AC62" i="4"/>
  <c r="AC68" i="4"/>
  <c r="AC74" i="4"/>
  <c r="AC80" i="4"/>
  <c r="AC86" i="4"/>
  <c r="AC92" i="4"/>
  <c r="AC98" i="4"/>
  <c r="AC104" i="4"/>
  <c r="AC110" i="4"/>
  <c r="AC116" i="4"/>
  <c r="AC122" i="4"/>
  <c r="AC128" i="4"/>
  <c r="AC134" i="4"/>
  <c r="AC140" i="4"/>
  <c r="AC19" i="4"/>
  <c r="AC25" i="4"/>
  <c r="AC31" i="4"/>
  <c r="AC37" i="4"/>
  <c r="AC43" i="4"/>
  <c r="AC49" i="4"/>
  <c r="AC55" i="4"/>
  <c r="AC61" i="4"/>
  <c r="AC67" i="4"/>
  <c r="AC73" i="4"/>
  <c r="AC29" i="4"/>
  <c r="AC35" i="4"/>
  <c r="AC41" i="4"/>
  <c r="AC47" i="4"/>
  <c r="AC53" i="4"/>
  <c r="AC59" i="4"/>
  <c r="AC65" i="4"/>
  <c r="AC23" i="4"/>
  <c r="AC103" i="4"/>
  <c r="AC109" i="4"/>
  <c r="AC115" i="4"/>
  <c r="AC144" i="4"/>
  <c r="AC150" i="4"/>
  <c r="AC156" i="4"/>
  <c r="AC162" i="4"/>
  <c r="AC168" i="4"/>
  <c r="AC174" i="4"/>
  <c r="AC180" i="4"/>
  <c r="AC186" i="4"/>
  <c r="AC192" i="4"/>
  <c r="AC198" i="4"/>
  <c r="AC204" i="4"/>
  <c r="AC143" i="4"/>
  <c r="AC149" i="4"/>
  <c r="AC155" i="4"/>
  <c r="AC161" i="4"/>
  <c r="AC167" i="4"/>
  <c r="AC173" i="4"/>
  <c r="AC179" i="4"/>
  <c r="AC185" i="4"/>
  <c r="AC191" i="4"/>
  <c r="AC24" i="4"/>
  <c r="AC100" i="4"/>
  <c r="AC75" i="4"/>
  <c r="AC77" i="4"/>
  <c r="AC83" i="4"/>
  <c r="AC89" i="4"/>
  <c r="AC95" i="4"/>
  <c r="AC97" i="4"/>
  <c r="AC147" i="4"/>
  <c r="AC153" i="4"/>
  <c r="AC159" i="4"/>
  <c r="AC165" i="4"/>
  <c r="AC171" i="4"/>
  <c r="AC177" i="4"/>
  <c r="AC183" i="4"/>
  <c r="AC189" i="4"/>
  <c r="AC195" i="4"/>
  <c r="AC201" i="4"/>
  <c r="AC207" i="4"/>
  <c r="AC78" i="4"/>
  <c r="AC111" i="4"/>
  <c r="AC121" i="4"/>
  <c r="AC79" i="4"/>
  <c r="AC87" i="4"/>
  <c r="AC113" i="4"/>
  <c r="AC148" i="4"/>
  <c r="AC154" i="4"/>
  <c r="AC160" i="4"/>
  <c r="AC166" i="4"/>
  <c r="AC172" i="4"/>
  <c r="AC178" i="4"/>
  <c r="AC184" i="4"/>
  <c r="AC190" i="4"/>
  <c r="AC212" i="4"/>
  <c r="AC218" i="4"/>
  <c r="AC224" i="4"/>
  <c r="AC230" i="4"/>
  <c r="AC236" i="4"/>
  <c r="AC242" i="4"/>
  <c r="AC248" i="4"/>
  <c r="AC254" i="4"/>
  <c r="AC260" i="4"/>
  <c r="AC17" i="4"/>
  <c r="AC90" i="4"/>
  <c r="AC120" i="4"/>
  <c r="AC125" i="4"/>
  <c r="AC130" i="4"/>
  <c r="AC137" i="4"/>
  <c r="AC142" i="4"/>
  <c r="AC85" i="4"/>
  <c r="AC93" i="4"/>
  <c r="AC105" i="4"/>
  <c r="AC117" i="4"/>
  <c r="AC127" i="4"/>
  <c r="AC132" i="4"/>
  <c r="AC139" i="4"/>
  <c r="AC91" i="4"/>
  <c r="AC99" i="4"/>
  <c r="AC114" i="4"/>
  <c r="AC129" i="4"/>
  <c r="AC136" i="4"/>
  <c r="AC202" i="4"/>
  <c r="AC215" i="4"/>
  <c r="AC221" i="4"/>
  <c r="AC227" i="4"/>
  <c r="AC233" i="4"/>
  <c r="AC239" i="4"/>
  <c r="AC245" i="4"/>
  <c r="AC251" i="4"/>
  <c r="AC257" i="4"/>
  <c r="AC101" i="4"/>
  <c r="AC152" i="4"/>
  <c r="AC181" i="4"/>
  <c r="AC193" i="4"/>
  <c r="AC226" i="4"/>
  <c r="AC244" i="4"/>
  <c r="AC263" i="4"/>
  <c r="AC84" i="4"/>
  <c r="AC71" i="4"/>
  <c r="AC214" i="4"/>
  <c r="AC232" i="4"/>
  <c r="AC250" i="4"/>
  <c r="AC261" i="4"/>
  <c r="AC267" i="4"/>
  <c r="AC273" i="4"/>
  <c r="AC279" i="4"/>
  <c r="AC285" i="4"/>
  <c r="AC291" i="4"/>
  <c r="AC297" i="4"/>
  <c r="AC303" i="4"/>
  <c r="AC309" i="4"/>
  <c r="AC315" i="4"/>
  <c r="AC321" i="4"/>
  <c r="AC327" i="4"/>
  <c r="AC333" i="4"/>
  <c r="AC339" i="4"/>
  <c r="AC345" i="4"/>
  <c r="AC36" i="4"/>
  <c r="AC54" i="4"/>
  <c r="AC96" i="4"/>
  <c r="AC175" i="4"/>
  <c r="AC187" i="4"/>
  <c r="AC217" i="4"/>
  <c r="AC235" i="4"/>
  <c r="AC253" i="4"/>
  <c r="AC266" i="4"/>
  <c r="AC272" i="4"/>
  <c r="AC108" i="4"/>
  <c r="AC123" i="4"/>
  <c r="AC151" i="4"/>
  <c r="AC170" i="4"/>
  <c r="AC182" i="4"/>
  <c r="AC194" i="4"/>
  <c r="AC199" i="4"/>
  <c r="AC213" i="4"/>
  <c r="AC231" i="4"/>
  <c r="AC249" i="4"/>
  <c r="AC18" i="4"/>
  <c r="AC42" i="4"/>
  <c r="AC60" i="4"/>
  <c r="AC106" i="4"/>
  <c r="AC158" i="4"/>
  <c r="AC223" i="4"/>
  <c r="AC241" i="4"/>
  <c r="AC259" i="4"/>
  <c r="AC264" i="4"/>
  <c r="AC270" i="4"/>
  <c r="AC276" i="4"/>
  <c r="AC282" i="4"/>
  <c r="AC288" i="4"/>
  <c r="AC294" i="4"/>
  <c r="AC300" i="4"/>
  <c r="AC306" i="4"/>
  <c r="AC312" i="4"/>
  <c r="AC318" i="4"/>
  <c r="AC324" i="4"/>
  <c r="AC330" i="4"/>
  <c r="AC336" i="4"/>
  <c r="AC342" i="4"/>
  <c r="AC348" i="4"/>
  <c r="AC72" i="4"/>
  <c r="AC146" i="4"/>
  <c r="AC280" i="4"/>
  <c r="AC298" i="4"/>
  <c r="AC316" i="4"/>
  <c r="AC334" i="4"/>
  <c r="AC48" i="4"/>
  <c r="AC124" i="4"/>
  <c r="AC131" i="4"/>
  <c r="AC200" i="4"/>
  <c r="AC205" i="4"/>
  <c r="AC225" i="4"/>
  <c r="AC252" i="4"/>
  <c r="AC256" i="4"/>
  <c r="AC287" i="4"/>
  <c r="AC188" i="4"/>
  <c r="AC229" i="4"/>
  <c r="AC258" i="4"/>
  <c r="AC283" i="4"/>
  <c r="AC118" i="4"/>
  <c r="AC138" i="4"/>
  <c r="AC141" i="4"/>
  <c r="AC203" i="4"/>
  <c r="AC210" i="4"/>
  <c r="AC237" i="4"/>
  <c r="AC262" i="4"/>
  <c r="AC290" i="4"/>
  <c r="AC308" i="4"/>
  <c r="AC135" i="4"/>
  <c r="AC163" i="4"/>
  <c r="AC196" i="4"/>
  <c r="AC286" i="4"/>
  <c r="AC304" i="4"/>
  <c r="AC322" i="4"/>
  <c r="AC340" i="4"/>
  <c r="AC126" i="4"/>
  <c r="AC164" i="4"/>
  <c r="AC197" i="4"/>
  <c r="AC234" i="4"/>
  <c r="AC238" i="4"/>
  <c r="AC281" i="4"/>
  <c r="AC145" i="4"/>
  <c r="AC216" i="4"/>
  <c r="AC228" i="4"/>
  <c r="AC268" i="4"/>
  <c r="AC293" i="4"/>
  <c r="AC314" i="4"/>
  <c r="AC319" i="4"/>
  <c r="AC332" i="4"/>
  <c r="AC337" i="4"/>
  <c r="AC346" i="4"/>
  <c r="AC355" i="4"/>
  <c r="AC361" i="4"/>
  <c r="AC367" i="4"/>
  <c r="AC373" i="4"/>
  <c r="AC379" i="4"/>
  <c r="AC385" i="4"/>
  <c r="AC391" i="4"/>
  <c r="AC397" i="4"/>
  <c r="AC271" i="4"/>
  <c r="AC278" i="4"/>
  <c r="AC299" i="4"/>
  <c r="AC269" i="4"/>
  <c r="AC313" i="4"/>
  <c r="AC326" i="4"/>
  <c r="AC331" i="4"/>
  <c r="AC353" i="4"/>
  <c r="AC359" i="4"/>
  <c r="AC365" i="4"/>
  <c r="AC371" i="4"/>
  <c r="AC377" i="4"/>
  <c r="AC209" i="4"/>
  <c r="AC310" i="4"/>
  <c r="AC323" i="4"/>
  <c r="AC328" i="4"/>
  <c r="AC341" i="4"/>
  <c r="AC352" i="4"/>
  <c r="AC358" i="4"/>
  <c r="AC364" i="4"/>
  <c r="AC370" i="4"/>
  <c r="AC376" i="4"/>
  <c r="AC382" i="4"/>
  <c r="AC388" i="4"/>
  <c r="AC394" i="4"/>
  <c r="AC400" i="4"/>
  <c r="AC30" i="4"/>
  <c r="AC81" i="4"/>
  <c r="AC274" i="4"/>
  <c r="AC292" i="4"/>
  <c r="AC296" i="4"/>
  <c r="AC344" i="4"/>
  <c r="AC107" i="4"/>
  <c r="AC247" i="4"/>
  <c r="AC265" i="4"/>
  <c r="AC320" i="4"/>
  <c r="AC338" i="4"/>
  <c r="AC347" i="4"/>
  <c r="AC66" i="4"/>
  <c r="AC119" i="4"/>
  <c r="AC277" i="4"/>
  <c r="AC307" i="4"/>
  <c r="AC317" i="4"/>
  <c r="AC335" i="4"/>
  <c r="AC343" i="4"/>
  <c r="AC356" i="4"/>
  <c r="AC362" i="4"/>
  <c r="AC368" i="4"/>
  <c r="AC102" i="4"/>
  <c r="AC112" i="4"/>
  <c r="AC284" i="4"/>
  <c r="AC357" i="4"/>
  <c r="AC366" i="4"/>
  <c r="AC374" i="4"/>
  <c r="AC384" i="4"/>
  <c r="AC157" i="4"/>
  <c r="AC301" i="4"/>
  <c r="AC380" i="4"/>
  <c r="AC398" i="4"/>
  <c r="AC402" i="4"/>
  <c r="AC408" i="4"/>
  <c r="AC414" i="4"/>
  <c r="AC420" i="4"/>
  <c r="AC426" i="4"/>
  <c r="AC432" i="4"/>
  <c r="AC438" i="4"/>
  <c r="AC444" i="4"/>
  <c r="AC450" i="4"/>
  <c r="AC211" i="4"/>
  <c r="AC222" i="4"/>
  <c r="AC243" i="4"/>
  <c r="AC246" i="4"/>
  <c r="AC295" i="4"/>
  <c r="AC176" i="4"/>
  <c r="AC305" i="4"/>
  <c r="AC311" i="4"/>
  <c r="AC383" i="4"/>
  <c r="AC401" i="4"/>
  <c r="AC407" i="4"/>
  <c r="AC413" i="4"/>
  <c r="AC419" i="4"/>
  <c r="AC425" i="4"/>
  <c r="AC431" i="4"/>
  <c r="AC437" i="4"/>
  <c r="AC208" i="4"/>
  <c r="AC240" i="4"/>
  <c r="AC289" i="4"/>
  <c r="AC302" i="4"/>
  <c r="AC386" i="4"/>
  <c r="AC406" i="4"/>
  <c r="AC412" i="4"/>
  <c r="AC418" i="4"/>
  <c r="AC424" i="4"/>
  <c r="AC430" i="4"/>
  <c r="AC436" i="4"/>
  <c r="AC220" i="4"/>
  <c r="AC275" i="4"/>
  <c r="AC329" i="4"/>
  <c r="AC389" i="4"/>
  <c r="AC405" i="4"/>
  <c r="AC411" i="4"/>
  <c r="AC417" i="4"/>
  <c r="AC423" i="4"/>
  <c r="AC429" i="4"/>
  <c r="AC435" i="4"/>
  <c r="AC441" i="4"/>
  <c r="AC447" i="4"/>
  <c r="AC325" i="4"/>
  <c r="AC381" i="4"/>
  <c r="AC404" i="4"/>
  <c r="AC422" i="4"/>
  <c r="AC440" i="4"/>
  <c r="AC443" i="4"/>
  <c r="AC455" i="4"/>
  <c r="AC461" i="4"/>
  <c r="AC467" i="4"/>
  <c r="AC473" i="4"/>
  <c r="AC479" i="4"/>
  <c r="AC485" i="4"/>
  <c r="AC491" i="4"/>
  <c r="AC497" i="4"/>
  <c r="AC503" i="4"/>
  <c r="AC509" i="4"/>
  <c r="AC349" i="4"/>
  <c r="AC360" i="4"/>
  <c r="AC350" i="4"/>
  <c r="AC169" i="4"/>
  <c r="AC378" i="4"/>
  <c r="AC133" i="4"/>
  <c r="AC399" i="4"/>
  <c r="AC206" i="4"/>
  <c r="AC363" i="4"/>
  <c r="AC369" i="4"/>
  <c r="AC255" i="4"/>
  <c r="AC354" i="4"/>
  <c r="AC372" i="4"/>
  <c r="AC387" i="4"/>
  <c r="AC395" i="4"/>
  <c r="AC442" i="4"/>
  <c r="AC456" i="4"/>
  <c r="AC474" i="4"/>
  <c r="AC492" i="4"/>
  <c r="AC510" i="4"/>
  <c r="AC516" i="4"/>
  <c r="AC522" i="4"/>
  <c r="AC528" i="4"/>
  <c r="AC534" i="4"/>
  <c r="AC540" i="4"/>
  <c r="AC219" i="4"/>
  <c r="AC351" i="4"/>
  <c r="AC375" i="4"/>
  <c r="AC403" i="4"/>
  <c r="AC446" i="4"/>
  <c r="AC462" i="4"/>
  <c r="AC480" i="4"/>
  <c r="AC498" i="4"/>
  <c r="AC410" i="4"/>
  <c r="AC454" i="4"/>
  <c r="AC458" i="4"/>
  <c r="AC465" i="4"/>
  <c r="AC472" i="4"/>
  <c r="AC476" i="4"/>
  <c r="AC483" i="4"/>
  <c r="AC490" i="4"/>
  <c r="AC494" i="4"/>
  <c r="AC501" i="4"/>
  <c r="AC508" i="4"/>
  <c r="AC513" i="4"/>
  <c r="AC519" i="4"/>
  <c r="AC525" i="4"/>
  <c r="AC531" i="4"/>
  <c r="AC537" i="4"/>
  <c r="AC543" i="4"/>
  <c r="AC549" i="4"/>
  <c r="AC555" i="4"/>
  <c r="AC561" i="4"/>
  <c r="AC567" i="4"/>
  <c r="AC573" i="4"/>
  <c r="AC579" i="4"/>
  <c r="AC585" i="4"/>
  <c r="AC591" i="4"/>
  <c r="AC597" i="4"/>
  <c r="AC603" i="4"/>
  <c r="AC609" i="4"/>
  <c r="AC615" i="4"/>
  <c r="AC621" i="4"/>
  <c r="AC627" i="4"/>
  <c r="AC633" i="4"/>
  <c r="AC639" i="4"/>
  <c r="AC645" i="4"/>
  <c r="AC434" i="4"/>
  <c r="AC445" i="4"/>
  <c r="AC452" i="4"/>
  <c r="AC477" i="4"/>
  <c r="AC500" i="4"/>
  <c r="AC506" i="4"/>
  <c r="AC481" i="4"/>
  <c r="AC487" i="4"/>
  <c r="AC460" i="4"/>
  <c r="AC489" i="4"/>
  <c r="AC523" i="4"/>
  <c r="AC541" i="4"/>
  <c r="AC548" i="4"/>
  <c r="AC559" i="4"/>
  <c r="AC566" i="4"/>
  <c r="AC577" i="4"/>
  <c r="AC584" i="4"/>
  <c r="AC595" i="4"/>
  <c r="AC602" i="4"/>
  <c r="AC613" i="4"/>
  <c r="AC620" i="4"/>
  <c r="AC631" i="4"/>
  <c r="AC409" i="4"/>
  <c r="AC421" i="4"/>
  <c r="AC464" i="4"/>
  <c r="AC470" i="4"/>
  <c r="AC495" i="4"/>
  <c r="AC392" i="4"/>
  <c r="AC415" i="4"/>
  <c r="AC427" i="4"/>
  <c r="AC451" i="4"/>
  <c r="AC499" i="4"/>
  <c r="AC505" i="4"/>
  <c r="AC512" i="4"/>
  <c r="AC530" i="4"/>
  <c r="AC551" i="4"/>
  <c r="AC558" i="4"/>
  <c r="AC569" i="4"/>
  <c r="AC576" i="4"/>
  <c r="AC587" i="4"/>
  <c r="AC594" i="4"/>
  <c r="AC605" i="4"/>
  <c r="AC457" i="4"/>
  <c r="AC484" i="4"/>
  <c r="AC486" i="4"/>
  <c r="AC507" i="4"/>
  <c r="AC514" i="4"/>
  <c r="AC527" i="4"/>
  <c r="AC532" i="4"/>
  <c r="AC550" i="4"/>
  <c r="AC568" i="4"/>
  <c r="AC586" i="4"/>
  <c r="AC604" i="4"/>
  <c r="AC622" i="4"/>
  <c r="AC393" i="4"/>
  <c r="AC416" i="4"/>
  <c r="AC433" i="4"/>
  <c r="AC428" i="4"/>
  <c r="AC463" i="4"/>
  <c r="AC469" i="4"/>
  <c r="AC524" i="4"/>
  <c r="AC390" i="4"/>
  <c r="AC475" i="4"/>
  <c r="AC502" i="4"/>
  <c r="AC504" i="4"/>
  <c r="AC521" i="4"/>
  <c r="AC526" i="4"/>
  <c r="AC539" i="4"/>
  <c r="AC556" i="4"/>
  <c r="AC574" i="4"/>
  <c r="AC592" i="4"/>
  <c r="AC610" i="4"/>
  <c r="AC459" i="4"/>
  <c r="AC552" i="4"/>
  <c r="AC563" i="4"/>
  <c r="AC606" i="4"/>
  <c r="AC614" i="4"/>
  <c r="AC640" i="4"/>
  <c r="AC651" i="4"/>
  <c r="AC657" i="4"/>
  <c r="AC663" i="4"/>
  <c r="AC669" i="4"/>
  <c r="AC675" i="4"/>
  <c r="AC681" i="4"/>
  <c r="AC687" i="4"/>
  <c r="AC693" i="4"/>
  <c r="AC699" i="4"/>
  <c r="AC705" i="4"/>
  <c r="AC711" i="4"/>
  <c r="AC717" i="4"/>
  <c r="AC723" i="4"/>
  <c r="AC729" i="4"/>
  <c r="AC396" i="4"/>
  <c r="AC453" i="4"/>
  <c r="AC533" i="4"/>
  <c r="AC546" i="4"/>
  <c r="AC600" i="4"/>
  <c r="AC449" i="4"/>
  <c r="AC511" i="4"/>
  <c r="AC536" i="4"/>
  <c r="AC544" i="4"/>
  <c r="AC583" i="4"/>
  <c r="AC589" i="4"/>
  <c r="AC598" i="4"/>
  <c r="AC616" i="4"/>
  <c r="AC619" i="4"/>
  <c r="AC636" i="4"/>
  <c r="AC478" i="4"/>
  <c r="AC517" i="4"/>
  <c r="AC557" i="4"/>
  <c r="AC572" i="4"/>
  <c r="AC596" i="4"/>
  <c r="AC611" i="4"/>
  <c r="AC488" i="4"/>
  <c r="AC520" i="4"/>
  <c r="AC542" i="4"/>
  <c r="AC570" i="4"/>
  <c r="AC581" i="4"/>
  <c r="AC632" i="4"/>
  <c r="AC646" i="4"/>
  <c r="AC655" i="4"/>
  <c r="AC661" i="4"/>
  <c r="AC667" i="4"/>
  <c r="AC673" i="4"/>
  <c r="AC679" i="4"/>
  <c r="AC685" i="4"/>
  <c r="AC691" i="4"/>
  <c r="AC697" i="4"/>
  <c r="AC703" i="4"/>
  <c r="AC709" i="4"/>
  <c r="AC715" i="4"/>
  <c r="AC721" i="4"/>
  <c r="AC727" i="4"/>
  <c r="AC733" i="4"/>
  <c r="AC739" i="4"/>
  <c r="AC745" i="4"/>
  <c r="AC751" i="4"/>
  <c r="AC757" i="4"/>
  <c r="AC763" i="4"/>
  <c r="AC769" i="4"/>
  <c r="AC775" i="4"/>
  <c r="AC781" i="4"/>
  <c r="AC787" i="4"/>
  <c r="AC793" i="4"/>
  <c r="AC799" i="4"/>
  <c r="AC805" i="4"/>
  <c r="AC811" i="4"/>
  <c r="AC817" i="4"/>
  <c r="AC471" i="4"/>
  <c r="AC564" i="4"/>
  <c r="AC624" i="4"/>
  <c r="AC468" i="4"/>
  <c r="AC482" i="4"/>
  <c r="AC547" i="4"/>
  <c r="AC553" i="4"/>
  <c r="AC562" i="4"/>
  <c r="AC601" i="4"/>
  <c r="AC496" i="4"/>
  <c r="AC515" i="4"/>
  <c r="AC560" i="4"/>
  <c r="AC575" i="4"/>
  <c r="AC590" i="4"/>
  <c r="AC638" i="4"/>
  <c r="AC518" i="4"/>
  <c r="AC529" i="4"/>
  <c r="AC545" i="4"/>
  <c r="AC588" i="4"/>
  <c r="AC599" i="4"/>
  <c r="AC448" i="4"/>
  <c r="AC466" i="4"/>
  <c r="AC554" i="4"/>
  <c r="AC578" i="4"/>
  <c r="AC593" i="4"/>
  <c r="AC608" i="4"/>
  <c r="AC617" i="4"/>
  <c r="AC637" i="4"/>
  <c r="AC644" i="4"/>
  <c r="AC634" i="4"/>
  <c r="AC747" i="4"/>
  <c r="AC765" i="4"/>
  <c r="AC783" i="4"/>
  <c r="AC493" i="4"/>
  <c r="AC535" i="4"/>
  <c r="AC629" i="4"/>
  <c r="AC652" i="4"/>
  <c r="AC665" i="4"/>
  <c r="AC670" i="4"/>
  <c r="AC683" i="4"/>
  <c r="AC688" i="4"/>
  <c r="AC701" i="4"/>
  <c r="AC706" i="4"/>
  <c r="AC719" i="4"/>
  <c r="AC724" i="4"/>
  <c r="AC732" i="4"/>
  <c r="AC736" i="4"/>
  <c r="AC743" i="4"/>
  <c r="AC750" i="4"/>
  <c r="AC754" i="4"/>
  <c r="AC761" i="4"/>
  <c r="AC439" i="4"/>
  <c r="AC580" i="4"/>
  <c r="AC662" i="4"/>
  <c r="AC680" i="4"/>
  <c r="AC698" i="4"/>
  <c r="AC716" i="4"/>
  <c r="AC571" i="4"/>
  <c r="AC607" i="4"/>
  <c r="AC641" i="4"/>
  <c r="AC643" i="4"/>
  <c r="AC647" i="4"/>
  <c r="AC654" i="4"/>
  <c r="AC672" i="4"/>
  <c r="AC690" i="4"/>
  <c r="AC708" i="4"/>
  <c r="AC726" i="4"/>
  <c r="AC735" i="4"/>
  <c r="AC753" i="4"/>
  <c r="AC771" i="4"/>
  <c r="AC789" i="4"/>
  <c r="AC807" i="4"/>
  <c r="AC827" i="4"/>
  <c r="AC833" i="4"/>
  <c r="AC839" i="4"/>
  <c r="AC845" i="4"/>
  <c r="AC851" i="4"/>
  <c r="AC857" i="4"/>
  <c r="AC863" i="4"/>
  <c r="AC869" i="4"/>
  <c r="AC875" i="4"/>
  <c r="AC881" i="4"/>
  <c r="AC887" i="4"/>
  <c r="AC893" i="4"/>
  <c r="AC899" i="4"/>
  <c r="AC905" i="4"/>
  <c r="AC911" i="4"/>
  <c r="AC917" i="4"/>
  <c r="AC923" i="4"/>
  <c r="AC929" i="4"/>
  <c r="AC935" i="4"/>
  <c r="AC941" i="4"/>
  <c r="AC947" i="4"/>
  <c r="AC953" i="4"/>
  <c r="AC959" i="4"/>
  <c r="AC635" i="4"/>
  <c r="AC649" i="4"/>
  <c r="AC659" i="4"/>
  <c r="AC664" i="4"/>
  <c r="AC677" i="4"/>
  <c r="AC682" i="4"/>
  <c r="AC695" i="4"/>
  <c r="AC700" i="4"/>
  <c r="AC713" i="4"/>
  <c r="AC718" i="4"/>
  <c r="AC731" i="4"/>
  <c r="AC625" i="4"/>
  <c r="AC630" i="4"/>
  <c r="AC656" i="4"/>
  <c r="AC674" i="4"/>
  <c r="AC692" i="4"/>
  <c r="AC710" i="4"/>
  <c r="AC728" i="4"/>
  <c r="AC826" i="4"/>
  <c r="AC832" i="4"/>
  <c r="AC582" i="4"/>
  <c r="AC612" i="4"/>
  <c r="AC666" i="4"/>
  <c r="AC684" i="4"/>
  <c r="AC702" i="4"/>
  <c r="AC720" i="4"/>
  <c r="AC734" i="4"/>
  <c r="AC752" i="4"/>
  <c r="AC628" i="4"/>
  <c r="AC642" i="4"/>
  <c r="AC741" i="4"/>
  <c r="AC538" i="4"/>
  <c r="AC565" i="4"/>
  <c r="AC623" i="4"/>
  <c r="AC653" i="4"/>
  <c r="AC658" i="4"/>
  <c r="AC671" i="4"/>
  <c r="AC676" i="4"/>
  <c r="AC689" i="4"/>
  <c r="AC694" i="4"/>
  <c r="AC707" i="4"/>
  <c r="AC712" i="4"/>
  <c r="AC725" i="4"/>
  <c r="AC730" i="4"/>
  <c r="AC737" i="4"/>
  <c r="AC744" i="4"/>
  <c r="AC748" i="4"/>
  <c r="AC755" i="4"/>
  <c r="AC762" i="4"/>
  <c r="AC766" i="4"/>
  <c r="AC773" i="4"/>
  <c r="AC780" i="4"/>
  <c r="AC784" i="4"/>
  <c r="AC791" i="4"/>
  <c r="AC798" i="4"/>
  <c r="AC802" i="4"/>
  <c r="AC809" i="4"/>
  <c r="AC816" i="4"/>
  <c r="AC820" i="4"/>
  <c r="AC650" i="4"/>
  <c r="AC660" i="4"/>
  <c r="AC678" i="4"/>
  <c r="AC696" i="4"/>
  <c r="AC714" i="4"/>
  <c r="AC740" i="4"/>
  <c r="AC758" i="4"/>
  <c r="AC776" i="4"/>
  <c r="AC794" i="4"/>
  <c r="AC812" i="4"/>
  <c r="AC786" i="4"/>
  <c r="AC796" i="4"/>
  <c r="AC800" i="4"/>
  <c r="AC804" i="4"/>
  <c r="AC824" i="4"/>
  <c r="AC856" i="4"/>
  <c r="AC860" i="4"/>
  <c r="AC867" i="4"/>
  <c r="AC874" i="4"/>
  <c r="AC878" i="4"/>
  <c r="AC885" i="4"/>
  <c r="AC892" i="4"/>
  <c r="AC896" i="4"/>
  <c r="AC903" i="4"/>
  <c r="AC910" i="4"/>
  <c r="AC914" i="4"/>
  <c r="AC921" i="4"/>
  <c r="AC928" i="4"/>
  <c r="AC932" i="4"/>
  <c r="AC939" i="4"/>
  <c r="AC946" i="4"/>
  <c r="AC950" i="4"/>
  <c r="AC957" i="4"/>
  <c r="AC618" i="4"/>
  <c r="AC648" i="4"/>
  <c r="AC668" i="4"/>
  <c r="AC806" i="4"/>
  <c r="AC821" i="4"/>
  <c r="AC837" i="4"/>
  <c r="AC843" i="4"/>
  <c r="AC849" i="4"/>
  <c r="AC852" i="4"/>
  <c r="AC870" i="4"/>
  <c r="AC888" i="4"/>
  <c r="AC906" i="4"/>
  <c r="AC924" i="4"/>
  <c r="AC942" i="4"/>
  <c r="AC960" i="4"/>
  <c r="AC704" i="4"/>
  <c r="AC738" i="4"/>
  <c r="AC760" i="4"/>
  <c r="AC782" i="4"/>
  <c r="AC831" i="4"/>
  <c r="AC859" i="4"/>
  <c r="AC877" i="4"/>
  <c r="AC895" i="4"/>
  <c r="AC913" i="4"/>
  <c r="AC768" i="4"/>
  <c r="AC778" i="4"/>
  <c r="AC808" i="4"/>
  <c r="AC855" i="4"/>
  <c r="AC862" i="4"/>
  <c r="AC866" i="4"/>
  <c r="AC873" i="4"/>
  <c r="AC880" i="4"/>
  <c r="AC884" i="4"/>
  <c r="AC891" i="4"/>
  <c r="AC898" i="4"/>
  <c r="AC902" i="4"/>
  <c r="AC909" i="4"/>
  <c r="AC916" i="4"/>
  <c r="AC920" i="4"/>
  <c r="AC927" i="4"/>
  <c r="AC934" i="4"/>
  <c r="AC938" i="4"/>
  <c r="AC945" i="4"/>
  <c r="AC952" i="4"/>
  <c r="AC956" i="4"/>
  <c r="AC963" i="4"/>
  <c r="AC770" i="4"/>
  <c r="AC772" i="4"/>
  <c r="AC774" i="4"/>
  <c r="AC797" i="4"/>
  <c r="AC801" i="4"/>
  <c r="AC810" i="4"/>
  <c r="AC823" i="4"/>
  <c r="AC828" i="4"/>
  <c r="AC968" i="4"/>
  <c r="AC974" i="4"/>
  <c r="AC980" i="4"/>
  <c r="AC986" i="4"/>
  <c r="AC992" i="4"/>
  <c r="AC998" i="4"/>
  <c r="AC8" i="4"/>
  <c r="AC14" i="4"/>
  <c r="AC742" i="4"/>
  <c r="AC803" i="4"/>
  <c r="AC836" i="4"/>
  <c r="AC842" i="4"/>
  <c r="AC785" i="4"/>
  <c r="AC795" i="4"/>
  <c r="AC814" i="4"/>
  <c r="AC825" i="4"/>
  <c r="AC865" i="4"/>
  <c r="AC883" i="4"/>
  <c r="AC901" i="4"/>
  <c r="AC919" i="4"/>
  <c r="AC937" i="4"/>
  <c r="AC955" i="4"/>
  <c r="AC967" i="4"/>
  <c r="AC973" i="4"/>
  <c r="AC979" i="4"/>
  <c r="AC985" i="4"/>
  <c r="AC991" i="4"/>
  <c r="AC997" i="4"/>
  <c r="AC7" i="4"/>
  <c r="AC13" i="4"/>
  <c r="AC626" i="4"/>
  <c r="AC686" i="4"/>
  <c r="AC756" i="4"/>
  <c r="AC818" i="4"/>
  <c r="AC830" i="4"/>
  <c r="AC854" i="4"/>
  <c r="AC861" i="4"/>
  <c r="AC868" i="4"/>
  <c r="AC872" i="4"/>
  <c r="AC879" i="4"/>
  <c r="AC886" i="4"/>
  <c r="AC890" i="4"/>
  <c r="AC897" i="4"/>
  <c r="AC904" i="4"/>
  <c r="AC908" i="4"/>
  <c r="AC915" i="4"/>
  <c r="AC922" i="4"/>
  <c r="AC926" i="4"/>
  <c r="AC779" i="4"/>
  <c r="AC822" i="4"/>
  <c r="AC838" i="4"/>
  <c r="AC844" i="4"/>
  <c r="AC850" i="4"/>
  <c r="AC966" i="4"/>
  <c r="AC972" i="4"/>
  <c r="AC978" i="4"/>
  <c r="AC984" i="4"/>
  <c r="AC759" i="4"/>
  <c r="AC767" i="4"/>
  <c r="AC777" i="4"/>
  <c r="AC853" i="4"/>
  <c r="AC871" i="4"/>
  <c r="AC889" i="4"/>
  <c r="AC907" i="4"/>
  <c r="AC925" i="4"/>
  <c r="AC943" i="4"/>
  <c r="AC961" i="4"/>
  <c r="AC965" i="4"/>
  <c r="AC971" i="4"/>
  <c r="AC977" i="4"/>
  <c r="AC983" i="4"/>
  <c r="AC989" i="4"/>
  <c r="AC995" i="4"/>
  <c r="AC1001" i="4"/>
  <c r="AC11" i="4"/>
  <c r="AD11" i="4"/>
  <c r="AD998" i="4"/>
  <c r="V997" i="4"/>
  <c r="W979" i="4"/>
  <c r="AA974" i="4"/>
  <c r="AD972" i="4"/>
  <c r="Y968" i="4"/>
  <c r="Y961" i="4"/>
  <c r="Y959" i="4"/>
  <c r="AA954" i="4"/>
  <c r="Y952" i="4"/>
  <c r="AC949" i="4"/>
  <c r="AD946" i="4"/>
  <c r="AA941" i="4"/>
  <c r="V939" i="4"/>
  <c r="AC936" i="4"/>
  <c r="Y934" i="4"/>
  <c r="AC931" i="4"/>
  <c r="AD928" i="4"/>
  <c r="AA925" i="4"/>
  <c r="V920" i="4"/>
  <c r="AD903" i="4"/>
  <c r="Y898" i="4"/>
  <c r="AC894" i="4"/>
  <c r="V885" i="4"/>
  <c r="Y869" i="4"/>
  <c r="AA865" i="4"/>
  <c r="Y862" i="4"/>
  <c r="AC858" i="4"/>
  <c r="AA854" i="4"/>
  <c r="Y851" i="4"/>
  <c r="V848" i="4"/>
  <c r="AD844" i="4"/>
  <c r="W810" i="4"/>
  <c r="AA806" i="4"/>
  <c r="Y1000" i="4"/>
  <c r="AA998" i="4"/>
  <c r="Y985" i="4"/>
  <c r="AA943" i="4"/>
  <c r="AA936" i="4"/>
  <c r="AA903" i="4"/>
  <c r="Y888" i="4"/>
  <c r="Y882" i="4"/>
  <c r="AA878" i="4"/>
  <c r="AA821" i="4"/>
  <c r="Y788" i="4"/>
  <c r="AD19" i="4"/>
  <c r="AD25" i="4"/>
  <c r="AD31" i="4"/>
  <c r="AD37" i="4"/>
  <c r="AD43" i="4"/>
  <c r="AD49" i="4"/>
  <c r="AD55" i="4"/>
  <c r="AD61" i="4"/>
  <c r="AD67" i="4"/>
  <c r="AD73" i="4"/>
  <c r="AD79" i="4"/>
  <c r="AD85" i="4"/>
  <c r="AD91" i="4"/>
  <c r="AD97" i="4"/>
  <c r="AD103" i="4"/>
  <c r="AD109" i="4"/>
  <c r="AD115" i="4"/>
  <c r="AD18" i="4"/>
  <c r="AD24" i="4"/>
  <c r="AD30" i="4"/>
  <c r="AD36" i="4"/>
  <c r="AD42" i="4"/>
  <c r="AD48" i="4"/>
  <c r="AD54" i="4"/>
  <c r="AD60" i="4"/>
  <c r="AD66" i="4"/>
  <c r="AD17" i="4"/>
  <c r="AD23" i="4"/>
  <c r="AD29" i="4"/>
  <c r="AD35" i="4"/>
  <c r="AD41" i="4"/>
  <c r="AD47" i="4"/>
  <c r="AD53" i="4"/>
  <c r="AD59" i="4"/>
  <c r="AD65" i="4"/>
  <c r="AD71" i="4"/>
  <c r="AD77" i="4"/>
  <c r="AD83" i="4"/>
  <c r="AD89" i="4"/>
  <c r="AD95" i="4"/>
  <c r="AD16" i="4"/>
  <c r="AD22" i="4"/>
  <c r="AD28" i="4"/>
  <c r="AD34" i="4"/>
  <c r="AD40" i="4"/>
  <c r="AD46" i="4"/>
  <c r="AD52" i="4"/>
  <c r="AD58" i="4"/>
  <c r="AD64" i="4"/>
  <c r="AD70" i="4"/>
  <c r="AD76" i="4"/>
  <c r="AD82" i="4"/>
  <c r="AD88" i="4"/>
  <c r="AD94" i="4"/>
  <c r="AD100" i="4"/>
  <c r="AD106" i="4"/>
  <c r="AD112" i="4"/>
  <c r="AD118" i="4"/>
  <c r="AD124" i="4"/>
  <c r="AD130" i="4"/>
  <c r="AD136" i="4"/>
  <c r="AD15" i="4"/>
  <c r="AD21" i="4"/>
  <c r="AD27" i="4"/>
  <c r="AD33" i="4"/>
  <c r="AD39" i="4"/>
  <c r="AD45" i="4"/>
  <c r="AD51" i="4"/>
  <c r="AD57" i="4"/>
  <c r="AD63" i="4"/>
  <c r="AD69" i="4"/>
  <c r="AD75" i="4"/>
  <c r="AD81" i="4"/>
  <c r="AD87" i="4"/>
  <c r="AD93" i="4"/>
  <c r="AD99" i="4"/>
  <c r="AD20" i="4"/>
  <c r="AD26" i="4"/>
  <c r="AD74" i="4"/>
  <c r="AD78" i="4"/>
  <c r="AD84" i="4"/>
  <c r="AD90" i="4"/>
  <c r="AD96" i="4"/>
  <c r="AD129" i="4"/>
  <c r="AD72" i="4"/>
  <c r="AD121" i="4"/>
  <c r="AD125" i="4"/>
  <c r="AD132" i="4"/>
  <c r="AD139" i="4"/>
  <c r="AD32" i="4"/>
  <c r="AD38" i="4"/>
  <c r="AD44" i="4"/>
  <c r="AD50" i="4"/>
  <c r="AD56" i="4"/>
  <c r="AD62" i="4"/>
  <c r="AD68" i="4"/>
  <c r="AD120" i="4"/>
  <c r="AD127" i="4"/>
  <c r="AD131" i="4"/>
  <c r="AD138" i="4"/>
  <c r="AD142" i="4"/>
  <c r="AD86" i="4"/>
  <c r="AD119" i="4"/>
  <c r="AD108" i="4"/>
  <c r="AD197" i="4"/>
  <c r="AD204" i="4"/>
  <c r="AD110" i="4"/>
  <c r="AD145" i="4"/>
  <c r="AD151" i="4"/>
  <c r="AD157" i="4"/>
  <c r="AD163" i="4"/>
  <c r="AD169" i="4"/>
  <c r="AD137" i="4"/>
  <c r="AD101" i="4"/>
  <c r="AD107" i="4"/>
  <c r="AD141" i="4"/>
  <c r="AD195" i="4"/>
  <c r="AD206" i="4"/>
  <c r="AD114" i="4"/>
  <c r="AD116" i="4"/>
  <c r="AD154" i="4"/>
  <c r="AD198" i="4"/>
  <c r="AD219" i="4"/>
  <c r="AD237" i="4"/>
  <c r="AD255" i="4"/>
  <c r="AD92" i="4"/>
  <c r="AD102" i="4"/>
  <c r="AD117" i="4"/>
  <c r="AD159" i="4"/>
  <c r="AD166" i="4"/>
  <c r="AD173" i="4"/>
  <c r="AD185" i="4"/>
  <c r="AD200" i="4"/>
  <c r="AD205" i="4"/>
  <c r="AD225" i="4"/>
  <c r="AD243" i="4"/>
  <c r="AD135" i="4"/>
  <c r="AD153" i="4"/>
  <c r="AD161" i="4"/>
  <c r="AD168" i="4"/>
  <c r="AD202" i="4"/>
  <c r="AD207" i="4"/>
  <c r="AD210" i="4"/>
  <c r="AD228" i="4"/>
  <c r="AD246" i="4"/>
  <c r="AD140" i="4"/>
  <c r="AD149" i="4"/>
  <c r="AD175" i="4"/>
  <c r="AD187" i="4"/>
  <c r="AD217" i="4"/>
  <c r="AD224" i="4"/>
  <c r="AD235" i="4"/>
  <c r="AD242" i="4"/>
  <c r="AD253" i="4"/>
  <c r="AD260" i="4"/>
  <c r="AD80" i="4"/>
  <c r="AD128" i="4"/>
  <c r="AD179" i="4"/>
  <c r="AD191" i="4"/>
  <c r="AD196" i="4"/>
  <c r="AD209" i="4"/>
  <c r="AD216" i="4"/>
  <c r="AD234" i="4"/>
  <c r="AD252" i="4"/>
  <c r="AD104" i="4"/>
  <c r="AD134" i="4"/>
  <c r="AD152" i="4"/>
  <c r="AD167" i="4"/>
  <c r="AD180" i="4"/>
  <c r="AD221" i="4"/>
  <c r="AD223" i="4"/>
  <c r="AD248" i="4"/>
  <c r="AD265" i="4"/>
  <c r="AD268" i="4"/>
  <c r="AD274" i="4"/>
  <c r="AD284" i="4"/>
  <c r="AD291" i="4"/>
  <c r="AD302" i="4"/>
  <c r="AD309" i="4"/>
  <c r="AD320" i="4"/>
  <c r="AD327" i="4"/>
  <c r="AD338" i="4"/>
  <c r="AD111" i="4"/>
  <c r="AD146" i="4"/>
  <c r="AD227" i="4"/>
  <c r="AD250" i="4"/>
  <c r="AD280" i="4"/>
  <c r="AD155" i="4"/>
  <c r="AD170" i="4"/>
  <c r="AD183" i="4"/>
  <c r="AD193" i="4"/>
  <c r="AD254" i="4"/>
  <c r="AD256" i="4"/>
  <c r="AD287" i="4"/>
  <c r="AD144" i="4"/>
  <c r="AD158" i="4"/>
  <c r="AD165" i="4"/>
  <c r="AD178" i="4"/>
  <c r="AD188" i="4"/>
  <c r="AD229" i="4"/>
  <c r="AD231" i="4"/>
  <c r="AD233" i="4"/>
  <c r="AD258" i="4"/>
  <c r="AD267" i="4"/>
  <c r="AD270" i="4"/>
  <c r="AD273" i="4"/>
  <c r="AD276" i="4"/>
  <c r="AD283" i="4"/>
  <c r="AD301" i="4"/>
  <c r="AD105" i="4"/>
  <c r="AD186" i="4"/>
  <c r="AD203" i="4"/>
  <c r="AD212" i="4"/>
  <c r="AD239" i="4"/>
  <c r="AD241" i="4"/>
  <c r="AD262" i="4"/>
  <c r="AD279" i="4"/>
  <c r="AD290" i="4"/>
  <c r="AD297" i="4"/>
  <c r="AD308" i="4"/>
  <c r="AD315" i="4"/>
  <c r="AD326" i="4"/>
  <c r="AD333" i="4"/>
  <c r="AD232" i="4"/>
  <c r="AD261" i="4"/>
  <c r="AD292" i="4"/>
  <c r="AD133" i="4"/>
  <c r="AD177" i="4"/>
  <c r="AD201" i="4"/>
  <c r="AD213" i="4"/>
  <c r="AD251" i="4"/>
  <c r="AD275" i="4"/>
  <c r="AD350" i="4"/>
  <c r="AD150" i="4"/>
  <c r="AD189" i="4"/>
  <c r="AD192" i="4"/>
  <c r="AD211" i="4"/>
  <c r="AD214" i="4"/>
  <c r="AD222" i="4"/>
  <c r="AD240" i="4"/>
  <c r="AD289" i="4"/>
  <c r="AD316" i="4"/>
  <c r="AD334" i="4"/>
  <c r="AD349" i="4"/>
  <c r="AD264" i="4"/>
  <c r="AD271" i="4"/>
  <c r="AD278" i="4"/>
  <c r="AD299" i="4"/>
  <c r="AD306" i="4"/>
  <c r="AD321" i="4"/>
  <c r="AD339" i="4"/>
  <c r="AD345" i="4"/>
  <c r="AD147" i="4"/>
  <c r="AD220" i="4"/>
  <c r="AD285" i="4"/>
  <c r="AD294" i="4"/>
  <c r="AD348" i="4"/>
  <c r="AD162" i="4"/>
  <c r="AD172" i="4"/>
  <c r="AD238" i="4"/>
  <c r="AD303" i="4"/>
  <c r="AD310" i="4"/>
  <c r="AD323" i="4"/>
  <c r="AD328" i="4"/>
  <c r="AD341" i="4"/>
  <c r="AD352" i="4"/>
  <c r="AD358" i="4"/>
  <c r="AD364" i="4"/>
  <c r="AD123" i="4"/>
  <c r="AD156" i="4"/>
  <c r="AD176" i="4"/>
  <c r="AD215" i="4"/>
  <c r="AD218" i="4"/>
  <c r="AD230" i="4"/>
  <c r="AD281" i="4"/>
  <c r="AD298" i="4"/>
  <c r="AD305" i="4"/>
  <c r="AD312" i="4"/>
  <c r="AD325" i="4"/>
  <c r="AD330" i="4"/>
  <c r="AD148" i="4"/>
  <c r="AD160" i="4"/>
  <c r="AD194" i="4"/>
  <c r="AD247" i="4"/>
  <c r="AD288" i="4"/>
  <c r="AD300" i="4"/>
  <c r="AD347" i="4"/>
  <c r="AD122" i="4"/>
  <c r="AD164" i="4"/>
  <c r="AD263" i="4"/>
  <c r="AD269" i="4"/>
  <c r="AD344" i="4"/>
  <c r="AD371" i="4"/>
  <c r="AD377" i="4"/>
  <c r="AD395" i="4"/>
  <c r="AD403" i="4"/>
  <c r="AD409" i="4"/>
  <c r="AD415" i="4"/>
  <c r="AD421" i="4"/>
  <c r="AD427" i="4"/>
  <c r="AD433" i="4"/>
  <c r="AD439" i="4"/>
  <c r="AD226" i="4"/>
  <c r="AD313" i="4"/>
  <c r="AD357" i="4"/>
  <c r="AD366" i="4"/>
  <c r="AD374" i="4"/>
  <c r="AD384" i="4"/>
  <c r="AD391" i="4"/>
  <c r="AD181" i="4"/>
  <c r="AD190" i="4"/>
  <c r="AD277" i="4"/>
  <c r="AD171" i="4"/>
  <c r="AD199" i="4"/>
  <c r="AD266" i="4"/>
  <c r="AD295" i="4"/>
  <c r="AD319" i="4"/>
  <c r="AD361" i="4"/>
  <c r="AD387" i="4"/>
  <c r="AD394" i="4"/>
  <c r="AD126" i="4"/>
  <c r="AD182" i="4"/>
  <c r="AD317" i="4"/>
  <c r="AD331" i="4"/>
  <c r="AD354" i="4"/>
  <c r="AD363" i="4"/>
  <c r="AD373" i="4"/>
  <c r="AD379" i="4"/>
  <c r="AD390" i="4"/>
  <c r="AD397" i="4"/>
  <c r="AD259" i="4"/>
  <c r="AD286" i="4"/>
  <c r="AD293" i="4"/>
  <c r="AD337" i="4"/>
  <c r="AD343" i="4"/>
  <c r="AD367" i="4"/>
  <c r="AD382" i="4"/>
  <c r="AD393" i="4"/>
  <c r="AD400" i="4"/>
  <c r="AD98" i="4"/>
  <c r="AD208" i="4"/>
  <c r="AD335" i="4"/>
  <c r="AD342" i="4"/>
  <c r="AD356" i="4"/>
  <c r="AD249" i="4"/>
  <c r="AD329" i="4"/>
  <c r="AD336" i="4"/>
  <c r="AD362" i="4"/>
  <c r="AD383" i="4"/>
  <c r="AD396" i="4"/>
  <c r="AD406" i="4"/>
  <c r="AD413" i="4"/>
  <c r="AD424" i="4"/>
  <c r="AD431" i="4"/>
  <c r="AD450" i="4"/>
  <c r="AD340" i="4"/>
  <c r="AD346" i="4"/>
  <c r="AD311" i="4"/>
  <c r="AD388" i="4"/>
  <c r="AD399" i="4"/>
  <c r="AD410" i="4"/>
  <c r="AD353" i="4"/>
  <c r="AD414" i="4"/>
  <c r="AD432" i="4"/>
  <c r="AD448" i="4"/>
  <c r="AD452" i="4"/>
  <c r="AD458" i="4"/>
  <c r="AD464" i="4"/>
  <c r="AD470" i="4"/>
  <c r="AD476" i="4"/>
  <c r="AD482" i="4"/>
  <c r="AD488" i="4"/>
  <c r="AD494" i="4"/>
  <c r="AD500" i="4"/>
  <c r="AD506" i="4"/>
  <c r="AD304" i="4"/>
  <c r="AD408" i="4"/>
  <c r="AD417" i="4"/>
  <c r="AD419" i="4"/>
  <c r="AD423" i="4"/>
  <c r="AD425" i="4"/>
  <c r="AD454" i="4"/>
  <c r="AD461" i="4"/>
  <c r="AD465" i="4"/>
  <c r="AD472" i="4"/>
  <c r="AD479" i="4"/>
  <c r="AD483" i="4"/>
  <c r="AD490" i="4"/>
  <c r="AD497" i="4"/>
  <c r="AD501" i="4"/>
  <c r="AD508" i="4"/>
  <c r="AD513" i="4"/>
  <c r="AD519" i="4"/>
  <c r="AD525" i="4"/>
  <c r="AD531" i="4"/>
  <c r="AD537" i="4"/>
  <c r="AD314" i="4"/>
  <c r="AD360" i="4"/>
  <c r="AD244" i="4"/>
  <c r="AD184" i="4"/>
  <c r="AD324" i="4"/>
  <c r="AD392" i="4"/>
  <c r="AD296" i="4"/>
  <c r="AD369" i="4"/>
  <c r="AD430" i="4"/>
  <c r="AD434" i="4"/>
  <c r="AD440" i="4"/>
  <c r="AD453" i="4"/>
  <c r="AD460" i="4"/>
  <c r="AD467" i="4"/>
  <c r="AD471" i="4"/>
  <c r="AD478" i="4"/>
  <c r="AD485" i="4"/>
  <c r="AD489" i="4"/>
  <c r="AD496" i="4"/>
  <c r="AD503" i="4"/>
  <c r="AD507" i="4"/>
  <c r="AD511" i="4"/>
  <c r="AD517" i="4"/>
  <c r="AD523" i="4"/>
  <c r="AD529" i="4"/>
  <c r="AD535" i="4"/>
  <c r="AD541" i="4"/>
  <c r="AD547" i="4"/>
  <c r="AD553" i="4"/>
  <c r="AD559" i="4"/>
  <c r="AD565" i="4"/>
  <c r="AD571" i="4"/>
  <c r="AD577" i="4"/>
  <c r="AD583" i="4"/>
  <c r="AD589" i="4"/>
  <c r="AD595" i="4"/>
  <c r="AD601" i="4"/>
  <c r="AD607" i="4"/>
  <c r="AD613" i="4"/>
  <c r="AD619" i="4"/>
  <c r="AD625" i="4"/>
  <c r="AD631" i="4"/>
  <c r="AD637" i="4"/>
  <c r="AD643" i="4"/>
  <c r="AD649" i="4"/>
  <c r="AD245" i="4"/>
  <c r="AD372" i="4"/>
  <c r="AD380" i="4"/>
  <c r="AD418" i="4"/>
  <c r="AD113" i="4"/>
  <c r="AD174" i="4"/>
  <c r="AD236" i="4"/>
  <c r="AD282" i="4"/>
  <c r="AD385" i="4"/>
  <c r="AD272" i="4"/>
  <c r="AD307" i="4"/>
  <c r="AD351" i="4"/>
  <c r="AD370" i="4"/>
  <c r="AD375" i="4"/>
  <c r="AD355" i="4"/>
  <c r="AD143" i="4"/>
  <c r="AD322" i="4"/>
  <c r="AD359" i="4"/>
  <c r="AD378" i="4"/>
  <c r="AD401" i="4"/>
  <c r="AD435" i="4"/>
  <c r="AD437" i="4"/>
  <c r="AD449" i="4"/>
  <c r="AD257" i="4"/>
  <c r="AD332" i="4"/>
  <c r="AD365" i="4"/>
  <c r="AD368" i="4"/>
  <c r="AD376" i="4"/>
  <c r="AD381" i="4"/>
  <c r="AD386" i="4"/>
  <c r="AD429" i="4"/>
  <c r="AD451" i="4"/>
  <c r="AD469" i="4"/>
  <c r="AD487" i="4"/>
  <c r="AD505" i="4"/>
  <c r="AD411" i="4"/>
  <c r="AD420" i="4"/>
  <c r="AD475" i="4"/>
  <c r="AD502" i="4"/>
  <c r="AD504" i="4"/>
  <c r="AD521" i="4"/>
  <c r="AD526" i="4"/>
  <c r="AD539" i="4"/>
  <c r="AD556" i="4"/>
  <c r="AD574" i="4"/>
  <c r="AD592" i="4"/>
  <c r="AD610" i="4"/>
  <c r="AD398" i="4"/>
  <c r="AD405" i="4"/>
  <c r="AD426" i="4"/>
  <c r="AD445" i="4"/>
  <c r="AD456" i="4"/>
  <c r="AD477" i="4"/>
  <c r="AD402" i="4"/>
  <c r="AD481" i="4"/>
  <c r="AD510" i="4"/>
  <c r="AD518" i="4"/>
  <c r="AD528" i="4"/>
  <c r="AD536" i="4"/>
  <c r="AD545" i="4"/>
  <c r="AD552" i="4"/>
  <c r="AD563" i="4"/>
  <c r="AD570" i="4"/>
  <c r="AD581" i="4"/>
  <c r="AD588" i="4"/>
  <c r="AD599" i="4"/>
  <c r="AD606" i="4"/>
  <c r="AD617" i="4"/>
  <c r="AD624" i="4"/>
  <c r="AD412" i="4"/>
  <c r="AD466" i="4"/>
  <c r="AD468" i="4"/>
  <c r="AD493" i="4"/>
  <c r="AD515" i="4"/>
  <c r="AD520" i="4"/>
  <c r="AD533" i="4"/>
  <c r="AD538" i="4"/>
  <c r="AD544" i="4"/>
  <c r="AD562" i="4"/>
  <c r="AD580" i="4"/>
  <c r="AD598" i="4"/>
  <c r="AD441" i="4"/>
  <c r="AD474" i="4"/>
  <c r="AD495" i="4"/>
  <c r="AD436" i="4"/>
  <c r="AD444" i="4"/>
  <c r="AD455" i="4"/>
  <c r="AD480" i="4"/>
  <c r="AD543" i="4"/>
  <c r="AD554" i="4"/>
  <c r="AD561" i="4"/>
  <c r="AD572" i="4"/>
  <c r="AD579" i="4"/>
  <c r="AD590" i="4"/>
  <c r="AD597" i="4"/>
  <c r="AD608" i="4"/>
  <c r="AD615" i="4"/>
  <c r="AD626" i="4"/>
  <c r="AD389" i="4"/>
  <c r="AD407" i="4"/>
  <c r="AD416" i="4"/>
  <c r="AD422" i="4"/>
  <c r="AD459" i="4"/>
  <c r="AD492" i="4"/>
  <c r="AD318" i="4"/>
  <c r="AD447" i="4"/>
  <c r="AD473" i="4"/>
  <c r="AD498" i="4"/>
  <c r="AD542" i="4"/>
  <c r="AD549" i="4"/>
  <c r="AD560" i="4"/>
  <c r="AD567" i="4"/>
  <c r="AD578" i="4"/>
  <c r="AD585" i="4"/>
  <c r="AD596" i="4"/>
  <c r="AD603" i="4"/>
  <c r="AD550" i="4"/>
  <c r="AD576" i="4"/>
  <c r="AD593" i="4"/>
  <c r="AD604" i="4"/>
  <c r="AD622" i="4"/>
  <c r="AD633" i="4"/>
  <c r="AD644" i="4"/>
  <c r="AD522" i="4"/>
  <c r="AD530" i="4"/>
  <c r="AD548" i="4"/>
  <c r="AD591" i="4"/>
  <c r="AD602" i="4"/>
  <c r="AD463" i="4"/>
  <c r="AD484" i="4"/>
  <c r="AD546" i="4"/>
  <c r="AD587" i="4"/>
  <c r="AD600" i="4"/>
  <c r="AD630" i="4"/>
  <c r="AD491" i="4"/>
  <c r="AD514" i="4"/>
  <c r="AD616" i="4"/>
  <c r="AD557" i="4"/>
  <c r="AD568" i="4"/>
  <c r="AD594" i="4"/>
  <c r="AD611" i="4"/>
  <c r="AD639" i="4"/>
  <c r="AD650" i="4"/>
  <c r="AD446" i="4"/>
  <c r="AD457" i="4"/>
  <c r="AD509" i="4"/>
  <c r="AD534" i="4"/>
  <c r="AD555" i="4"/>
  <c r="AD566" i="4"/>
  <c r="AD609" i="4"/>
  <c r="AD621" i="4"/>
  <c r="AD632" i="4"/>
  <c r="AD646" i="4"/>
  <c r="AD655" i="4"/>
  <c r="AD661" i="4"/>
  <c r="AD667" i="4"/>
  <c r="AD673" i="4"/>
  <c r="AD679" i="4"/>
  <c r="AD685" i="4"/>
  <c r="AD691" i="4"/>
  <c r="AD697" i="4"/>
  <c r="AD703" i="4"/>
  <c r="AD709" i="4"/>
  <c r="AD715" i="4"/>
  <c r="AD721" i="4"/>
  <c r="AD727" i="4"/>
  <c r="AD438" i="4"/>
  <c r="AD442" i="4"/>
  <c r="AD499" i="4"/>
  <c r="AD551" i="4"/>
  <c r="AD564" i="4"/>
  <c r="AD428" i="4"/>
  <c r="AD512" i="4"/>
  <c r="AD540" i="4"/>
  <c r="AD618" i="4"/>
  <c r="AD629" i="4"/>
  <c r="AD635" i="4"/>
  <c r="AD642" i="4"/>
  <c r="AD558" i="4"/>
  <c r="AD575" i="4"/>
  <c r="AD586" i="4"/>
  <c r="AD516" i="4"/>
  <c r="AD527" i="4"/>
  <c r="AD628" i="4"/>
  <c r="AD641" i="4"/>
  <c r="AD648" i="4"/>
  <c r="AD652" i="4"/>
  <c r="AD658" i="4"/>
  <c r="AD664" i="4"/>
  <c r="AD670" i="4"/>
  <c r="AD676" i="4"/>
  <c r="AD682" i="4"/>
  <c r="AD688" i="4"/>
  <c r="AD694" i="4"/>
  <c r="AD700" i="4"/>
  <c r="AD706" i="4"/>
  <c r="AD712" i="4"/>
  <c r="AD718" i="4"/>
  <c r="AD724" i="4"/>
  <c r="AD730" i="4"/>
  <c r="AD736" i="4"/>
  <c r="AD742" i="4"/>
  <c r="AD748" i="4"/>
  <c r="AD754" i="4"/>
  <c r="AD760" i="4"/>
  <c r="AD766" i="4"/>
  <c r="AD772" i="4"/>
  <c r="AD778" i="4"/>
  <c r="AD784" i="4"/>
  <c r="AD790" i="4"/>
  <c r="AD796" i="4"/>
  <c r="AD802" i="4"/>
  <c r="AD808" i="4"/>
  <c r="AD814" i="4"/>
  <c r="AD820" i="4"/>
  <c r="AD404" i="4"/>
  <c r="AD660" i="4"/>
  <c r="AD678" i="4"/>
  <c r="AD696" i="4"/>
  <c r="AD714" i="4"/>
  <c r="AD740" i="4"/>
  <c r="AD758" i="4"/>
  <c r="AD776" i="4"/>
  <c r="AD794" i="4"/>
  <c r="AD584" i="4"/>
  <c r="AD634" i="4"/>
  <c r="AD747" i="4"/>
  <c r="AD765" i="4"/>
  <c r="AD627" i="4"/>
  <c r="AD645" i="4"/>
  <c r="AD657" i="4"/>
  <c r="AD665" i="4"/>
  <c r="AD675" i="4"/>
  <c r="AD683" i="4"/>
  <c r="AD693" i="4"/>
  <c r="AD701" i="4"/>
  <c r="AD711" i="4"/>
  <c r="AD719" i="4"/>
  <c r="AD729" i="4"/>
  <c r="AD732" i="4"/>
  <c r="AD739" i="4"/>
  <c r="AD662" i="4"/>
  <c r="AD680" i="4"/>
  <c r="AD698" i="4"/>
  <c r="AD716" i="4"/>
  <c r="AD614" i="4"/>
  <c r="AD647" i="4"/>
  <c r="AD654" i="4"/>
  <c r="AD672" i="4"/>
  <c r="AD690" i="4"/>
  <c r="AD708" i="4"/>
  <c r="AD726" i="4"/>
  <c r="AD746" i="4"/>
  <c r="AD764" i="4"/>
  <c r="AD782" i="4"/>
  <c r="AD800" i="4"/>
  <c r="AD818" i="4"/>
  <c r="AD462" i="4"/>
  <c r="AD735" i="4"/>
  <c r="AD532" i="4"/>
  <c r="AD651" i="4"/>
  <c r="AD659" i="4"/>
  <c r="AD669" i="4"/>
  <c r="AD677" i="4"/>
  <c r="AD687" i="4"/>
  <c r="AD695" i="4"/>
  <c r="AD705" i="4"/>
  <c r="AD713" i="4"/>
  <c r="AD723" i="4"/>
  <c r="AD731" i="4"/>
  <c r="AD738" i="4"/>
  <c r="AD745" i="4"/>
  <c r="AD749" i="4"/>
  <c r="AD756" i="4"/>
  <c r="AD763" i="4"/>
  <c r="AD767" i="4"/>
  <c r="AD774" i="4"/>
  <c r="AD781" i="4"/>
  <c r="AD785" i="4"/>
  <c r="AD792" i="4"/>
  <c r="AD799" i="4"/>
  <c r="AD803" i="4"/>
  <c r="AD810" i="4"/>
  <c r="AD817" i="4"/>
  <c r="AD821" i="4"/>
  <c r="AD656" i="4"/>
  <c r="AD674" i="4"/>
  <c r="AD692" i="4"/>
  <c r="AD710" i="4"/>
  <c r="AD728" i="4"/>
  <c r="AD573" i="4"/>
  <c r="AD582" i="4"/>
  <c r="AD605" i="4"/>
  <c r="AD612" i="4"/>
  <c r="AD620" i="4"/>
  <c r="AD640" i="4"/>
  <c r="AD666" i="4"/>
  <c r="AD684" i="4"/>
  <c r="AD702" i="4"/>
  <c r="AD720" i="4"/>
  <c r="AD734" i="4"/>
  <c r="AD486" i="4"/>
  <c r="AD569" i="4"/>
  <c r="AD741" i="4"/>
  <c r="AD759" i="4"/>
  <c r="AD777" i="4"/>
  <c r="AD795" i="4"/>
  <c r="AD813" i="4"/>
  <c r="AD825" i="4"/>
  <c r="AD831" i="4"/>
  <c r="AD837" i="4"/>
  <c r="AD843" i="4"/>
  <c r="AD849" i="4"/>
  <c r="AD443" i="4"/>
  <c r="AD524" i="4"/>
  <c r="AD636" i="4"/>
  <c r="AD668" i="4"/>
  <c r="AD686" i="4"/>
  <c r="AD704" i="4"/>
  <c r="AD722" i="4"/>
  <c r="AD824" i="4"/>
  <c r="AD830" i="4"/>
  <c r="AD836" i="4"/>
  <c r="AD842" i="4"/>
  <c r="AD848" i="4"/>
  <c r="AD854" i="4"/>
  <c r="AD860" i="4"/>
  <c r="AD866" i="4"/>
  <c r="AD872" i="4"/>
  <c r="AD878" i="4"/>
  <c r="AD884" i="4"/>
  <c r="AD890" i="4"/>
  <c r="AD896" i="4"/>
  <c r="AD902" i="4"/>
  <c r="AD908" i="4"/>
  <c r="AD914" i="4"/>
  <c r="AD920" i="4"/>
  <c r="AD926" i="4"/>
  <c r="AD932" i="4"/>
  <c r="AD938" i="4"/>
  <c r="AD944" i="4"/>
  <c r="AD950" i="4"/>
  <c r="AD956" i="4"/>
  <c r="AD962" i="4"/>
  <c r="AD638" i="4"/>
  <c r="AD737" i="4"/>
  <c r="AD762" i="4"/>
  <c r="AD771" i="4"/>
  <c r="AD773" i="4"/>
  <c r="AD811" i="4"/>
  <c r="AD853" i="4"/>
  <c r="AD871" i="4"/>
  <c r="AD889" i="4"/>
  <c r="AD907" i="4"/>
  <c r="AD925" i="4"/>
  <c r="AD943" i="4"/>
  <c r="AD961" i="4"/>
  <c r="AD965" i="4"/>
  <c r="AD971" i="4"/>
  <c r="AD977" i="4"/>
  <c r="AD983" i="4"/>
  <c r="AD989" i="4"/>
  <c r="AD623" i="4"/>
  <c r="AD653" i="4"/>
  <c r="AD663" i="4"/>
  <c r="AD733" i="4"/>
  <c r="AD744" i="4"/>
  <c r="AD752" i="4"/>
  <c r="AD788" i="4"/>
  <c r="AD815" i="4"/>
  <c r="AD819" i="4"/>
  <c r="AD826" i="4"/>
  <c r="AD829" i="4"/>
  <c r="AD834" i="4"/>
  <c r="AD840" i="4"/>
  <c r="AD846" i="4"/>
  <c r="AD964" i="4"/>
  <c r="AD970" i="4"/>
  <c r="AD976" i="4"/>
  <c r="AD982" i="4"/>
  <c r="AD988" i="4"/>
  <c r="AD994" i="4"/>
  <c r="AD1000" i="4"/>
  <c r="AD10" i="4"/>
  <c r="AD689" i="4"/>
  <c r="AD699" i="4"/>
  <c r="AD750" i="4"/>
  <c r="AD780" i="4"/>
  <c r="AD806" i="4"/>
  <c r="AD852" i="4"/>
  <c r="AD870" i="4"/>
  <c r="AD888" i="4"/>
  <c r="AD906" i="4"/>
  <c r="AD755" i="4"/>
  <c r="AD859" i="4"/>
  <c r="AD877" i="4"/>
  <c r="AD895" i="4"/>
  <c r="AD913" i="4"/>
  <c r="AD931" i="4"/>
  <c r="AD949" i="4"/>
  <c r="AD969" i="4"/>
  <c r="AD975" i="4"/>
  <c r="AD981" i="4"/>
  <c r="AD987" i="4"/>
  <c r="AD993" i="4"/>
  <c r="AD999" i="4"/>
  <c r="AD9" i="4"/>
  <c r="AD725" i="4"/>
  <c r="AD768" i="4"/>
  <c r="AD833" i="4"/>
  <c r="AD839" i="4"/>
  <c r="AD845" i="4"/>
  <c r="AD851" i="4"/>
  <c r="AD855" i="4"/>
  <c r="AD862" i="4"/>
  <c r="AD869" i="4"/>
  <c r="AD873" i="4"/>
  <c r="AD880" i="4"/>
  <c r="AD887" i="4"/>
  <c r="AD891" i="4"/>
  <c r="AD898" i="4"/>
  <c r="AD905" i="4"/>
  <c r="AD909" i="4"/>
  <c r="AD916" i="4"/>
  <c r="AD923" i="4"/>
  <c r="AD927" i="4"/>
  <c r="AD934" i="4"/>
  <c r="AD941" i="4"/>
  <c r="AD945" i="4"/>
  <c r="AD952" i="4"/>
  <c r="AD959" i="4"/>
  <c r="AD963" i="4"/>
  <c r="AD770" i="4"/>
  <c r="AD787" i="4"/>
  <c r="AD797" i="4"/>
  <c r="AD801" i="4"/>
  <c r="AD805" i="4"/>
  <c r="AD812" i="4"/>
  <c r="AD823" i="4"/>
  <c r="AD828" i="4"/>
  <c r="AD753" i="4"/>
  <c r="AD761" i="4"/>
  <c r="AD793" i="4"/>
  <c r="AD816" i="4"/>
  <c r="AD858" i="4"/>
  <c r="AD876" i="4"/>
  <c r="AD894" i="4"/>
  <c r="AD912" i="4"/>
  <c r="AD930" i="4"/>
  <c r="AD948" i="4"/>
  <c r="AD2" i="4"/>
  <c r="AD671" i="4"/>
  <c r="AD681" i="4"/>
  <c r="AD751" i="4"/>
  <c r="AD783" i="4"/>
  <c r="AD789" i="4"/>
  <c r="AD791" i="4"/>
  <c r="AD865" i="4"/>
  <c r="AD883" i="4"/>
  <c r="AD901" i="4"/>
  <c r="AD919" i="4"/>
  <c r="AD743" i="4"/>
  <c r="AD827" i="4"/>
  <c r="AD857" i="4"/>
  <c r="AD861" i="4"/>
  <c r="AD868" i="4"/>
  <c r="AD875" i="4"/>
  <c r="AD879" i="4"/>
  <c r="AD886" i="4"/>
  <c r="AD893" i="4"/>
  <c r="AD897" i="4"/>
  <c r="AD904" i="4"/>
  <c r="AD911" i="4"/>
  <c r="AD915" i="4"/>
  <c r="AD922" i="4"/>
  <c r="AD929" i="4"/>
  <c r="AD933" i="4"/>
  <c r="AD940" i="4"/>
  <c r="AD947" i="4"/>
  <c r="AD951" i="4"/>
  <c r="AD958" i="4"/>
  <c r="AD775" i="4"/>
  <c r="AD798" i="4"/>
  <c r="AD809" i="4"/>
  <c r="AD835" i="4"/>
  <c r="AD841" i="4"/>
  <c r="AD847" i="4"/>
  <c r="AD864" i="4"/>
  <c r="AD882" i="4"/>
  <c r="AD900" i="4"/>
  <c r="AD918" i="4"/>
  <c r="AD936" i="4"/>
  <c r="AD954" i="4"/>
  <c r="AD5" i="4"/>
  <c r="Y13" i="4"/>
  <c r="AA11" i="4"/>
  <c r="AA9" i="4"/>
  <c r="W6" i="4"/>
  <c r="AD996" i="4"/>
  <c r="Y991" i="4"/>
  <c r="W985" i="4"/>
  <c r="AA980" i="4"/>
  <c r="AD978" i="4"/>
  <c r="Y974" i="4"/>
  <c r="Y954" i="4"/>
  <c r="W949" i="4"/>
  <c r="Y941" i="4"/>
  <c r="W931" i="4"/>
  <c r="W925" i="4"/>
  <c r="W922" i="4"/>
  <c r="AA919" i="4"/>
  <c r="W913" i="4"/>
  <c r="AA897" i="4"/>
  <c r="AA861" i="4"/>
  <c r="AD850" i="4"/>
  <c r="AC847" i="4"/>
  <c r="AC840" i="4"/>
  <c r="Y833" i="4"/>
  <c r="AC813" i="4"/>
  <c r="AD717" i="4"/>
  <c r="W13" i="4"/>
  <c r="AD7" i="4"/>
  <c r="V1000" i="4"/>
  <c r="Y998" i="4"/>
  <c r="AC996" i="4"/>
  <c r="W991" i="4"/>
  <c r="AC988" i="4"/>
  <c r="AD986" i="4"/>
  <c r="V976" i="4"/>
  <c r="W972" i="4"/>
  <c r="AC969" i="4"/>
  <c r="V963" i="4"/>
  <c r="AD960" i="4"/>
  <c r="V954" i="4"/>
  <c r="AA951" i="4"/>
  <c r="Y943" i="4"/>
  <c r="Y936" i="4"/>
  <c r="AA933" i="4"/>
  <c r="AC900" i="4"/>
  <c r="AA890" i="4"/>
  <c r="AD881" i="4"/>
  <c r="AD874" i="4"/>
  <c r="AA871" i="4"/>
  <c r="AA853" i="4"/>
  <c r="Y829" i="4"/>
  <c r="W821" i="4"/>
  <c r="W817" i="4"/>
  <c r="AA800" i="4"/>
  <c r="AC722" i="4"/>
  <c r="AA986" i="4"/>
  <c r="Y980" i="4"/>
  <c r="AA969" i="4"/>
  <c r="Y916" i="4"/>
  <c r="Y887" i="4"/>
  <c r="AD867" i="4"/>
  <c r="Y850" i="4"/>
  <c r="AD832" i="4"/>
  <c r="Y813" i="4"/>
  <c r="AD769" i="4"/>
  <c r="Y2" i="4"/>
  <c r="AA14" i="4"/>
  <c r="Y994" i="4"/>
  <c r="AA992" i="4"/>
  <c r="W978" i="4"/>
  <c r="AA955" i="4"/>
  <c r="W951" i="4"/>
  <c r="W933" i="4"/>
  <c r="AA921" i="4"/>
  <c r="Y906" i="4"/>
  <c r="Y900" i="4"/>
  <c r="AA896" i="4"/>
  <c r="W871" i="4"/>
  <c r="AA867" i="4"/>
  <c r="AA860" i="4"/>
  <c r="W853" i="4"/>
  <c r="AD786" i="4"/>
  <c r="AA782" i="4"/>
  <c r="Y778" i="4"/>
  <c r="V15" i="4"/>
  <c r="V21" i="4"/>
  <c r="V27" i="4"/>
  <c r="V33" i="4"/>
  <c r="V39" i="4"/>
  <c r="V45" i="4"/>
  <c r="V51" i="4"/>
  <c r="V57" i="4"/>
  <c r="V63" i="4"/>
  <c r="V69" i="4"/>
  <c r="V75" i="4"/>
  <c r="V81" i="4"/>
  <c r="V87" i="4"/>
  <c r="V93" i="4"/>
  <c r="V99" i="4"/>
  <c r="V105" i="4"/>
  <c r="V111" i="4"/>
  <c r="V117" i="4"/>
  <c r="V20" i="4"/>
  <c r="V26" i="4"/>
  <c r="V32" i="4"/>
  <c r="V38" i="4"/>
  <c r="V44" i="4"/>
  <c r="V50" i="4"/>
  <c r="V56" i="4"/>
  <c r="V62" i="4"/>
  <c r="V68" i="4"/>
  <c r="V19" i="4"/>
  <c r="V25" i="4"/>
  <c r="V31" i="4"/>
  <c r="V37" i="4"/>
  <c r="V43" i="4"/>
  <c r="V49" i="4"/>
  <c r="V55" i="4"/>
  <c r="V61" i="4"/>
  <c r="V67" i="4"/>
  <c r="V73" i="4"/>
  <c r="V79" i="4"/>
  <c r="V85" i="4"/>
  <c r="V91" i="4"/>
  <c r="V18" i="4"/>
  <c r="V24" i="4"/>
  <c r="V30" i="4"/>
  <c r="V36" i="4"/>
  <c r="V42" i="4"/>
  <c r="V48" i="4"/>
  <c r="V54" i="4"/>
  <c r="V60" i="4"/>
  <c r="V66" i="4"/>
  <c r="V72" i="4"/>
  <c r="V78" i="4"/>
  <c r="V84" i="4"/>
  <c r="V90" i="4"/>
  <c r="V96" i="4"/>
  <c r="V102" i="4"/>
  <c r="V108" i="4"/>
  <c r="V114" i="4"/>
  <c r="V120" i="4"/>
  <c r="V126" i="4"/>
  <c r="V132" i="4"/>
  <c r="V138" i="4"/>
  <c r="V17" i="4"/>
  <c r="V23" i="4"/>
  <c r="V29" i="4"/>
  <c r="V35" i="4"/>
  <c r="V41" i="4"/>
  <c r="V47" i="4"/>
  <c r="V53" i="4"/>
  <c r="V59" i="4"/>
  <c r="V65" i="4"/>
  <c r="V71" i="4"/>
  <c r="V77" i="4"/>
  <c r="V83" i="4"/>
  <c r="V89" i="4"/>
  <c r="V95" i="4"/>
  <c r="V101" i="4"/>
  <c r="V16" i="4"/>
  <c r="V22" i="4"/>
  <c r="V28" i="4"/>
  <c r="V74" i="4"/>
  <c r="V76" i="4"/>
  <c r="V98" i="4"/>
  <c r="V34" i="4"/>
  <c r="V40" i="4"/>
  <c r="V46" i="4"/>
  <c r="V52" i="4"/>
  <c r="V58" i="4"/>
  <c r="V64" i="4"/>
  <c r="V70" i="4"/>
  <c r="V127" i="4"/>
  <c r="V134" i="4"/>
  <c r="V97" i="4"/>
  <c r="V104" i="4"/>
  <c r="V110" i="4"/>
  <c r="V116" i="4"/>
  <c r="V130" i="4"/>
  <c r="V107" i="4"/>
  <c r="V136" i="4"/>
  <c r="V92" i="4"/>
  <c r="V100" i="4"/>
  <c r="V137" i="4"/>
  <c r="V142" i="4"/>
  <c r="V147" i="4"/>
  <c r="V153" i="4"/>
  <c r="V159" i="4"/>
  <c r="V165" i="4"/>
  <c r="V171" i="4"/>
  <c r="V177" i="4"/>
  <c r="V183" i="4"/>
  <c r="V189" i="4"/>
  <c r="V195" i="4"/>
  <c r="V202" i="4"/>
  <c r="V80" i="4"/>
  <c r="V88" i="4"/>
  <c r="V109" i="4"/>
  <c r="V149" i="4"/>
  <c r="V155" i="4"/>
  <c r="V106" i="4"/>
  <c r="V113" i="4"/>
  <c r="V118" i="4"/>
  <c r="V123" i="4"/>
  <c r="V135" i="4"/>
  <c r="V204" i="4"/>
  <c r="V122" i="4"/>
  <c r="V129" i="4"/>
  <c r="V180" i="4"/>
  <c r="V192" i="4"/>
  <c r="V197" i="4"/>
  <c r="V210" i="4"/>
  <c r="V217" i="4"/>
  <c r="V235" i="4"/>
  <c r="V253" i="4"/>
  <c r="V82" i="4"/>
  <c r="V172" i="4"/>
  <c r="V184" i="4"/>
  <c r="V196" i="4"/>
  <c r="V209" i="4"/>
  <c r="V223" i="4"/>
  <c r="V241" i="4"/>
  <c r="V259" i="4"/>
  <c r="V103" i="4"/>
  <c r="V128" i="4"/>
  <c r="V133" i="4"/>
  <c r="V143" i="4"/>
  <c r="V160" i="4"/>
  <c r="V167" i="4"/>
  <c r="V174" i="4"/>
  <c r="V186" i="4"/>
  <c r="V201" i="4"/>
  <c r="V206" i="4"/>
  <c r="V226" i="4"/>
  <c r="V244" i="4"/>
  <c r="V156" i="4"/>
  <c r="V158" i="4"/>
  <c r="V181" i="4"/>
  <c r="V193" i="4"/>
  <c r="V198" i="4"/>
  <c r="V215" i="4"/>
  <c r="V222" i="4"/>
  <c r="V233" i="4"/>
  <c r="V240" i="4"/>
  <c r="V251" i="4"/>
  <c r="V258" i="4"/>
  <c r="V262" i="4"/>
  <c r="V124" i="4"/>
  <c r="V139" i="4"/>
  <c r="V148" i="4"/>
  <c r="V164" i="4"/>
  <c r="V178" i="4"/>
  <c r="V190" i="4"/>
  <c r="V200" i="4"/>
  <c r="V205" i="4"/>
  <c r="V214" i="4"/>
  <c r="V232" i="4"/>
  <c r="V250" i="4"/>
  <c r="V121" i="4"/>
  <c r="V144" i="4"/>
  <c r="V170" i="4"/>
  <c r="V188" i="4"/>
  <c r="V203" i="4"/>
  <c r="V237" i="4"/>
  <c r="V239" i="4"/>
  <c r="V243" i="4"/>
  <c r="V264" i="4"/>
  <c r="V282" i="4"/>
  <c r="V289" i="4"/>
  <c r="V300" i="4"/>
  <c r="V307" i="4"/>
  <c r="V318" i="4"/>
  <c r="V325" i="4"/>
  <c r="V336" i="4"/>
  <c r="V115" i="4"/>
  <c r="V141" i="4"/>
  <c r="V161" i="4"/>
  <c r="V163" i="4"/>
  <c r="V173" i="4"/>
  <c r="V191" i="4"/>
  <c r="V208" i="4"/>
  <c r="V212" i="4"/>
  <c r="V216" i="4"/>
  <c r="V218" i="4"/>
  <c r="V220" i="4"/>
  <c r="V245" i="4"/>
  <c r="V247" i="4"/>
  <c r="V272" i="4"/>
  <c r="V278" i="4"/>
  <c r="V296" i="4"/>
  <c r="V168" i="4"/>
  <c r="V224" i="4"/>
  <c r="V249" i="4"/>
  <c r="V266" i="4"/>
  <c r="V269" i="4"/>
  <c r="V275" i="4"/>
  <c r="V285" i="4"/>
  <c r="V292" i="4"/>
  <c r="V112" i="4"/>
  <c r="V125" i="4"/>
  <c r="V150" i="4"/>
  <c r="V228" i="4"/>
  <c r="V281" i="4"/>
  <c r="V299" i="4"/>
  <c r="V176" i="4"/>
  <c r="V194" i="4"/>
  <c r="V199" i="4"/>
  <c r="V255" i="4"/>
  <c r="V257" i="4"/>
  <c r="V261" i="4"/>
  <c r="V288" i="4"/>
  <c r="V295" i="4"/>
  <c r="V306" i="4"/>
  <c r="V313" i="4"/>
  <c r="V324" i="4"/>
  <c r="V331" i="4"/>
  <c r="V342" i="4"/>
  <c r="V185" i="4"/>
  <c r="V227" i="4"/>
  <c r="V229" i="4"/>
  <c r="V248" i="4"/>
  <c r="V252" i="4"/>
  <c r="V254" i="4"/>
  <c r="V256" i="4"/>
  <c r="V267" i="4"/>
  <c r="V273" i="4"/>
  <c r="V290" i="4"/>
  <c r="V301" i="4"/>
  <c r="V348" i="4"/>
  <c r="V162" i="4"/>
  <c r="V175" i="4"/>
  <c r="V182" i="4"/>
  <c r="V238" i="4"/>
  <c r="V283" i="4"/>
  <c r="V294" i="4"/>
  <c r="V298" i="4"/>
  <c r="V303" i="4"/>
  <c r="V305" i="4"/>
  <c r="V315" i="4"/>
  <c r="V320" i="4"/>
  <c r="V333" i="4"/>
  <c r="V338" i="4"/>
  <c r="V347" i="4"/>
  <c r="V179" i="4"/>
  <c r="V312" i="4"/>
  <c r="V330" i="4"/>
  <c r="V343" i="4"/>
  <c r="V140" i="4"/>
  <c r="V166" i="4"/>
  <c r="V187" i="4"/>
  <c r="V230" i="4"/>
  <c r="V265" i="4"/>
  <c r="V277" i="4"/>
  <c r="V279" i="4"/>
  <c r="V322" i="4"/>
  <c r="V327" i="4"/>
  <c r="V340" i="4"/>
  <c r="V346" i="4"/>
  <c r="V119" i="4"/>
  <c r="V207" i="4"/>
  <c r="V213" i="4"/>
  <c r="V236" i="4"/>
  <c r="V242" i="4"/>
  <c r="V268" i="4"/>
  <c r="V270" i="4"/>
  <c r="V284" i="4"/>
  <c r="V302" i="4"/>
  <c r="V309" i="4"/>
  <c r="V314" i="4"/>
  <c r="V319" i="4"/>
  <c r="V332" i="4"/>
  <c r="V337" i="4"/>
  <c r="V354" i="4"/>
  <c r="V360" i="4"/>
  <c r="V366" i="4"/>
  <c r="V145" i="4"/>
  <c r="V291" i="4"/>
  <c r="V293" i="4"/>
  <c r="V304" i="4"/>
  <c r="V311" i="4"/>
  <c r="V316" i="4"/>
  <c r="V329" i="4"/>
  <c r="V334" i="4"/>
  <c r="V211" i="4"/>
  <c r="V260" i="4"/>
  <c r="V263" i="4"/>
  <c r="V280" i="4"/>
  <c r="V297" i="4"/>
  <c r="V345" i="4"/>
  <c r="V225" i="4"/>
  <c r="V308" i="4"/>
  <c r="V328" i="4"/>
  <c r="V363" i="4"/>
  <c r="V393" i="4"/>
  <c r="V405" i="4"/>
  <c r="V411" i="4"/>
  <c r="V417" i="4"/>
  <c r="V423" i="4"/>
  <c r="V429" i="4"/>
  <c r="V435" i="4"/>
  <c r="V441" i="4"/>
  <c r="V94" i="4"/>
  <c r="V219" i="4"/>
  <c r="V339" i="4"/>
  <c r="V350" i="4"/>
  <c r="V356" i="4"/>
  <c r="V365" i="4"/>
  <c r="V382" i="4"/>
  <c r="V389" i="4"/>
  <c r="V400" i="4"/>
  <c r="V154" i="4"/>
  <c r="V231" i="4"/>
  <c r="V274" i="4"/>
  <c r="V317" i="4"/>
  <c r="V358" i="4"/>
  <c r="V367" i="4"/>
  <c r="V375" i="4"/>
  <c r="V385" i="4"/>
  <c r="V392" i="4"/>
  <c r="V271" i="4"/>
  <c r="V286" i="4"/>
  <c r="V353" i="4"/>
  <c r="V362" i="4"/>
  <c r="V388" i="4"/>
  <c r="V395" i="4"/>
  <c r="V86" i="4"/>
  <c r="V169" i="4"/>
  <c r="V335" i="4"/>
  <c r="V355" i="4"/>
  <c r="V364" i="4"/>
  <c r="V374" i="4"/>
  <c r="V380" i="4"/>
  <c r="V391" i="4"/>
  <c r="V398" i="4"/>
  <c r="V310" i="4"/>
  <c r="V352" i="4"/>
  <c r="V370" i="4"/>
  <c r="V390" i="4"/>
  <c r="V399" i="4"/>
  <c r="V410" i="4"/>
  <c r="V412" i="4"/>
  <c r="V428" i="4"/>
  <c r="V430" i="4"/>
  <c r="V448" i="4"/>
  <c r="V146" i="4"/>
  <c r="V151" i="4"/>
  <c r="V409" i="4"/>
  <c r="V234" i="4"/>
  <c r="V351" i="4"/>
  <c r="V383" i="4"/>
  <c r="V446" i="4"/>
  <c r="V454" i="4"/>
  <c r="V460" i="4"/>
  <c r="V466" i="4"/>
  <c r="V472" i="4"/>
  <c r="V478" i="4"/>
  <c r="V484" i="4"/>
  <c r="V490" i="4"/>
  <c r="V496" i="4"/>
  <c r="V502" i="4"/>
  <c r="V508" i="4"/>
  <c r="V357" i="4"/>
  <c r="V397" i="4"/>
  <c r="V432" i="4"/>
  <c r="V434" i="4"/>
  <c r="V440" i="4"/>
  <c r="V442" i="4"/>
  <c r="V447" i="4"/>
  <c r="V463" i="4"/>
  <c r="V481" i="4"/>
  <c r="V499" i="4"/>
  <c r="V515" i="4"/>
  <c r="V521" i="4"/>
  <c r="V527" i="4"/>
  <c r="V533" i="4"/>
  <c r="V539" i="4"/>
  <c r="V369" i="4"/>
  <c r="V372" i="4"/>
  <c r="V377" i="4"/>
  <c r="V276" i="4"/>
  <c r="V361" i="4"/>
  <c r="V321" i="4"/>
  <c r="V414" i="4"/>
  <c r="V416" i="4"/>
  <c r="V437" i="4"/>
  <c r="V469" i="4"/>
  <c r="V487" i="4"/>
  <c r="V505" i="4"/>
  <c r="V513" i="4"/>
  <c r="V519" i="4"/>
  <c r="V525" i="4"/>
  <c r="V531" i="4"/>
  <c r="V537" i="4"/>
  <c r="V543" i="4"/>
  <c r="V549" i="4"/>
  <c r="V555" i="4"/>
  <c r="V561" i="4"/>
  <c r="V567" i="4"/>
  <c r="V573" i="4"/>
  <c r="V579" i="4"/>
  <c r="V585" i="4"/>
  <c r="V591" i="4"/>
  <c r="V597" i="4"/>
  <c r="V603" i="4"/>
  <c r="V609" i="4"/>
  <c r="V615" i="4"/>
  <c r="V621" i="4"/>
  <c r="V627" i="4"/>
  <c r="V633" i="4"/>
  <c r="V639" i="4"/>
  <c r="V645" i="4"/>
  <c r="V651" i="4"/>
  <c r="V152" i="4"/>
  <c r="V157" i="4"/>
  <c r="V287" i="4"/>
  <c r="V401" i="4"/>
  <c r="V403" i="4"/>
  <c r="V439" i="4"/>
  <c r="V451" i="4"/>
  <c r="V458" i="4"/>
  <c r="V465" i="4"/>
  <c r="V476" i="4"/>
  <c r="V483" i="4"/>
  <c r="V494" i="4"/>
  <c r="V501" i="4"/>
  <c r="V131" i="4"/>
  <c r="V246" i="4"/>
  <c r="V326" i="4"/>
  <c r="V344" i="4"/>
  <c r="V359" i="4"/>
  <c r="V373" i="4"/>
  <c r="V378" i="4"/>
  <c r="V381" i="4"/>
  <c r="V368" i="4"/>
  <c r="V386" i="4"/>
  <c r="V371" i="4"/>
  <c r="V376" i="4"/>
  <c r="V384" i="4"/>
  <c r="V394" i="4"/>
  <c r="V406" i="4"/>
  <c r="V445" i="4"/>
  <c r="V453" i="4"/>
  <c r="V464" i="4"/>
  <c r="V471" i="4"/>
  <c r="V482" i="4"/>
  <c r="V489" i="4"/>
  <c r="V500" i="4"/>
  <c r="V323" i="4"/>
  <c r="V349" i="4"/>
  <c r="V379" i="4"/>
  <c r="V402" i="4"/>
  <c r="V404" i="4"/>
  <c r="V436" i="4"/>
  <c r="V438" i="4"/>
  <c r="V450" i="4"/>
  <c r="V387" i="4"/>
  <c r="V443" i="4"/>
  <c r="V497" i="4"/>
  <c r="V512" i="4"/>
  <c r="V517" i="4"/>
  <c r="V530" i="4"/>
  <c r="V535" i="4"/>
  <c r="V547" i="4"/>
  <c r="V554" i="4"/>
  <c r="V558" i="4"/>
  <c r="V565" i="4"/>
  <c r="V572" i="4"/>
  <c r="V576" i="4"/>
  <c r="V583" i="4"/>
  <c r="V590" i="4"/>
  <c r="V594" i="4"/>
  <c r="V601" i="4"/>
  <c r="V608" i="4"/>
  <c r="V418" i="4"/>
  <c r="V424" i="4"/>
  <c r="V474" i="4"/>
  <c r="V415" i="4"/>
  <c r="V421" i="4"/>
  <c r="V455" i="4"/>
  <c r="V480" i="4"/>
  <c r="V503" i="4"/>
  <c r="V507" i="4"/>
  <c r="V514" i="4"/>
  <c r="V522" i="4"/>
  <c r="V532" i="4"/>
  <c r="V540" i="4"/>
  <c r="V557" i="4"/>
  <c r="V575" i="4"/>
  <c r="V593" i="4"/>
  <c r="V611" i="4"/>
  <c r="V629" i="4"/>
  <c r="V427" i="4"/>
  <c r="V221" i="4"/>
  <c r="V396" i="4"/>
  <c r="V461" i="4"/>
  <c r="V511" i="4"/>
  <c r="V524" i="4"/>
  <c r="V529" i="4"/>
  <c r="V542" i="4"/>
  <c r="V546" i="4"/>
  <c r="V553" i="4"/>
  <c r="V560" i="4"/>
  <c r="V564" i="4"/>
  <c r="V571" i="4"/>
  <c r="V578" i="4"/>
  <c r="V582" i="4"/>
  <c r="V589" i="4"/>
  <c r="V596" i="4"/>
  <c r="V600" i="4"/>
  <c r="V607" i="4"/>
  <c r="V419" i="4"/>
  <c r="V425" i="4"/>
  <c r="V433" i="4"/>
  <c r="V444" i="4"/>
  <c r="V449" i="4"/>
  <c r="V492" i="4"/>
  <c r="V556" i="4"/>
  <c r="V574" i="4"/>
  <c r="V592" i="4"/>
  <c r="V610" i="4"/>
  <c r="V431" i="4"/>
  <c r="V452" i="4"/>
  <c r="V475" i="4"/>
  <c r="V477" i="4"/>
  <c r="V504" i="4"/>
  <c r="V506" i="4"/>
  <c r="V420" i="4"/>
  <c r="V456" i="4"/>
  <c r="V544" i="4"/>
  <c r="V408" i="4"/>
  <c r="V468" i="4"/>
  <c r="V470" i="4"/>
  <c r="V493" i="4"/>
  <c r="V495" i="4"/>
  <c r="V566" i="4"/>
  <c r="V568" i="4"/>
  <c r="V570" i="4"/>
  <c r="V581" i="4"/>
  <c r="V613" i="4"/>
  <c r="V624" i="4"/>
  <c r="V426" i="4"/>
  <c r="V467" i="4"/>
  <c r="V491" i="4"/>
  <c r="V520" i="4"/>
  <c r="V528" i="4"/>
  <c r="V457" i="4"/>
  <c r="V488" i="4"/>
  <c r="V509" i="4"/>
  <c r="V551" i="4"/>
  <c r="V562" i="4"/>
  <c r="V577" i="4"/>
  <c r="V605" i="4"/>
  <c r="V623" i="4"/>
  <c r="V634" i="4"/>
  <c r="V407" i="4"/>
  <c r="V422" i="4"/>
  <c r="V523" i="4"/>
  <c r="V534" i="4"/>
  <c r="V485" i="4"/>
  <c r="V526" i="4"/>
  <c r="V545" i="4"/>
  <c r="V584" i="4"/>
  <c r="V586" i="4"/>
  <c r="V588" i="4"/>
  <c r="V599" i="4"/>
  <c r="V620" i="4"/>
  <c r="V631" i="4"/>
  <c r="V341" i="4"/>
  <c r="V413" i="4"/>
  <c r="V479" i="4"/>
  <c r="V518" i="4"/>
  <c r="V617" i="4"/>
  <c r="V628" i="4"/>
  <c r="V637" i="4"/>
  <c r="V644" i="4"/>
  <c r="V648" i="4"/>
  <c r="V657" i="4"/>
  <c r="V663" i="4"/>
  <c r="V669" i="4"/>
  <c r="V675" i="4"/>
  <c r="V681" i="4"/>
  <c r="V687" i="4"/>
  <c r="V693" i="4"/>
  <c r="V699" i="4"/>
  <c r="V705" i="4"/>
  <c r="V711" i="4"/>
  <c r="V717" i="4"/>
  <c r="V723" i="4"/>
  <c r="V729" i="4"/>
  <c r="V569" i="4"/>
  <c r="V580" i="4"/>
  <c r="V595" i="4"/>
  <c r="V486" i="4"/>
  <c r="V510" i="4"/>
  <c r="V538" i="4"/>
  <c r="V614" i="4"/>
  <c r="V622" i="4"/>
  <c r="V625" i="4"/>
  <c r="V462" i="4"/>
  <c r="V548" i="4"/>
  <c r="V550" i="4"/>
  <c r="V552" i="4"/>
  <c r="V563" i="4"/>
  <c r="V602" i="4"/>
  <c r="V604" i="4"/>
  <c r="V606" i="4"/>
  <c r="V498" i="4"/>
  <c r="V536" i="4"/>
  <c r="V632" i="4"/>
  <c r="V635" i="4"/>
  <c r="V654" i="4"/>
  <c r="V660" i="4"/>
  <c r="V666" i="4"/>
  <c r="V672" i="4"/>
  <c r="V678" i="4"/>
  <c r="V684" i="4"/>
  <c r="V690" i="4"/>
  <c r="V696" i="4"/>
  <c r="V702" i="4"/>
  <c r="V708" i="4"/>
  <c r="V714" i="4"/>
  <c r="V720" i="4"/>
  <c r="V726" i="4"/>
  <c r="V732" i="4"/>
  <c r="V738" i="4"/>
  <c r="V744" i="4"/>
  <c r="V750" i="4"/>
  <c r="V756" i="4"/>
  <c r="V762" i="4"/>
  <c r="V768" i="4"/>
  <c r="V774" i="4"/>
  <c r="V780" i="4"/>
  <c r="V786" i="4"/>
  <c r="V792" i="4"/>
  <c r="V798" i="4"/>
  <c r="V804" i="4"/>
  <c r="V810" i="4"/>
  <c r="V816" i="4"/>
  <c r="V822" i="4"/>
  <c r="V619" i="4"/>
  <c r="V649" i="4"/>
  <c r="V656" i="4"/>
  <c r="V664" i="4"/>
  <c r="V674" i="4"/>
  <c r="V682" i="4"/>
  <c r="V692" i="4"/>
  <c r="V700" i="4"/>
  <c r="V710" i="4"/>
  <c r="V718" i="4"/>
  <c r="V728" i="4"/>
  <c r="V734" i="4"/>
  <c r="V745" i="4"/>
  <c r="V752" i="4"/>
  <c r="V763" i="4"/>
  <c r="V770" i="4"/>
  <c r="V781" i="4"/>
  <c r="V788" i="4"/>
  <c r="V661" i="4"/>
  <c r="V679" i="4"/>
  <c r="V697" i="4"/>
  <c r="V715" i="4"/>
  <c r="V741" i="4"/>
  <c r="V473" i="4"/>
  <c r="V541" i="4"/>
  <c r="V559" i="4"/>
  <c r="V630" i="4"/>
  <c r="V653" i="4"/>
  <c r="V671" i="4"/>
  <c r="V689" i="4"/>
  <c r="V707" i="4"/>
  <c r="V725" i="4"/>
  <c r="V737" i="4"/>
  <c r="V516" i="4"/>
  <c r="V640" i="4"/>
  <c r="V646" i="4"/>
  <c r="V658" i="4"/>
  <c r="V668" i="4"/>
  <c r="V676" i="4"/>
  <c r="V686" i="4"/>
  <c r="V694" i="4"/>
  <c r="V704" i="4"/>
  <c r="V712" i="4"/>
  <c r="V722" i="4"/>
  <c r="V730" i="4"/>
  <c r="V733" i="4"/>
  <c r="V740" i="4"/>
  <c r="V751" i="4"/>
  <c r="V758" i="4"/>
  <c r="V769" i="4"/>
  <c r="V776" i="4"/>
  <c r="V787" i="4"/>
  <c r="V794" i="4"/>
  <c r="V805" i="4"/>
  <c r="V812" i="4"/>
  <c r="V612" i="4"/>
  <c r="V642" i="4"/>
  <c r="V638" i="4"/>
  <c r="V655" i="4"/>
  <c r="V673" i="4"/>
  <c r="V691" i="4"/>
  <c r="V709" i="4"/>
  <c r="V727" i="4"/>
  <c r="V747" i="4"/>
  <c r="V765" i="4"/>
  <c r="V783" i="4"/>
  <c r="V801" i="4"/>
  <c r="V819" i="4"/>
  <c r="V587" i="4"/>
  <c r="V618" i="4"/>
  <c r="V636" i="4"/>
  <c r="V650" i="4"/>
  <c r="V665" i="4"/>
  <c r="V683" i="4"/>
  <c r="V701" i="4"/>
  <c r="V719" i="4"/>
  <c r="V736" i="4"/>
  <c r="V743" i="4"/>
  <c r="V754" i="4"/>
  <c r="V761" i="4"/>
  <c r="V626" i="4"/>
  <c r="V652" i="4"/>
  <c r="V662" i="4"/>
  <c r="V670" i="4"/>
  <c r="V680" i="4"/>
  <c r="V688" i="4"/>
  <c r="V698" i="4"/>
  <c r="V706" i="4"/>
  <c r="V716" i="4"/>
  <c r="V724" i="4"/>
  <c r="V739" i="4"/>
  <c r="V746" i="4"/>
  <c r="V459" i="4"/>
  <c r="V616" i="4"/>
  <c r="V647" i="4"/>
  <c r="V827" i="4"/>
  <c r="V833" i="4"/>
  <c r="V839" i="4"/>
  <c r="V845" i="4"/>
  <c r="V851" i="4"/>
  <c r="V598" i="4"/>
  <c r="V659" i="4"/>
  <c r="V677" i="4"/>
  <c r="V695" i="4"/>
  <c r="V713" i="4"/>
  <c r="V731" i="4"/>
  <c r="V742" i="4"/>
  <c r="V749" i="4"/>
  <c r="V760" i="4"/>
  <c r="V767" i="4"/>
  <c r="V778" i="4"/>
  <c r="V785" i="4"/>
  <c r="V796" i="4"/>
  <c r="V803" i="4"/>
  <c r="V814" i="4"/>
  <c r="V821" i="4"/>
  <c r="V826" i="4"/>
  <c r="V832" i="4"/>
  <c r="V838" i="4"/>
  <c r="V844" i="4"/>
  <c r="V850" i="4"/>
  <c r="V856" i="4"/>
  <c r="V862" i="4"/>
  <c r="V868" i="4"/>
  <c r="V874" i="4"/>
  <c r="V880" i="4"/>
  <c r="V886" i="4"/>
  <c r="V892" i="4"/>
  <c r="V898" i="4"/>
  <c r="V904" i="4"/>
  <c r="V910" i="4"/>
  <c r="V916" i="4"/>
  <c r="V922" i="4"/>
  <c r="V928" i="4"/>
  <c r="V934" i="4"/>
  <c r="V940" i="4"/>
  <c r="V946" i="4"/>
  <c r="V952" i="4"/>
  <c r="V958" i="4"/>
  <c r="V964" i="4"/>
  <c r="V755" i="4"/>
  <c r="V808" i="4"/>
  <c r="V823" i="4"/>
  <c r="V967" i="4"/>
  <c r="V973" i="4"/>
  <c r="V979" i="4"/>
  <c r="V985" i="4"/>
  <c r="V991" i="4"/>
  <c r="V772" i="4"/>
  <c r="V795" i="4"/>
  <c r="V797" i="4"/>
  <c r="V825" i="4"/>
  <c r="V854" i="4"/>
  <c r="V861" i="4"/>
  <c r="V872" i="4"/>
  <c r="V879" i="4"/>
  <c r="V890" i="4"/>
  <c r="V897" i="4"/>
  <c r="V908" i="4"/>
  <c r="V915" i="4"/>
  <c r="V926" i="4"/>
  <c r="V933" i="4"/>
  <c r="V944" i="4"/>
  <c r="V951" i="4"/>
  <c r="V962" i="4"/>
  <c r="V966" i="4"/>
  <c r="V972" i="4"/>
  <c r="V978" i="4"/>
  <c r="V984" i="4"/>
  <c r="V990" i="4"/>
  <c r="V996" i="4"/>
  <c r="V6" i="4"/>
  <c r="V12" i="4"/>
  <c r="V748" i="4"/>
  <c r="V766" i="4"/>
  <c r="V791" i="4"/>
  <c r="V793" i="4"/>
  <c r="V818" i="4"/>
  <c r="V857" i="4"/>
  <c r="V864" i="4"/>
  <c r="V875" i="4"/>
  <c r="V882" i="4"/>
  <c r="V893" i="4"/>
  <c r="V900" i="4"/>
  <c r="V911" i="4"/>
  <c r="V918" i="4"/>
  <c r="V685" i="4"/>
  <c r="V753" i="4"/>
  <c r="V789" i="4"/>
  <c r="V820" i="4"/>
  <c r="V830" i="4"/>
  <c r="V835" i="4"/>
  <c r="V841" i="4"/>
  <c r="V847" i="4"/>
  <c r="V965" i="4"/>
  <c r="V971" i="4"/>
  <c r="V977" i="4"/>
  <c r="V983" i="4"/>
  <c r="V989" i="4"/>
  <c r="V995" i="4"/>
  <c r="V1001" i="4"/>
  <c r="V11" i="4"/>
  <c r="V5" i="4"/>
  <c r="V735" i="4"/>
  <c r="V807" i="4"/>
  <c r="V853" i="4"/>
  <c r="V871" i="4"/>
  <c r="V889" i="4"/>
  <c r="V907" i="4"/>
  <c r="V925" i="4"/>
  <c r="V943" i="4"/>
  <c r="V961" i="4"/>
  <c r="V641" i="4"/>
  <c r="V721" i="4"/>
  <c r="V764" i="4"/>
  <c r="V777" i="4"/>
  <c r="V779" i="4"/>
  <c r="V809" i="4"/>
  <c r="V759" i="4"/>
  <c r="V773" i="4"/>
  <c r="V775" i="4"/>
  <c r="V800" i="4"/>
  <c r="V811" i="4"/>
  <c r="V834" i="4"/>
  <c r="V840" i="4"/>
  <c r="V846" i="4"/>
  <c r="V852" i="4"/>
  <c r="V863" i="4"/>
  <c r="V870" i="4"/>
  <c r="V881" i="4"/>
  <c r="V888" i="4"/>
  <c r="V899" i="4"/>
  <c r="V906" i="4"/>
  <c r="V917" i="4"/>
  <c r="V924" i="4"/>
  <c r="V935" i="4"/>
  <c r="V942" i="4"/>
  <c r="V953" i="4"/>
  <c r="V960" i="4"/>
  <c r="V771" i="4"/>
  <c r="V802" i="4"/>
  <c r="V806" i="4"/>
  <c r="V813" i="4"/>
  <c r="V824" i="4"/>
  <c r="V829" i="4"/>
  <c r="V837" i="4"/>
  <c r="V843" i="4"/>
  <c r="V849" i="4"/>
  <c r="V667" i="4"/>
  <c r="V815" i="4"/>
  <c r="V817" i="4"/>
  <c r="V859" i="4"/>
  <c r="V877" i="4"/>
  <c r="V895" i="4"/>
  <c r="V913" i="4"/>
  <c r="V931" i="4"/>
  <c r="V949" i="4"/>
  <c r="V643" i="4"/>
  <c r="V703" i="4"/>
  <c r="V828" i="4"/>
  <c r="V858" i="4"/>
  <c r="V869" i="4"/>
  <c r="V876" i="4"/>
  <c r="V887" i="4"/>
  <c r="V894" i="4"/>
  <c r="V905" i="4"/>
  <c r="V912" i="4"/>
  <c r="V923" i="4"/>
  <c r="V930" i="4"/>
  <c r="V941" i="4"/>
  <c r="V948" i="4"/>
  <c r="V959" i="4"/>
  <c r="AA2" i="4"/>
  <c r="AD12" i="4"/>
  <c r="AC10" i="4"/>
  <c r="V9" i="4"/>
  <c r="Y7" i="4"/>
  <c r="AA1001" i="4"/>
  <c r="AA999" i="4"/>
  <c r="W996" i="4"/>
  <c r="AC990" i="4"/>
  <c r="Y986" i="4"/>
  <c r="V980" i="4"/>
  <c r="AA975" i="4"/>
  <c r="AD973" i="4"/>
  <c r="AA962" i="4"/>
  <c r="Y960" i="4"/>
  <c r="AD957" i="4"/>
  <c r="V945" i="4"/>
  <c r="AD942" i="4"/>
  <c r="W940" i="4"/>
  <c r="AD937" i="4"/>
  <c r="AD935" i="4"/>
  <c r="V927" i="4"/>
  <c r="AA915" i="4"/>
  <c r="AA883" i="4"/>
  <c r="Y864" i="4"/>
  <c r="AD856" i="4"/>
  <c r="AC846" i="4"/>
  <c r="Y839" i="4"/>
  <c r="AC835" i="4"/>
  <c r="Y828" i="4"/>
  <c r="AD804" i="4"/>
  <c r="AA773" i="4"/>
  <c r="W15" i="4"/>
  <c r="W19" i="4"/>
  <c r="W25" i="4"/>
  <c r="W31" i="4"/>
  <c r="W37" i="4"/>
  <c r="W43" i="4"/>
  <c r="W49" i="4"/>
  <c r="W55" i="4"/>
  <c r="W61" i="4"/>
  <c r="W67" i="4"/>
  <c r="W73" i="4"/>
  <c r="W79" i="4"/>
  <c r="W85" i="4"/>
  <c r="W91" i="4"/>
  <c r="W97" i="4"/>
  <c r="W18" i="4"/>
  <c r="W24" i="4"/>
  <c r="W30" i="4"/>
  <c r="W36" i="4"/>
  <c r="W42" i="4"/>
  <c r="W48" i="4"/>
  <c r="W54" i="4"/>
  <c r="W60" i="4"/>
  <c r="W66" i="4"/>
  <c r="W17" i="4"/>
  <c r="W23" i="4"/>
  <c r="W29" i="4"/>
  <c r="W35" i="4"/>
  <c r="W41" i="4"/>
  <c r="W47" i="4"/>
  <c r="W53" i="4"/>
  <c r="W59" i="4"/>
  <c r="W65" i="4"/>
  <c r="W71" i="4"/>
  <c r="W77" i="4"/>
  <c r="W83" i="4"/>
  <c r="W89" i="4"/>
  <c r="W95" i="4"/>
  <c r="W101" i="4"/>
  <c r="W107" i="4"/>
  <c r="W113" i="4"/>
  <c r="W119" i="4"/>
  <c r="W125" i="4"/>
  <c r="W131" i="4"/>
  <c r="W137" i="4"/>
  <c r="W143" i="4"/>
  <c r="W16" i="4"/>
  <c r="W22" i="4"/>
  <c r="W28" i="4"/>
  <c r="W34" i="4"/>
  <c r="W40" i="4"/>
  <c r="W46" i="4"/>
  <c r="W52" i="4"/>
  <c r="W58" i="4"/>
  <c r="W64" i="4"/>
  <c r="W70" i="4"/>
  <c r="W76" i="4"/>
  <c r="W33" i="4"/>
  <c r="W39" i="4"/>
  <c r="W45" i="4"/>
  <c r="W51" i="4"/>
  <c r="W57" i="4"/>
  <c r="W63" i="4"/>
  <c r="W69" i="4"/>
  <c r="W78" i="4"/>
  <c r="W80" i="4"/>
  <c r="W82" i="4"/>
  <c r="W84" i="4"/>
  <c r="W86" i="4"/>
  <c r="W88" i="4"/>
  <c r="W90" i="4"/>
  <c r="W92" i="4"/>
  <c r="W94" i="4"/>
  <c r="W96" i="4"/>
  <c r="W103" i="4"/>
  <c r="W106" i="4"/>
  <c r="W108" i="4"/>
  <c r="W114" i="4"/>
  <c r="W120" i="4"/>
  <c r="W138" i="4"/>
  <c r="W147" i="4"/>
  <c r="W153" i="4"/>
  <c r="W159" i="4"/>
  <c r="W165" i="4"/>
  <c r="W171" i="4"/>
  <c r="W177" i="4"/>
  <c r="W183" i="4"/>
  <c r="W189" i="4"/>
  <c r="W195" i="4"/>
  <c r="W201" i="4"/>
  <c r="W207" i="4"/>
  <c r="W21" i="4"/>
  <c r="W75" i="4"/>
  <c r="W123" i="4"/>
  <c r="W141" i="4"/>
  <c r="W146" i="4"/>
  <c r="W152" i="4"/>
  <c r="W158" i="4"/>
  <c r="W164" i="4"/>
  <c r="W170" i="4"/>
  <c r="W176" i="4"/>
  <c r="W182" i="4"/>
  <c r="W188" i="4"/>
  <c r="W194" i="4"/>
  <c r="W99" i="4"/>
  <c r="W104" i="4"/>
  <c r="W129" i="4"/>
  <c r="W144" i="4"/>
  <c r="W150" i="4"/>
  <c r="W156" i="4"/>
  <c r="W162" i="4"/>
  <c r="W168" i="4"/>
  <c r="W174" i="4"/>
  <c r="W180" i="4"/>
  <c r="W186" i="4"/>
  <c r="W192" i="4"/>
  <c r="W198" i="4"/>
  <c r="W204" i="4"/>
  <c r="W210" i="4"/>
  <c r="W102" i="4"/>
  <c r="W110" i="4"/>
  <c r="W130" i="4"/>
  <c r="W145" i="4"/>
  <c r="W148" i="4"/>
  <c r="W151" i="4"/>
  <c r="W154" i="4"/>
  <c r="W157" i="4"/>
  <c r="W105" i="4"/>
  <c r="W112" i="4"/>
  <c r="W127" i="4"/>
  <c r="W134" i="4"/>
  <c r="W139" i="4"/>
  <c r="W206" i="4"/>
  <c r="W215" i="4"/>
  <c r="W221" i="4"/>
  <c r="W227" i="4"/>
  <c r="W233" i="4"/>
  <c r="W239" i="4"/>
  <c r="W245" i="4"/>
  <c r="W251" i="4"/>
  <c r="W257" i="4"/>
  <c r="W27" i="4"/>
  <c r="W74" i="4"/>
  <c r="W124" i="4"/>
  <c r="W109" i="4"/>
  <c r="W116" i="4"/>
  <c r="W128" i="4"/>
  <c r="W133" i="4"/>
  <c r="W140" i="4"/>
  <c r="W197" i="4"/>
  <c r="W212" i="4"/>
  <c r="W218" i="4"/>
  <c r="W224" i="4"/>
  <c r="W230" i="4"/>
  <c r="W236" i="4"/>
  <c r="W242" i="4"/>
  <c r="W248" i="4"/>
  <c r="W254" i="4"/>
  <c r="W260" i="4"/>
  <c r="W20" i="4"/>
  <c r="W81" i="4"/>
  <c r="W166" i="4"/>
  <c r="W173" i="4"/>
  <c r="W185" i="4"/>
  <c r="W228" i="4"/>
  <c r="W246" i="4"/>
  <c r="W266" i="4"/>
  <c r="W149" i="4"/>
  <c r="W163" i="4"/>
  <c r="W216" i="4"/>
  <c r="W234" i="4"/>
  <c r="W252" i="4"/>
  <c r="W264" i="4"/>
  <c r="W270" i="4"/>
  <c r="W276" i="4"/>
  <c r="W282" i="4"/>
  <c r="W288" i="4"/>
  <c r="W294" i="4"/>
  <c r="W300" i="4"/>
  <c r="W306" i="4"/>
  <c r="W312" i="4"/>
  <c r="W318" i="4"/>
  <c r="W324" i="4"/>
  <c r="W330" i="4"/>
  <c r="W336" i="4"/>
  <c r="W342" i="4"/>
  <c r="W348" i="4"/>
  <c r="W32" i="4"/>
  <c r="W50" i="4"/>
  <c r="W68" i="4"/>
  <c r="W72" i="4"/>
  <c r="W93" i="4"/>
  <c r="W100" i="4"/>
  <c r="W118" i="4"/>
  <c r="W179" i="4"/>
  <c r="W191" i="4"/>
  <c r="W219" i="4"/>
  <c r="W237" i="4"/>
  <c r="W255" i="4"/>
  <c r="W263" i="4"/>
  <c r="W269" i="4"/>
  <c r="W275" i="4"/>
  <c r="W160" i="4"/>
  <c r="W167" i="4"/>
  <c r="W226" i="4"/>
  <c r="W244" i="4"/>
  <c r="W38" i="4"/>
  <c r="W56" i="4"/>
  <c r="W98" i="4"/>
  <c r="W225" i="4"/>
  <c r="W243" i="4"/>
  <c r="W261" i="4"/>
  <c r="W267" i="4"/>
  <c r="W273" i="4"/>
  <c r="W279" i="4"/>
  <c r="W285" i="4"/>
  <c r="W291" i="4"/>
  <c r="W297" i="4"/>
  <c r="W303" i="4"/>
  <c r="W309" i="4"/>
  <c r="W315" i="4"/>
  <c r="W321" i="4"/>
  <c r="W327" i="4"/>
  <c r="W333" i="4"/>
  <c r="W339" i="4"/>
  <c r="W345" i="4"/>
  <c r="W351" i="4"/>
  <c r="W87" i="4"/>
  <c r="W178" i="4"/>
  <c r="W293" i="4"/>
  <c r="W311" i="4"/>
  <c r="W329" i="4"/>
  <c r="W121" i="4"/>
  <c r="W196" i="4"/>
  <c r="W203" i="4"/>
  <c r="W214" i="4"/>
  <c r="W241" i="4"/>
  <c r="W289" i="4"/>
  <c r="W44" i="4"/>
  <c r="W115" i="4"/>
  <c r="W135" i="4"/>
  <c r="W161" i="4"/>
  <c r="W181" i="4"/>
  <c r="W208" i="4"/>
  <c r="W220" i="4"/>
  <c r="W222" i="4"/>
  <c r="W247" i="4"/>
  <c r="W272" i="4"/>
  <c r="W278" i="4"/>
  <c r="W132" i="4"/>
  <c r="W249" i="4"/>
  <c r="W253" i="4"/>
  <c r="W292" i="4"/>
  <c r="W310" i="4"/>
  <c r="W122" i="4"/>
  <c r="W184" i="4"/>
  <c r="W281" i="4"/>
  <c r="W299" i="4"/>
  <c r="W317" i="4"/>
  <c r="W335" i="4"/>
  <c r="W26" i="4"/>
  <c r="W223" i="4"/>
  <c r="W250" i="4"/>
  <c r="W283" i="4"/>
  <c r="W62" i="4"/>
  <c r="W142" i="4"/>
  <c r="W231" i="4"/>
  <c r="W271" i="4"/>
  <c r="W326" i="4"/>
  <c r="W352" i="4"/>
  <c r="W358" i="4"/>
  <c r="W364" i="4"/>
  <c r="W370" i="4"/>
  <c r="W376" i="4"/>
  <c r="W382" i="4"/>
  <c r="W388" i="4"/>
  <c r="W394" i="4"/>
  <c r="W400" i="4"/>
  <c r="W126" i="4"/>
  <c r="W232" i="4"/>
  <c r="W274" i="4"/>
  <c r="W172" i="4"/>
  <c r="W175" i="4"/>
  <c r="W209" i="4"/>
  <c r="W235" i="4"/>
  <c r="W238" i="4"/>
  <c r="W256" i="4"/>
  <c r="W296" i="4"/>
  <c r="W298" i="4"/>
  <c r="W305" i="4"/>
  <c r="W320" i="4"/>
  <c r="W325" i="4"/>
  <c r="W338" i="4"/>
  <c r="W347" i="4"/>
  <c r="W356" i="4"/>
  <c r="W362" i="4"/>
  <c r="W368" i="4"/>
  <c r="W374" i="4"/>
  <c r="W169" i="4"/>
  <c r="W307" i="4"/>
  <c r="W350" i="4"/>
  <c r="W355" i="4"/>
  <c r="W361" i="4"/>
  <c r="W367" i="4"/>
  <c r="W373" i="4"/>
  <c r="W379" i="4"/>
  <c r="W385" i="4"/>
  <c r="W391" i="4"/>
  <c r="W397" i="4"/>
  <c r="W111" i="4"/>
  <c r="W136" i="4"/>
  <c r="W187" i="4"/>
  <c r="W200" i="4"/>
  <c r="W262" i="4"/>
  <c r="W265" i="4"/>
  <c r="W277" i="4"/>
  <c r="W322" i="4"/>
  <c r="W340" i="4"/>
  <c r="W346" i="4"/>
  <c r="W286" i="4"/>
  <c r="W349" i="4"/>
  <c r="W304" i="4"/>
  <c r="W316" i="4"/>
  <c r="W334" i="4"/>
  <c r="W353" i="4"/>
  <c r="W359" i="4"/>
  <c r="W365" i="4"/>
  <c r="W117" i="4"/>
  <c r="W229" i="4"/>
  <c r="W190" i="4"/>
  <c r="W211" i="4"/>
  <c r="W319" i="4"/>
  <c r="W354" i="4"/>
  <c r="W386" i="4"/>
  <c r="W199" i="4"/>
  <c r="W258" i="4"/>
  <c r="W308" i="4"/>
  <c r="W328" i="4"/>
  <c r="W363" i="4"/>
  <c r="W393" i="4"/>
  <c r="W405" i="4"/>
  <c r="W411" i="4"/>
  <c r="W417" i="4"/>
  <c r="W423" i="4"/>
  <c r="W429" i="4"/>
  <c r="W435" i="4"/>
  <c r="W441" i="4"/>
  <c r="W447" i="4"/>
  <c r="W240" i="4"/>
  <c r="W302" i="4"/>
  <c r="W314" i="4"/>
  <c r="W372" i="4"/>
  <c r="W378" i="4"/>
  <c r="W396" i="4"/>
  <c r="W404" i="4"/>
  <c r="W410" i="4"/>
  <c r="W416" i="4"/>
  <c r="W422" i="4"/>
  <c r="W428" i="4"/>
  <c r="W434" i="4"/>
  <c r="W440" i="4"/>
  <c r="W259" i="4"/>
  <c r="W323" i="4"/>
  <c r="W369" i="4"/>
  <c r="W381" i="4"/>
  <c r="W399" i="4"/>
  <c r="W403" i="4"/>
  <c r="W409" i="4"/>
  <c r="W415" i="4"/>
  <c r="W421" i="4"/>
  <c r="W427" i="4"/>
  <c r="W433" i="4"/>
  <c r="W439" i="4"/>
  <c r="W205" i="4"/>
  <c r="W268" i="4"/>
  <c r="W290" i="4"/>
  <c r="W332" i="4"/>
  <c r="W371" i="4"/>
  <c r="W377" i="4"/>
  <c r="W384" i="4"/>
  <c r="W402" i="4"/>
  <c r="W408" i="4"/>
  <c r="W414" i="4"/>
  <c r="W420" i="4"/>
  <c r="W426" i="4"/>
  <c r="W432" i="4"/>
  <c r="W438" i="4"/>
  <c r="W444" i="4"/>
  <c r="W450" i="4"/>
  <c r="W401" i="4"/>
  <c r="W452" i="4"/>
  <c r="W458" i="4"/>
  <c r="W464" i="4"/>
  <c r="W470" i="4"/>
  <c r="W476" i="4"/>
  <c r="W482" i="4"/>
  <c r="W488" i="4"/>
  <c r="W494" i="4"/>
  <c r="W500" i="4"/>
  <c r="W506" i="4"/>
  <c r="W301" i="4"/>
  <c r="W202" i="4"/>
  <c r="W331" i="4"/>
  <c r="W387" i="4"/>
  <c r="W389" i="4"/>
  <c r="W413" i="4"/>
  <c r="W431" i="4"/>
  <c r="W443" i="4"/>
  <c r="W155" i="4"/>
  <c r="W217" i="4"/>
  <c r="W280" i="4"/>
  <c r="W295" i="4"/>
  <c r="W392" i="4"/>
  <c r="W436" i="4"/>
  <c r="W357" i="4"/>
  <c r="W366" i="4"/>
  <c r="W380" i="4"/>
  <c r="W213" i="4"/>
  <c r="W343" i="4"/>
  <c r="W375" i="4"/>
  <c r="W383" i="4"/>
  <c r="W390" i="4"/>
  <c r="W398" i="4"/>
  <c r="W449" i="4"/>
  <c r="W412" i="4"/>
  <c r="W437" i="4"/>
  <c r="W446" i="4"/>
  <c r="W469" i="4"/>
  <c r="W487" i="4"/>
  <c r="W505" i="4"/>
  <c r="W513" i="4"/>
  <c r="W519" i="4"/>
  <c r="W525" i="4"/>
  <c r="W531" i="4"/>
  <c r="W537" i="4"/>
  <c r="W287" i="4"/>
  <c r="W344" i="4"/>
  <c r="W193" i="4"/>
  <c r="W313" i="4"/>
  <c r="W457" i="4"/>
  <c r="W475" i="4"/>
  <c r="W493" i="4"/>
  <c r="W337" i="4"/>
  <c r="W341" i="4"/>
  <c r="W360" i="4"/>
  <c r="W456" i="4"/>
  <c r="W467" i="4"/>
  <c r="W474" i="4"/>
  <c r="W485" i="4"/>
  <c r="W492" i="4"/>
  <c r="W503" i="4"/>
  <c r="W510" i="4"/>
  <c r="W516" i="4"/>
  <c r="W522" i="4"/>
  <c r="W528" i="4"/>
  <c r="W534" i="4"/>
  <c r="W540" i="4"/>
  <c r="W546" i="4"/>
  <c r="W552" i="4"/>
  <c r="W558" i="4"/>
  <c r="W564" i="4"/>
  <c r="W570" i="4"/>
  <c r="W576" i="4"/>
  <c r="W582" i="4"/>
  <c r="W588" i="4"/>
  <c r="W594" i="4"/>
  <c r="W600" i="4"/>
  <c r="W606" i="4"/>
  <c r="W612" i="4"/>
  <c r="W618" i="4"/>
  <c r="W624" i="4"/>
  <c r="W630" i="4"/>
  <c r="W636" i="4"/>
  <c r="W642" i="4"/>
  <c r="W648" i="4"/>
  <c r="W468" i="4"/>
  <c r="W472" i="4"/>
  <c r="W495" i="4"/>
  <c r="W284" i="4"/>
  <c r="W395" i="4"/>
  <c r="W448" i="4"/>
  <c r="W497" i="4"/>
  <c r="W418" i="4"/>
  <c r="W424" i="4"/>
  <c r="W451" i="4"/>
  <c r="W453" i="4"/>
  <c r="W501" i="4"/>
  <c r="W527" i="4"/>
  <c r="W550" i="4"/>
  <c r="W568" i="4"/>
  <c r="W586" i="4"/>
  <c r="W604" i="4"/>
  <c r="W622" i="4"/>
  <c r="W406" i="4"/>
  <c r="W430" i="4"/>
  <c r="W459" i="4"/>
  <c r="W486" i="4"/>
  <c r="W490" i="4"/>
  <c r="W509" i="4"/>
  <c r="W461" i="4"/>
  <c r="W463" i="4"/>
  <c r="W511" i="4"/>
  <c r="W524" i="4"/>
  <c r="W529" i="4"/>
  <c r="W542" i="4"/>
  <c r="W549" i="4"/>
  <c r="W553" i="4"/>
  <c r="W560" i="4"/>
  <c r="W567" i="4"/>
  <c r="W571" i="4"/>
  <c r="W578" i="4"/>
  <c r="W585" i="4"/>
  <c r="W589" i="4"/>
  <c r="W596" i="4"/>
  <c r="W603" i="4"/>
  <c r="W607" i="4"/>
  <c r="W407" i="4"/>
  <c r="W442" i="4"/>
  <c r="W473" i="4"/>
  <c r="W496" i="4"/>
  <c r="W498" i="4"/>
  <c r="W502" i="4"/>
  <c r="W526" i="4"/>
  <c r="W545" i="4"/>
  <c r="W563" i="4"/>
  <c r="W581" i="4"/>
  <c r="W599" i="4"/>
  <c r="W617" i="4"/>
  <c r="W445" i="4"/>
  <c r="W479" i="4"/>
  <c r="W481" i="4"/>
  <c r="W508" i="4"/>
  <c r="W518" i="4"/>
  <c r="W523" i="4"/>
  <c r="W536" i="4"/>
  <c r="W541" i="4"/>
  <c r="W460" i="4"/>
  <c r="W462" i="4"/>
  <c r="W466" i="4"/>
  <c r="W491" i="4"/>
  <c r="W520" i="4"/>
  <c r="W538" i="4"/>
  <c r="W551" i="4"/>
  <c r="W569" i="4"/>
  <c r="W587" i="4"/>
  <c r="W605" i="4"/>
  <c r="W514" i="4"/>
  <c r="W539" i="4"/>
  <c r="W557" i="4"/>
  <c r="W572" i="4"/>
  <c r="W583" i="4"/>
  <c r="W611" i="4"/>
  <c r="W621" i="4"/>
  <c r="W632" i="4"/>
  <c r="W635" i="4"/>
  <c r="W654" i="4"/>
  <c r="W660" i="4"/>
  <c r="W666" i="4"/>
  <c r="W672" i="4"/>
  <c r="W678" i="4"/>
  <c r="W684" i="4"/>
  <c r="W690" i="4"/>
  <c r="W696" i="4"/>
  <c r="W702" i="4"/>
  <c r="W708" i="4"/>
  <c r="W714" i="4"/>
  <c r="W720" i="4"/>
  <c r="W726" i="4"/>
  <c r="W478" i="4"/>
  <c r="W517" i="4"/>
  <c r="W555" i="4"/>
  <c r="W566" i="4"/>
  <c r="W579" i="4"/>
  <c r="W471" i="4"/>
  <c r="W638" i="4"/>
  <c r="W454" i="4"/>
  <c r="W499" i="4"/>
  <c r="W562" i="4"/>
  <c r="W577" i="4"/>
  <c r="W592" i="4"/>
  <c r="W615" i="4"/>
  <c r="W512" i="4"/>
  <c r="W547" i="4"/>
  <c r="W575" i="4"/>
  <c r="W590" i="4"/>
  <c r="W601" i="4"/>
  <c r="W626" i="4"/>
  <c r="W641" i="4"/>
  <c r="W652" i="4"/>
  <c r="W658" i="4"/>
  <c r="W664" i="4"/>
  <c r="W670" i="4"/>
  <c r="W676" i="4"/>
  <c r="W682" i="4"/>
  <c r="W688" i="4"/>
  <c r="W694" i="4"/>
  <c r="W700" i="4"/>
  <c r="W706" i="4"/>
  <c r="W712" i="4"/>
  <c r="W718" i="4"/>
  <c r="W724" i="4"/>
  <c r="W730" i="4"/>
  <c r="W736" i="4"/>
  <c r="W742" i="4"/>
  <c r="W748" i="4"/>
  <c r="W754" i="4"/>
  <c r="W760" i="4"/>
  <c r="W766" i="4"/>
  <c r="W772" i="4"/>
  <c r="W778" i="4"/>
  <c r="W784" i="4"/>
  <c r="W790" i="4"/>
  <c r="W796" i="4"/>
  <c r="W802" i="4"/>
  <c r="W808" i="4"/>
  <c r="W814" i="4"/>
  <c r="W820" i="4"/>
  <c r="W515" i="4"/>
  <c r="W573" i="4"/>
  <c r="W584" i="4"/>
  <c r="W597" i="4"/>
  <c r="W620" i="4"/>
  <c r="W631" i="4"/>
  <c r="W489" i="4"/>
  <c r="W507" i="4"/>
  <c r="W521" i="4"/>
  <c r="W532" i="4"/>
  <c r="W543" i="4"/>
  <c r="W419" i="4"/>
  <c r="W455" i="4"/>
  <c r="W465" i="4"/>
  <c r="W535" i="4"/>
  <c r="W556" i="4"/>
  <c r="W580" i="4"/>
  <c r="W595" i="4"/>
  <c r="W610" i="4"/>
  <c r="W633" i="4"/>
  <c r="W640" i="4"/>
  <c r="W483" i="4"/>
  <c r="W554" i="4"/>
  <c r="W565" i="4"/>
  <c r="W593" i="4"/>
  <c r="W608" i="4"/>
  <c r="W484" i="4"/>
  <c r="W533" i="4"/>
  <c r="W544" i="4"/>
  <c r="W559" i="4"/>
  <c r="W574" i="4"/>
  <c r="W598" i="4"/>
  <c r="W646" i="4"/>
  <c r="W477" i="4"/>
  <c r="W504" i="4"/>
  <c r="W530" i="4"/>
  <c r="W627" i="4"/>
  <c r="W639" i="4"/>
  <c r="W659" i="4"/>
  <c r="W677" i="4"/>
  <c r="W695" i="4"/>
  <c r="W713" i="4"/>
  <c r="W731" i="4"/>
  <c r="W738" i="4"/>
  <c r="W749" i="4"/>
  <c r="W756" i="4"/>
  <c r="W767" i="4"/>
  <c r="W774" i="4"/>
  <c r="W785" i="4"/>
  <c r="W792" i="4"/>
  <c r="W614" i="4"/>
  <c r="W619" i="4"/>
  <c r="W637" i="4"/>
  <c r="W649" i="4"/>
  <c r="W651" i="4"/>
  <c r="W656" i="4"/>
  <c r="W669" i="4"/>
  <c r="W674" i="4"/>
  <c r="W687" i="4"/>
  <c r="W692" i="4"/>
  <c r="W705" i="4"/>
  <c r="W710" i="4"/>
  <c r="W723" i="4"/>
  <c r="W728" i="4"/>
  <c r="W734" i="4"/>
  <c r="W745" i="4"/>
  <c r="W752" i="4"/>
  <c r="W763" i="4"/>
  <c r="W625" i="4"/>
  <c r="W661" i="4"/>
  <c r="W679" i="4"/>
  <c r="W697" i="4"/>
  <c r="W715" i="4"/>
  <c r="W628" i="4"/>
  <c r="W653" i="4"/>
  <c r="W671" i="4"/>
  <c r="W689" i="4"/>
  <c r="W707" i="4"/>
  <c r="W725" i="4"/>
  <c r="W737" i="4"/>
  <c r="W744" i="4"/>
  <c r="W755" i="4"/>
  <c r="W762" i="4"/>
  <c r="W773" i="4"/>
  <c r="W780" i="4"/>
  <c r="W791" i="4"/>
  <c r="W798" i="4"/>
  <c r="W809" i="4"/>
  <c r="W816" i="4"/>
  <c r="W824" i="4"/>
  <c r="W830" i="4"/>
  <c r="W836" i="4"/>
  <c r="W842" i="4"/>
  <c r="W848" i="4"/>
  <c r="W854" i="4"/>
  <c r="W860" i="4"/>
  <c r="W866" i="4"/>
  <c r="W872" i="4"/>
  <c r="W878" i="4"/>
  <c r="W884" i="4"/>
  <c r="W890" i="4"/>
  <c r="W896" i="4"/>
  <c r="W902" i="4"/>
  <c r="W908" i="4"/>
  <c r="W914" i="4"/>
  <c r="W920" i="4"/>
  <c r="W926" i="4"/>
  <c r="W932" i="4"/>
  <c r="W938" i="4"/>
  <c r="W944" i="4"/>
  <c r="W950" i="4"/>
  <c r="W956" i="4"/>
  <c r="W962" i="4"/>
  <c r="W591" i="4"/>
  <c r="W644" i="4"/>
  <c r="W663" i="4"/>
  <c r="W668" i="4"/>
  <c r="W681" i="4"/>
  <c r="W686" i="4"/>
  <c r="W699" i="4"/>
  <c r="W704" i="4"/>
  <c r="W717" i="4"/>
  <c r="W722" i="4"/>
  <c r="W733" i="4"/>
  <c r="W623" i="4"/>
  <c r="W823" i="4"/>
  <c r="W829" i="4"/>
  <c r="W480" i="4"/>
  <c r="W655" i="4"/>
  <c r="W673" i="4"/>
  <c r="W691" i="4"/>
  <c r="W709" i="4"/>
  <c r="W727" i="4"/>
  <c r="W747" i="4"/>
  <c r="W765" i="4"/>
  <c r="W425" i="4"/>
  <c r="W561" i="4"/>
  <c r="W609" i="4"/>
  <c r="W650" i="4"/>
  <c r="W665" i="4"/>
  <c r="W683" i="4"/>
  <c r="W701" i="4"/>
  <c r="W719" i="4"/>
  <c r="W732" i="4"/>
  <c r="W743" i="4"/>
  <c r="W548" i="4"/>
  <c r="W602" i="4"/>
  <c r="W634" i="4"/>
  <c r="W657" i="4"/>
  <c r="W662" i="4"/>
  <c r="W675" i="4"/>
  <c r="W680" i="4"/>
  <c r="W693" i="4"/>
  <c r="W698" i="4"/>
  <c r="W711" i="4"/>
  <c r="W716" i="4"/>
  <c r="W729" i="4"/>
  <c r="W739" i="4"/>
  <c r="W746" i="4"/>
  <c r="W757" i="4"/>
  <c r="W764" i="4"/>
  <c r="W775" i="4"/>
  <c r="W782" i="4"/>
  <c r="W793" i="4"/>
  <c r="W800" i="4"/>
  <c r="W811" i="4"/>
  <c r="W818" i="4"/>
  <c r="W643" i="4"/>
  <c r="W667" i="4"/>
  <c r="W685" i="4"/>
  <c r="W703" i="4"/>
  <c r="W721" i="4"/>
  <c r="W735" i="4"/>
  <c r="W753" i="4"/>
  <c r="W771" i="4"/>
  <c r="W789" i="4"/>
  <c r="W807" i="4"/>
  <c r="W613" i="4"/>
  <c r="W741" i="4"/>
  <c r="W750" i="4"/>
  <c r="W770" i="4"/>
  <c r="W828" i="4"/>
  <c r="W833" i="4"/>
  <c r="W839" i="4"/>
  <c r="W845" i="4"/>
  <c r="W851" i="4"/>
  <c r="W858" i="4"/>
  <c r="W869" i="4"/>
  <c r="W876" i="4"/>
  <c r="W887" i="4"/>
  <c r="W894" i="4"/>
  <c r="W905" i="4"/>
  <c r="W912" i="4"/>
  <c r="W923" i="4"/>
  <c r="W930" i="4"/>
  <c r="W941" i="4"/>
  <c r="W948" i="4"/>
  <c r="W959" i="4"/>
  <c r="W629" i="4"/>
  <c r="W799" i="4"/>
  <c r="W801" i="4"/>
  <c r="W803" i="4"/>
  <c r="W812" i="4"/>
  <c r="W865" i="4"/>
  <c r="W883" i="4"/>
  <c r="W901" i="4"/>
  <c r="W919" i="4"/>
  <c r="W937" i="4"/>
  <c r="W955" i="4"/>
  <c r="W758" i="4"/>
  <c r="W787" i="4"/>
  <c r="W795" i="4"/>
  <c r="W797" i="4"/>
  <c r="W805" i="4"/>
  <c r="W825" i="4"/>
  <c r="W861" i="4"/>
  <c r="W868" i="4"/>
  <c r="W879" i="4"/>
  <c r="W886" i="4"/>
  <c r="W897" i="4"/>
  <c r="W904" i="4"/>
  <c r="W915" i="4"/>
  <c r="W645" i="4"/>
  <c r="W822" i="4"/>
  <c r="W827" i="4"/>
  <c r="W838" i="4"/>
  <c r="W844" i="4"/>
  <c r="W850" i="4"/>
  <c r="W857" i="4"/>
  <c r="W864" i="4"/>
  <c r="W875" i="4"/>
  <c r="W882" i="4"/>
  <c r="W893" i="4"/>
  <c r="W900" i="4"/>
  <c r="W911" i="4"/>
  <c r="W918" i="4"/>
  <c r="W929" i="4"/>
  <c r="W936" i="4"/>
  <c r="W947" i="4"/>
  <c r="W954" i="4"/>
  <c r="W751" i="4"/>
  <c r="W761" i="4"/>
  <c r="W781" i="4"/>
  <c r="W783" i="4"/>
  <c r="W832" i="4"/>
  <c r="W835" i="4"/>
  <c r="W841" i="4"/>
  <c r="W847" i="4"/>
  <c r="W965" i="4"/>
  <c r="W971" i="4"/>
  <c r="W977" i="4"/>
  <c r="W983" i="4"/>
  <c r="W989" i="4"/>
  <c r="W995" i="4"/>
  <c r="W1001" i="4"/>
  <c r="W11" i="4"/>
  <c r="W616" i="4"/>
  <c r="W769" i="4"/>
  <c r="W777" i="4"/>
  <c r="W779" i="4"/>
  <c r="W856" i="4"/>
  <c r="W867" i="4"/>
  <c r="W874" i="4"/>
  <c r="W885" i="4"/>
  <c r="W892" i="4"/>
  <c r="W903" i="4"/>
  <c r="W910" i="4"/>
  <c r="W921" i="4"/>
  <c r="W928" i="4"/>
  <c r="W939" i="4"/>
  <c r="W946" i="4"/>
  <c r="W957" i="4"/>
  <c r="W964" i="4"/>
  <c r="W970" i="4"/>
  <c r="W976" i="4"/>
  <c r="W982" i="4"/>
  <c r="W988" i="4"/>
  <c r="W994" i="4"/>
  <c r="W1000" i="4"/>
  <c r="W10" i="4"/>
  <c r="W740" i="4"/>
  <c r="W759" i="4"/>
  <c r="W788" i="4"/>
  <c r="W804" i="4"/>
  <c r="W834" i="4"/>
  <c r="W840" i="4"/>
  <c r="W846" i="4"/>
  <c r="W852" i="4"/>
  <c r="W863" i="4"/>
  <c r="W870" i="4"/>
  <c r="W881" i="4"/>
  <c r="W888" i="4"/>
  <c r="W899" i="4"/>
  <c r="W906" i="4"/>
  <c r="W917" i="4"/>
  <c r="W924" i="4"/>
  <c r="W647" i="4"/>
  <c r="W786" i="4"/>
  <c r="W794" i="4"/>
  <c r="W806" i="4"/>
  <c r="W813" i="4"/>
  <c r="W826" i="4"/>
  <c r="W837" i="4"/>
  <c r="W843" i="4"/>
  <c r="W849" i="4"/>
  <c r="W969" i="4"/>
  <c r="W975" i="4"/>
  <c r="W981" i="4"/>
  <c r="W987" i="4"/>
  <c r="W831" i="4"/>
  <c r="W855" i="4"/>
  <c r="W862" i="4"/>
  <c r="W873" i="4"/>
  <c r="W880" i="4"/>
  <c r="W891" i="4"/>
  <c r="W898" i="4"/>
  <c r="W909" i="4"/>
  <c r="W916" i="4"/>
  <c r="W927" i="4"/>
  <c r="W934" i="4"/>
  <c r="W945" i="4"/>
  <c r="W952" i="4"/>
  <c r="W963" i="4"/>
  <c r="W968" i="4"/>
  <c r="W974" i="4"/>
  <c r="W980" i="4"/>
  <c r="W986" i="4"/>
  <c r="W992" i="4"/>
  <c r="W998" i="4"/>
  <c r="W8" i="4"/>
  <c r="W14" i="4"/>
  <c r="W2" i="4"/>
  <c r="Y14" i="4"/>
  <c r="W7" i="4"/>
  <c r="AD997" i="4"/>
  <c r="Y992" i="4"/>
  <c r="W984" i="4"/>
  <c r="Y967" i="4"/>
  <c r="AA957" i="4"/>
  <c r="AA950" i="4"/>
  <c r="AA937" i="4"/>
  <c r="AA932" i="4"/>
  <c r="Y924" i="4"/>
  <c r="AA908" i="4"/>
  <c r="AD899" i="4"/>
  <c r="AD892" i="4"/>
  <c r="AA889" i="4"/>
  <c r="V860" i="4"/>
  <c r="AC819" i="4"/>
  <c r="V799" i="4"/>
  <c r="Y794" i="4"/>
  <c r="V790" i="4"/>
  <c r="Y786" i="4"/>
  <c r="V782" i="4"/>
  <c r="AA777" i="4"/>
  <c r="AB957" i="4"/>
  <c r="X956" i="4"/>
  <c r="AB950" i="4"/>
  <c r="X949" i="4"/>
  <c r="AB946" i="4"/>
  <c r="AB939" i="4"/>
  <c r="X938" i="4"/>
  <c r="AB932" i="4"/>
  <c r="X931" i="4"/>
  <c r="AB928" i="4"/>
  <c r="AB921" i="4"/>
  <c r="X920" i="4"/>
  <c r="AB914" i="4"/>
  <c r="X913" i="4"/>
  <c r="AB910" i="4"/>
  <c r="AB903" i="4"/>
  <c r="X902" i="4"/>
  <c r="AB896" i="4"/>
  <c r="X895" i="4"/>
  <c r="AB892" i="4"/>
  <c r="AB885" i="4"/>
  <c r="X884" i="4"/>
  <c r="AB878" i="4"/>
  <c r="X877" i="4"/>
  <c r="AB874" i="4"/>
  <c r="AB867" i="4"/>
  <c r="X866" i="4"/>
  <c r="AB860" i="4"/>
  <c r="X859" i="4"/>
  <c r="AB856" i="4"/>
  <c r="X821" i="4"/>
  <c r="X819" i="4"/>
  <c r="AB811" i="4"/>
  <c r="AB804" i="4"/>
  <c r="AB800" i="4"/>
  <c r="X790" i="4"/>
  <c r="X782" i="4"/>
  <c r="AB773" i="4"/>
  <c r="AB762" i="4"/>
  <c r="X744" i="4"/>
  <c r="X698" i="4"/>
  <c r="X548" i="4"/>
  <c r="X942" i="4"/>
  <c r="AB936" i="4"/>
  <c r="X924" i="4"/>
  <c r="AB918" i="4"/>
  <c r="X906" i="4"/>
  <c r="AB900" i="4"/>
  <c r="X888" i="4"/>
  <c r="AB882" i="4"/>
  <c r="X870" i="4"/>
  <c r="AB864" i="4"/>
  <c r="X852" i="4"/>
  <c r="AB832" i="4"/>
  <c r="X829" i="4"/>
  <c r="X824" i="4"/>
  <c r="X788" i="4"/>
  <c r="AB764" i="4"/>
  <c r="X762" i="4"/>
  <c r="X754" i="4"/>
  <c r="AB746" i="4"/>
  <c r="X662" i="4"/>
  <c r="X606" i="4"/>
  <c r="X867" i="4"/>
  <c r="AB857" i="4"/>
  <c r="X856" i="4"/>
  <c r="AB850" i="4"/>
  <c r="AB844" i="4"/>
  <c r="AB838" i="4"/>
  <c r="AB827" i="4"/>
  <c r="AB822" i="4"/>
  <c r="AB820" i="4"/>
  <c r="X800" i="4"/>
  <c r="X798" i="4"/>
  <c r="AB781" i="4"/>
  <c r="X773" i="4"/>
  <c r="AB691" i="4"/>
  <c r="X16" i="4"/>
  <c r="X22" i="4"/>
  <c r="X28" i="4"/>
  <c r="X34" i="4"/>
  <c r="X40" i="4"/>
  <c r="X46" i="4"/>
  <c r="X52" i="4"/>
  <c r="X58" i="4"/>
  <c r="X64" i="4"/>
  <c r="X70" i="4"/>
  <c r="X76" i="4"/>
  <c r="X82" i="4"/>
  <c r="X88" i="4"/>
  <c r="X94" i="4"/>
  <c r="X100" i="4"/>
  <c r="X106" i="4"/>
  <c r="X112" i="4"/>
  <c r="X118" i="4"/>
  <c r="X15" i="4"/>
  <c r="X21" i="4"/>
  <c r="X27" i="4"/>
  <c r="X33" i="4"/>
  <c r="X39" i="4"/>
  <c r="X45" i="4"/>
  <c r="X51" i="4"/>
  <c r="X57" i="4"/>
  <c r="X63" i="4"/>
  <c r="X69" i="4"/>
  <c r="X20" i="4"/>
  <c r="X26" i="4"/>
  <c r="X32" i="4"/>
  <c r="X38" i="4"/>
  <c r="X44" i="4"/>
  <c r="X50" i="4"/>
  <c r="X56" i="4"/>
  <c r="X62" i="4"/>
  <c r="X68" i="4"/>
  <c r="X74" i="4"/>
  <c r="X80" i="4"/>
  <c r="X86" i="4"/>
  <c r="X92" i="4"/>
  <c r="X19" i="4"/>
  <c r="X25" i="4"/>
  <c r="X31" i="4"/>
  <c r="X37" i="4"/>
  <c r="X43" i="4"/>
  <c r="X49" i="4"/>
  <c r="X55" i="4"/>
  <c r="X61" i="4"/>
  <c r="X67" i="4"/>
  <c r="X73" i="4"/>
  <c r="X79" i="4"/>
  <c r="X85" i="4"/>
  <c r="X91" i="4"/>
  <c r="X97" i="4"/>
  <c r="X103" i="4"/>
  <c r="X109" i="4"/>
  <c r="X115" i="4"/>
  <c r="X121" i="4"/>
  <c r="X127" i="4"/>
  <c r="X133" i="4"/>
  <c r="X139" i="4"/>
  <c r="X18" i="4"/>
  <c r="X24" i="4"/>
  <c r="X30" i="4"/>
  <c r="X36" i="4"/>
  <c r="X42" i="4"/>
  <c r="X48" i="4"/>
  <c r="X54" i="4"/>
  <c r="X60" i="4"/>
  <c r="X66" i="4"/>
  <c r="X72" i="4"/>
  <c r="X78" i="4"/>
  <c r="X84" i="4"/>
  <c r="X90" i="4"/>
  <c r="X96" i="4"/>
  <c r="X102" i="4"/>
  <c r="X17" i="4"/>
  <c r="X23" i="4"/>
  <c r="X29" i="4"/>
  <c r="X105" i="4"/>
  <c r="X111" i="4"/>
  <c r="X117" i="4"/>
  <c r="X124" i="4"/>
  <c r="X131" i="4"/>
  <c r="X142" i="4"/>
  <c r="X81" i="4"/>
  <c r="X87" i="4"/>
  <c r="X93" i="4"/>
  <c r="X134" i="4"/>
  <c r="X75" i="4"/>
  <c r="X122" i="4"/>
  <c r="X140" i="4"/>
  <c r="X41" i="4"/>
  <c r="X53" i="4"/>
  <c r="X65" i="4"/>
  <c r="X108" i="4"/>
  <c r="X135" i="4"/>
  <c r="X107" i="4"/>
  <c r="X132" i="4"/>
  <c r="X144" i="4"/>
  <c r="X150" i="4"/>
  <c r="X156" i="4"/>
  <c r="X162" i="4"/>
  <c r="X168" i="4"/>
  <c r="X174" i="4"/>
  <c r="X180" i="4"/>
  <c r="X186" i="4"/>
  <c r="X192" i="4"/>
  <c r="X199" i="4"/>
  <c r="X35" i="4"/>
  <c r="X47" i="4"/>
  <c r="X59" i="4"/>
  <c r="X71" i="4"/>
  <c r="X101" i="4"/>
  <c r="X119" i="4"/>
  <c r="X129" i="4"/>
  <c r="X136" i="4"/>
  <c r="X141" i="4"/>
  <c r="X99" i="4"/>
  <c r="X114" i="4"/>
  <c r="X104" i="4"/>
  <c r="X208" i="4"/>
  <c r="X95" i="4"/>
  <c r="X110" i="4"/>
  <c r="X137" i="4"/>
  <c r="X146" i="4"/>
  <c r="X178" i="4"/>
  <c r="X190" i="4"/>
  <c r="X200" i="4"/>
  <c r="X205" i="4"/>
  <c r="X214" i="4"/>
  <c r="X221" i="4"/>
  <c r="X232" i="4"/>
  <c r="X239" i="4"/>
  <c r="X250" i="4"/>
  <c r="X257" i="4"/>
  <c r="X113" i="4"/>
  <c r="X120" i="4"/>
  <c r="X125" i="4"/>
  <c r="X130" i="4"/>
  <c r="X151" i="4"/>
  <c r="X170" i="4"/>
  <c r="X177" i="4"/>
  <c r="X182" i="4"/>
  <c r="X189" i="4"/>
  <c r="X194" i="4"/>
  <c r="X204" i="4"/>
  <c r="X220" i="4"/>
  <c r="X227" i="4"/>
  <c r="X238" i="4"/>
  <c r="X245" i="4"/>
  <c r="X256" i="4"/>
  <c r="X145" i="4"/>
  <c r="X172" i="4"/>
  <c r="X184" i="4"/>
  <c r="X196" i="4"/>
  <c r="X209" i="4"/>
  <c r="X212" i="4"/>
  <c r="X223" i="4"/>
  <c r="X230" i="4"/>
  <c r="X241" i="4"/>
  <c r="X248" i="4"/>
  <c r="X259" i="4"/>
  <c r="X83" i="4"/>
  <c r="X128" i="4"/>
  <c r="X143" i="4"/>
  <c r="X179" i="4"/>
  <c r="X191" i="4"/>
  <c r="X201" i="4"/>
  <c r="X206" i="4"/>
  <c r="X219" i="4"/>
  <c r="X237" i="4"/>
  <c r="X255" i="4"/>
  <c r="X263" i="4"/>
  <c r="X77" i="4"/>
  <c r="X126" i="4"/>
  <c r="X152" i="4"/>
  <c r="X169" i="4"/>
  <c r="X171" i="4"/>
  <c r="X176" i="4"/>
  <c r="X183" i="4"/>
  <c r="X188" i="4"/>
  <c r="X195" i="4"/>
  <c r="X203" i="4"/>
  <c r="X211" i="4"/>
  <c r="X218" i="4"/>
  <c r="X229" i="4"/>
  <c r="X236" i="4"/>
  <c r="X247" i="4"/>
  <c r="X254" i="4"/>
  <c r="X149" i="4"/>
  <c r="X155" i="4"/>
  <c r="X165" i="4"/>
  <c r="X175" i="4"/>
  <c r="X210" i="4"/>
  <c r="X231" i="4"/>
  <c r="X235" i="4"/>
  <c r="X262" i="4"/>
  <c r="X286" i="4"/>
  <c r="X304" i="4"/>
  <c r="X322" i="4"/>
  <c r="X340" i="4"/>
  <c r="X138" i="4"/>
  <c r="X158" i="4"/>
  <c r="X243" i="4"/>
  <c r="X264" i="4"/>
  <c r="X282" i="4"/>
  <c r="X293" i="4"/>
  <c r="X153" i="4"/>
  <c r="X163" i="4"/>
  <c r="X173" i="4"/>
  <c r="X216" i="4"/>
  <c r="X289" i="4"/>
  <c r="X147" i="4"/>
  <c r="X161" i="4"/>
  <c r="X181" i="4"/>
  <c r="X222" i="4"/>
  <c r="X224" i="4"/>
  <c r="X226" i="4"/>
  <c r="X251" i="4"/>
  <c r="X266" i="4"/>
  <c r="X269" i="4"/>
  <c r="X272" i="4"/>
  <c r="X275" i="4"/>
  <c r="X278" i="4"/>
  <c r="X285" i="4"/>
  <c r="X296" i="4"/>
  <c r="X303" i="4"/>
  <c r="X89" i="4"/>
  <c r="X228" i="4"/>
  <c r="X249" i="4"/>
  <c r="X253" i="4"/>
  <c r="X292" i="4"/>
  <c r="X310" i="4"/>
  <c r="X328" i="4"/>
  <c r="X157" i="4"/>
  <c r="X160" i="4"/>
  <c r="X225" i="4"/>
  <c r="X265" i="4"/>
  <c r="X287" i="4"/>
  <c r="X294" i="4"/>
  <c r="X234" i="4"/>
  <c r="X240" i="4"/>
  <c r="X280" i="4"/>
  <c r="X313" i="4"/>
  <c r="X321" i="4"/>
  <c r="X331" i="4"/>
  <c r="X339" i="4"/>
  <c r="X202" i="4"/>
  <c r="X217" i="4"/>
  <c r="X267" i="4"/>
  <c r="X276" i="4"/>
  <c r="X308" i="4"/>
  <c r="X323" i="4"/>
  <c r="X341" i="4"/>
  <c r="X344" i="4"/>
  <c r="X351" i="4"/>
  <c r="X244" i="4"/>
  <c r="X274" i="4"/>
  <c r="X283" i="4"/>
  <c r="X315" i="4"/>
  <c r="X333" i="4"/>
  <c r="X193" i="4"/>
  <c r="X288" i="4"/>
  <c r="X290" i="4"/>
  <c r="X300" i="4"/>
  <c r="X317" i="4"/>
  <c r="X335" i="4"/>
  <c r="X343" i="4"/>
  <c r="X123" i="4"/>
  <c r="X166" i="4"/>
  <c r="X197" i="4"/>
  <c r="X279" i="4"/>
  <c r="X307" i="4"/>
  <c r="X327" i="4"/>
  <c r="X350" i="4"/>
  <c r="X355" i="4"/>
  <c r="X361" i="4"/>
  <c r="X367" i="4"/>
  <c r="X98" i="4"/>
  <c r="X116" i="4"/>
  <c r="X213" i="4"/>
  <c r="X268" i="4"/>
  <c r="X284" i="4"/>
  <c r="X295" i="4"/>
  <c r="X302" i="4"/>
  <c r="X314" i="4"/>
  <c r="X319" i="4"/>
  <c r="X324" i="4"/>
  <c r="X332" i="4"/>
  <c r="X337" i="4"/>
  <c r="X342" i="4"/>
  <c r="X273" i="4"/>
  <c r="X291" i="4"/>
  <c r="X311" i="4"/>
  <c r="X329" i="4"/>
  <c r="X349" i="4"/>
  <c r="X185" i="4"/>
  <c r="X215" i="4"/>
  <c r="X246" i="4"/>
  <c r="X261" i="4"/>
  <c r="X277" i="4"/>
  <c r="X298" i="4"/>
  <c r="X325" i="4"/>
  <c r="X352" i="4"/>
  <c r="X370" i="4"/>
  <c r="X373" i="4"/>
  <c r="X376" i="4"/>
  <c r="X379" i="4"/>
  <c r="X390" i="4"/>
  <c r="X397" i="4"/>
  <c r="X406" i="4"/>
  <c r="X412" i="4"/>
  <c r="X418" i="4"/>
  <c r="X424" i="4"/>
  <c r="X430" i="4"/>
  <c r="X436" i="4"/>
  <c r="X442" i="4"/>
  <c r="X207" i="4"/>
  <c r="X281" i="4"/>
  <c r="X305" i="4"/>
  <c r="X354" i="4"/>
  <c r="X386" i="4"/>
  <c r="X167" i="4"/>
  <c r="X258" i="4"/>
  <c r="X270" i="4"/>
  <c r="X154" i="4"/>
  <c r="X348" i="4"/>
  <c r="X389" i="4"/>
  <c r="X159" i="4"/>
  <c r="X164" i="4"/>
  <c r="X187" i="4"/>
  <c r="X306" i="4"/>
  <c r="X309" i="4"/>
  <c r="X320" i="4"/>
  <c r="X326" i="4"/>
  <c r="X360" i="4"/>
  <c r="X375" i="4"/>
  <c r="X392" i="4"/>
  <c r="X233" i="4"/>
  <c r="X318" i="4"/>
  <c r="X395" i="4"/>
  <c r="X198" i="4"/>
  <c r="X297" i="4"/>
  <c r="X357" i="4"/>
  <c r="X419" i="4"/>
  <c r="X437" i="4"/>
  <c r="X445" i="4"/>
  <c r="X260" i="4"/>
  <c r="X356" i="4"/>
  <c r="X366" i="4"/>
  <c r="X371" i="4"/>
  <c r="X378" i="4"/>
  <c r="X391" i="4"/>
  <c r="X416" i="4"/>
  <c r="X252" i="4"/>
  <c r="X299" i="4"/>
  <c r="X312" i="4"/>
  <c r="X316" i="4"/>
  <c r="X359" i="4"/>
  <c r="X369" i="4"/>
  <c r="X398" i="4"/>
  <c r="X400" i="4"/>
  <c r="X402" i="4"/>
  <c r="X411" i="4"/>
  <c r="X420" i="4"/>
  <c r="X429" i="4"/>
  <c r="X438" i="4"/>
  <c r="X450" i="4"/>
  <c r="X455" i="4"/>
  <c r="X461" i="4"/>
  <c r="X467" i="4"/>
  <c r="X473" i="4"/>
  <c r="X479" i="4"/>
  <c r="X485" i="4"/>
  <c r="X491" i="4"/>
  <c r="X497" i="4"/>
  <c r="X503" i="4"/>
  <c r="X509" i="4"/>
  <c r="X363" i="4"/>
  <c r="X404" i="4"/>
  <c r="X456" i="4"/>
  <c r="X474" i="4"/>
  <c r="X492" i="4"/>
  <c r="X510" i="4"/>
  <c r="X516" i="4"/>
  <c r="X522" i="4"/>
  <c r="X528" i="4"/>
  <c r="X534" i="4"/>
  <c r="X540" i="4"/>
  <c r="X382" i="4"/>
  <c r="X346" i="4"/>
  <c r="X372" i="4"/>
  <c r="X377" i="4"/>
  <c r="X387" i="4"/>
  <c r="X271" i="4"/>
  <c r="X334" i="4"/>
  <c r="X338" i="4"/>
  <c r="X380" i="4"/>
  <c r="X385" i="4"/>
  <c r="X301" i="4"/>
  <c r="X330" i="4"/>
  <c r="X358" i="4"/>
  <c r="X364" i="4"/>
  <c r="X407" i="4"/>
  <c r="X422" i="4"/>
  <c r="X444" i="4"/>
  <c r="X462" i="4"/>
  <c r="X480" i="4"/>
  <c r="X498" i="4"/>
  <c r="X514" i="4"/>
  <c r="X520" i="4"/>
  <c r="X526" i="4"/>
  <c r="X532" i="4"/>
  <c r="X538" i="4"/>
  <c r="X544" i="4"/>
  <c r="X550" i="4"/>
  <c r="X556" i="4"/>
  <c r="X562" i="4"/>
  <c r="X568" i="4"/>
  <c r="X574" i="4"/>
  <c r="X580" i="4"/>
  <c r="X586" i="4"/>
  <c r="X592" i="4"/>
  <c r="X598" i="4"/>
  <c r="X604" i="4"/>
  <c r="X610" i="4"/>
  <c r="X616" i="4"/>
  <c r="X622" i="4"/>
  <c r="X628" i="4"/>
  <c r="X634" i="4"/>
  <c r="X640" i="4"/>
  <c r="X646" i="4"/>
  <c r="X347" i="4"/>
  <c r="X383" i="4"/>
  <c r="X393" i="4"/>
  <c r="X405" i="4"/>
  <c r="X414" i="4"/>
  <c r="X449" i="4"/>
  <c r="X242" i="4"/>
  <c r="X362" i="4"/>
  <c r="X388" i="4"/>
  <c r="X148" i="4"/>
  <c r="X336" i="4"/>
  <c r="X365" i="4"/>
  <c r="X381" i="4"/>
  <c r="X396" i="4"/>
  <c r="X368" i="4"/>
  <c r="X399" i="4"/>
  <c r="X408" i="4"/>
  <c r="X417" i="4"/>
  <c r="X421" i="4"/>
  <c r="X423" i="4"/>
  <c r="X425" i="4"/>
  <c r="X427" i="4"/>
  <c r="X443" i="4"/>
  <c r="X448" i="4"/>
  <c r="X345" i="4"/>
  <c r="X353" i="4"/>
  <c r="X374" i="4"/>
  <c r="X413" i="4"/>
  <c r="X415" i="4"/>
  <c r="X453" i="4"/>
  <c r="X460" i="4"/>
  <c r="X471" i="4"/>
  <c r="X478" i="4"/>
  <c r="X489" i="4"/>
  <c r="X496" i="4"/>
  <c r="X507" i="4"/>
  <c r="X464" i="4"/>
  <c r="X466" i="4"/>
  <c r="X470" i="4"/>
  <c r="X493" i="4"/>
  <c r="X525" i="4"/>
  <c r="X551" i="4"/>
  <c r="X569" i="4"/>
  <c r="X587" i="4"/>
  <c r="X605" i="4"/>
  <c r="X432" i="4"/>
  <c r="X468" i="4"/>
  <c r="X472" i="4"/>
  <c r="X495" i="4"/>
  <c r="X409" i="4"/>
  <c r="X435" i="4"/>
  <c r="X441" i="4"/>
  <c r="X476" i="4"/>
  <c r="X499" i="4"/>
  <c r="X505" i="4"/>
  <c r="X512" i="4"/>
  <c r="X517" i="4"/>
  <c r="X530" i="4"/>
  <c r="X535" i="4"/>
  <c r="X543" i="4"/>
  <c r="X547" i="4"/>
  <c r="X554" i="4"/>
  <c r="X561" i="4"/>
  <c r="X565" i="4"/>
  <c r="X572" i="4"/>
  <c r="X579" i="4"/>
  <c r="X583" i="4"/>
  <c r="X590" i="4"/>
  <c r="X597" i="4"/>
  <c r="X601" i="4"/>
  <c r="X608" i="4"/>
  <c r="X615" i="4"/>
  <c r="X619" i="4"/>
  <c r="X626" i="4"/>
  <c r="X633" i="4"/>
  <c r="X384" i="4"/>
  <c r="X403" i="4"/>
  <c r="X457" i="4"/>
  <c r="X482" i="4"/>
  <c r="X484" i="4"/>
  <c r="X488" i="4"/>
  <c r="X519" i="4"/>
  <c r="X537" i="4"/>
  <c r="X557" i="4"/>
  <c r="X575" i="4"/>
  <c r="X593" i="4"/>
  <c r="X611" i="4"/>
  <c r="X439" i="4"/>
  <c r="X459" i="4"/>
  <c r="X486" i="4"/>
  <c r="X490" i="4"/>
  <c r="X546" i="4"/>
  <c r="X564" i="4"/>
  <c r="X582" i="4"/>
  <c r="X600" i="4"/>
  <c r="X428" i="4"/>
  <c r="X465" i="4"/>
  <c r="X521" i="4"/>
  <c r="X539" i="4"/>
  <c r="X401" i="4"/>
  <c r="X431" i="4"/>
  <c r="X454" i="4"/>
  <c r="X477" i="4"/>
  <c r="X504" i="4"/>
  <c r="X426" i="4"/>
  <c r="X483" i="4"/>
  <c r="X515" i="4"/>
  <c r="X533" i="4"/>
  <c r="X463" i="4"/>
  <c r="X494" i="4"/>
  <c r="X501" i="4"/>
  <c r="X536" i="4"/>
  <c r="X559" i="4"/>
  <c r="X596" i="4"/>
  <c r="X481" i="4"/>
  <c r="X570" i="4"/>
  <c r="X581" i="4"/>
  <c r="X542" i="4"/>
  <c r="X553" i="4"/>
  <c r="X555" i="4"/>
  <c r="X566" i="4"/>
  <c r="X594" i="4"/>
  <c r="X607" i="4"/>
  <c r="X609" i="4"/>
  <c r="X613" i="4"/>
  <c r="X618" i="4"/>
  <c r="X629" i="4"/>
  <c r="X642" i="4"/>
  <c r="X446" i="4"/>
  <c r="X475" i="4"/>
  <c r="X502" i="4"/>
  <c r="X506" i="4"/>
  <c r="X531" i="4"/>
  <c r="X549" i="4"/>
  <c r="X603" i="4"/>
  <c r="X523" i="4"/>
  <c r="X560" i="4"/>
  <c r="X577" i="4"/>
  <c r="X623" i="4"/>
  <c r="X433" i="4"/>
  <c r="X529" i="4"/>
  <c r="X545" i="4"/>
  <c r="X588" i="4"/>
  <c r="X599" i="4"/>
  <c r="X641" i="4"/>
  <c r="X652" i="4"/>
  <c r="X658" i="4"/>
  <c r="X664" i="4"/>
  <c r="X670" i="4"/>
  <c r="X676" i="4"/>
  <c r="X682" i="4"/>
  <c r="X688" i="4"/>
  <c r="X694" i="4"/>
  <c r="X700" i="4"/>
  <c r="X706" i="4"/>
  <c r="X712" i="4"/>
  <c r="X718" i="4"/>
  <c r="X724" i="4"/>
  <c r="X730" i="4"/>
  <c r="X451" i="4"/>
  <c r="X518" i="4"/>
  <c r="X558" i="4"/>
  <c r="X571" i="4"/>
  <c r="X573" i="4"/>
  <c r="X584" i="4"/>
  <c r="X394" i="4"/>
  <c r="X447" i="4"/>
  <c r="X458" i="4"/>
  <c r="X567" i="4"/>
  <c r="X612" i="4"/>
  <c r="X637" i="4"/>
  <c r="X644" i="4"/>
  <c r="X434" i="4"/>
  <c r="X469" i="4"/>
  <c r="X500" i="4"/>
  <c r="X524" i="4"/>
  <c r="X527" i="4"/>
  <c r="X578" i="4"/>
  <c r="X595" i="4"/>
  <c r="X440" i="4"/>
  <c r="X487" i="4"/>
  <c r="X511" i="4"/>
  <c r="X585" i="4"/>
  <c r="X627" i="4"/>
  <c r="X639" i="4"/>
  <c r="X643" i="4"/>
  <c r="X650" i="4"/>
  <c r="X655" i="4"/>
  <c r="X661" i="4"/>
  <c r="X667" i="4"/>
  <c r="X673" i="4"/>
  <c r="X679" i="4"/>
  <c r="X685" i="4"/>
  <c r="X691" i="4"/>
  <c r="X697" i="4"/>
  <c r="X703" i="4"/>
  <c r="X709" i="4"/>
  <c r="X715" i="4"/>
  <c r="X721" i="4"/>
  <c r="X727" i="4"/>
  <c r="X733" i="4"/>
  <c r="X739" i="4"/>
  <c r="X745" i="4"/>
  <c r="X751" i="4"/>
  <c r="X757" i="4"/>
  <c r="X763" i="4"/>
  <c r="X769" i="4"/>
  <c r="X775" i="4"/>
  <c r="X781" i="4"/>
  <c r="X787" i="4"/>
  <c r="X793" i="4"/>
  <c r="X799" i="4"/>
  <c r="X805" i="4"/>
  <c r="X811" i="4"/>
  <c r="X817" i="4"/>
  <c r="X410" i="4"/>
  <c r="X589" i="4"/>
  <c r="X624" i="4"/>
  <c r="X654" i="4"/>
  <c r="X672" i="4"/>
  <c r="X690" i="4"/>
  <c r="X708" i="4"/>
  <c r="X726" i="4"/>
  <c r="X735" i="4"/>
  <c r="X742" i="4"/>
  <c r="X753" i="4"/>
  <c r="X760" i="4"/>
  <c r="X771" i="4"/>
  <c r="X778" i="4"/>
  <c r="X789" i="4"/>
  <c r="X796" i="4"/>
  <c r="X632" i="4"/>
  <c r="X659" i="4"/>
  <c r="X677" i="4"/>
  <c r="X695" i="4"/>
  <c r="X713" i="4"/>
  <c r="X731" i="4"/>
  <c r="X738" i="4"/>
  <c r="X749" i="4"/>
  <c r="X756" i="4"/>
  <c r="X563" i="4"/>
  <c r="X576" i="4"/>
  <c r="X614" i="4"/>
  <c r="X617" i="4"/>
  <c r="X649" i="4"/>
  <c r="X651" i="4"/>
  <c r="X656" i="4"/>
  <c r="X669" i="4"/>
  <c r="X674" i="4"/>
  <c r="X687" i="4"/>
  <c r="X692" i="4"/>
  <c r="X705" i="4"/>
  <c r="X710" i="4"/>
  <c r="X723" i="4"/>
  <c r="X728" i="4"/>
  <c r="X734" i="4"/>
  <c r="X635" i="4"/>
  <c r="X541" i="4"/>
  <c r="X625" i="4"/>
  <c r="X630" i="4"/>
  <c r="X666" i="4"/>
  <c r="X684" i="4"/>
  <c r="X702" i="4"/>
  <c r="X720" i="4"/>
  <c r="X741" i="4"/>
  <c r="X748" i="4"/>
  <c r="X759" i="4"/>
  <c r="X766" i="4"/>
  <c r="X777" i="4"/>
  <c r="X784" i="4"/>
  <c r="X795" i="4"/>
  <c r="X802" i="4"/>
  <c r="X813" i="4"/>
  <c r="X820" i="4"/>
  <c r="X452" i="4"/>
  <c r="X620" i="4"/>
  <c r="X653" i="4"/>
  <c r="X671" i="4"/>
  <c r="X689" i="4"/>
  <c r="X707" i="4"/>
  <c r="X725" i="4"/>
  <c r="X591" i="4"/>
  <c r="X648" i="4"/>
  <c r="X663" i="4"/>
  <c r="X668" i="4"/>
  <c r="X681" i="4"/>
  <c r="X686" i="4"/>
  <c r="X699" i="4"/>
  <c r="X704" i="4"/>
  <c r="X717" i="4"/>
  <c r="X722" i="4"/>
  <c r="X740" i="4"/>
  <c r="X758" i="4"/>
  <c r="X776" i="4"/>
  <c r="X794" i="4"/>
  <c r="X812" i="4"/>
  <c r="X638" i="4"/>
  <c r="X552" i="4"/>
  <c r="X631" i="4"/>
  <c r="X636" i="4"/>
  <c r="X660" i="4"/>
  <c r="X678" i="4"/>
  <c r="X696" i="4"/>
  <c r="X714" i="4"/>
  <c r="X736" i="4"/>
  <c r="X508" i="4"/>
  <c r="X513" i="4"/>
  <c r="X665" i="4"/>
  <c r="X683" i="4"/>
  <c r="X701" i="4"/>
  <c r="X719" i="4"/>
  <c r="X732" i="4"/>
  <c r="X743" i="4"/>
  <c r="X750" i="4"/>
  <c r="X761" i="4"/>
  <c r="X768" i="4"/>
  <c r="X779" i="4"/>
  <c r="X786" i="4"/>
  <c r="X797" i="4"/>
  <c r="X804" i="4"/>
  <c r="X815" i="4"/>
  <c r="X822" i="4"/>
  <c r="X828" i="4"/>
  <c r="X834" i="4"/>
  <c r="X840" i="4"/>
  <c r="X846" i="4"/>
  <c r="X645" i="4"/>
  <c r="X647" i="4"/>
  <c r="X827" i="4"/>
  <c r="X833" i="4"/>
  <c r="X839" i="4"/>
  <c r="X845" i="4"/>
  <c r="X851" i="4"/>
  <c r="X857" i="4"/>
  <c r="X863" i="4"/>
  <c r="X869" i="4"/>
  <c r="X875" i="4"/>
  <c r="X881" i="4"/>
  <c r="X887" i="4"/>
  <c r="X893" i="4"/>
  <c r="X899" i="4"/>
  <c r="X905" i="4"/>
  <c r="X911" i="4"/>
  <c r="X917" i="4"/>
  <c r="X923" i="4"/>
  <c r="X929" i="4"/>
  <c r="X935" i="4"/>
  <c r="X941" i="4"/>
  <c r="X947" i="4"/>
  <c r="X953" i="4"/>
  <c r="X959" i="4"/>
  <c r="AB962" i="4"/>
  <c r="X961" i="4"/>
  <c r="AB958" i="4"/>
  <c r="AB951" i="4"/>
  <c r="X950" i="4"/>
  <c r="AB944" i="4"/>
  <c r="X943" i="4"/>
  <c r="AB940" i="4"/>
  <c r="AB933" i="4"/>
  <c r="X932" i="4"/>
  <c r="AB926" i="4"/>
  <c r="X925" i="4"/>
  <c r="AB922" i="4"/>
  <c r="AB915" i="4"/>
  <c r="X914" i="4"/>
  <c r="AB908" i="4"/>
  <c r="X907" i="4"/>
  <c r="AB904" i="4"/>
  <c r="AB897" i="4"/>
  <c r="X896" i="4"/>
  <c r="AB890" i="4"/>
  <c r="X889" i="4"/>
  <c r="AB886" i="4"/>
  <c r="AB879" i="4"/>
  <c r="X878" i="4"/>
  <c r="AB872" i="4"/>
  <c r="X871" i="4"/>
  <c r="AB868" i="4"/>
  <c r="AB861" i="4"/>
  <c r="X860" i="4"/>
  <c r="AB854" i="4"/>
  <c r="X853" i="4"/>
  <c r="AB818" i="4"/>
  <c r="X809" i="4"/>
  <c r="AB791" i="4"/>
  <c r="X764" i="4"/>
  <c r="X746" i="4"/>
  <c r="X711" i="4"/>
  <c r="X621" i="4"/>
  <c r="AB793" i="4"/>
  <c r="X783" i="4"/>
  <c r="AB766" i="4"/>
  <c r="AB748" i="4"/>
  <c r="X716" i="4"/>
  <c r="AB655" i="4"/>
  <c r="AB650" i="4"/>
  <c r="X954" i="4"/>
  <c r="AB948" i="4"/>
  <c r="X936" i="4"/>
  <c r="AB930" i="4"/>
  <c r="X918" i="4"/>
  <c r="AB912" i="4"/>
  <c r="X900" i="4"/>
  <c r="AB894" i="4"/>
  <c r="X882" i="4"/>
  <c r="AB876" i="4"/>
  <c r="X864" i="4"/>
  <c r="AB858" i="4"/>
  <c r="X850" i="4"/>
  <c r="X844" i="4"/>
  <c r="X838" i="4"/>
  <c r="X830" i="4"/>
  <c r="AB812" i="4"/>
  <c r="AB799" i="4"/>
  <c r="AB758" i="4"/>
  <c r="X675" i="4"/>
  <c r="AB18" i="4"/>
  <c r="AB24" i="4"/>
  <c r="AB30" i="4"/>
  <c r="AB36" i="4"/>
  <c r="AB42" i="4"/>
  <c r="AB48" i="4"/>
  <c r="AB54" i="4"/>
  <c r="AB60" i="4"/>
  <c r="AB66" i="4"/>
  <c r="AB72" i="4"/>
  <c r="AB78" i="4"/>
  <c r="AB84" i="4"/>
  <c r="AB90" i="4"/>
  <c r="AB96" i="4"/>
  <c r="AB102" i="4"/>
  <c r="AB108" i="4"/>
  <c r="AB114" i="4"/>
  <c r="AB17" i="4"/>
  <c r="AB23" i="4"/>
  <c r="AB29" i="4"/>
  <c r="AB35" i="4"/>
  <c r="AB41" i="4"/>
  <c r="AB47" i="4"/>
  <c r="AB53" i="4"/>
  <c r="AB59" i="4"/>
  <c r="AB65" i="4"/>
  <c r="AB16" i="4"/>
  <c r="AB22" i="4"/>
  <c r="AB28" i="4"/>
  <c r="AB34" i="4"/>
  <c r="AB40" i="4"/>
  <c r="AB46" i="4"/>
  <c r="AB52" i="4"/>
  <c r="AB58" i="4"/>
  <c r="AB64" i="4"/>
  <c r="AB70" i="4"/>
  <c r="AB76" i="4"/>
  <c r="AB82" i="4"/>
  <c r="AB88" i="4"/>
  <c r="AB94" i="4"/>
  <c r="AB15" i="4"/>
  <c r="AB21" i="4"/>
  <c r="AB27" i="4"/>
  <c r="AB33" i="4"/>
  <c r="AB39" i="4"/>
  <c r="AB45" i="4"/>
  <c r="AB51" i="4"/>
  <c r="AB57" i="4"/>
  <c r="AB63" i="4"/>
  <c r="AB69" i="4"/>
  <c r="AB75" i="4"/>
  <c r="AB81" i="4"/>
  <c r="AB87" i="4"/>
  <c r="AB93" i="4"/>
  <c r="AB99" i="4"/>
  <c r="AB105" i="4"/>
  <c r="AB111" i="4"/>
  <c r="AB117" i="4"/>
  <c r="AB123" i="4"/>
  <c r="AB129" i="4"/>
  <c r="AB135" i="4"/>
  <c r="AB141" i="4"/>
  <c r="AB20" i="4"/>
  <c r="AB26" i="4"/>
  <c r="AB32" i="4"/>
  <c r="AB38" i="4"/>
  <c r="AB44" i="4"/>
  <c r="AB50" i="4"/>
  <c r="AB56" i="4"/>
  <c r="AB62" i="4"/>
  <c r="AB68" i="4"/>
  <c r="AB74" i="4"/>
  <c r="AB80" i="4"/>
  <c r="AB86" i="4"/>
  <c r="AB92" i="4"/>
  <c r="AB98" i="4"/>
  <c r="AB19" i="4"/>
  <c r="AB25" i="4"/>
  <c r="AB71" i="4"/>
  <c r="AB104" i="4"/>
  <c r="AB106" i="4"/>
  <c r="AB112" i="4"/>
  <c r="AB118" i="4"/>
  <c r="AB121" i="4"/>
  <c r="AB125" i="4"/>
  <c r="AB132" i="4"/>
  <c r="AB136" i="4"/>
  <c r="AB139" i="4"/>
  <c r="AB31" i="4"/>
  <c r="AB37" i="4"/>
  <c r="AB43" i="4"/>
  <c r="AB49" i="4"/>
  <c r="AB55" i="4"/>
  <c r="AB61" i="4"/>
  <c r="AB67" i="4"/>
  <c r="AB100" i="4"/>
  <c r="AB128" i="4"/>
  <c r="AB73" i="4"/>
  <c r="AB134" i="4"/>
  <c r="AB97" i="4"/>
  <c r="AB116" i="4"/>
  <c r="AB126" i="4"/>
  <c r="AB131" i="4"/>
  <c r="AB133" i="4"/>
  <c r="AB138" i="4"/>
  <c r="AB143" i="4"/>
  <c r="AB146" i="4"/>
  <c r="AB149" i="4"/>
  <c r="AB152" i="4"/>
  <c r="AB155" i="4"/>
  <c r="AB158" i="4"/>
  <c r="AB145" i="4"/>
  <c r="AB151" i="4"/>
  <c r="AB157" i="4"/>
  <c r="AB163" i="4"/>
  <c r="AB169" i="4"/>
  <c r="AB175" i="4"/>
  <c r="AB181" i="4"/>
  <c r="AB187" i="4"/>
  <c r="AB193" i="4"/>
  <c r="AB200" i="4"/>
  <c r="AB85" i="4"/>
  <c r="AB127" i="4"/>
  <c r="AB122" i="4"/>
  <c r="AB109" i="4"/>
  <c r="AB119" i="4"/>
  <c r="AB124" i="4"/>
  <c r="AB209" i="4"/>
  <c r="AB77" i="4"/>
  <c r="AB91" i="4"/>
  <c r="AB150" i="4"/>
  <c r="AB162" i="4"/>
  <c r="AB176" i="4"/>
  <c r="AB188" i="4"/>
  <c r="AB203" i="4"/>
  <c r="AB208" i="4"/>
  <c r="AB215" i="4"/>
  <c r="AB222" i="4"/>
  <c r="AB233" i="4"/>
  <c r="AB240" i="4"/>
  <c r="AB251" i="4"/>
  <c r="AB258" i="4"/>
  <c r="AB142" i="4"/>
  <c r="AB180" i="4"/>
  <c r="AB192" i="4"/>
  <c r="AB197" i="4"/>
  <c r="AB210" i="4"/>
  <c r="AB221" i="4"/>
  <c r="AB228" i="4"/>
  <c r="AB239" i="4"/>
  <c r="AB246" i="4"/>
  <c r="AB257" i="4"/>
  <c r="AB79" i="4"/>
  <c r="AB89" i="4"/>
  <c r="AB115" i="4"/>
  <c r="AB120" i="4"/>
  <c r="AB140" i="4"/>
  <c r="AB170" i="4"/>
  <c r="AB182" i="4"/>
  <c r="AB194" i="4"/>
  <c r="AB199" i="4"/>
  <c r="AB213" i="4"/>
  <c r="AB224" i="4"/>
  <c r="AB231" i="4"/>
  <c r="AB242" i="4"/>
  <c r="AB249" i="4"/>
  <c r="AB260" i="4"/>
  <c r="AB113" i="4"/>
  <c r="AB130" i="4"/>
  <c r="AB147" i="4"/>
  <c r="AB177" i="4"/>
  <c r="AB189" i="4"/>
  <c r="AB220" i="4"/>
  <c r="AB238" i="4"/>
  <c r="AB256" i="4"/>
  <c r="AB265" i="4"/>
  <c r="AB156" i="4"/>
  <c r="AB160" i="4"/>
  <c r="AB167" i="4"/>
  <c r="AB174" i="4"/>
  <c r="AB186" i="4"/>
  <c r="AB201" i="4"/>
  <c r="AB206" i="4"/>
  <c r="AB212" i="4"/>
  <c r="AB219" i="4"/>
  <c r="AB230" i="4"/>
  <c r="AB237" i="4"/>
  <c r="AB248" i="4"/>
  <c r="AB255" i="4"/>
  <c r="AB185" i="4"/>
  <c r="AB205" i="4"/>
  <c r="AB225" i="4"/>
  <c r="AB227" i="4"/>
  <c r="AB250" i="4"/>
  <c r="AB252" i="4"/>
  <c r="AB287" i="4"/>
  <c r="AB305" i="4"/>
  <c r="AB323" i="4"/>
  <c r="AB341" i="4"/>
  <c r="AB83" i="4"/>
  <c r="AB183" i="4"/>
  <c r="AB229" i="4"/>
  <c r="AB254" i="4"/>
  <c r="AB283" i="4"/>
  <c r="AB294" i="4"/>
  <c r="AB144" i="4"/>
  <c r="AB165" i="4"/>
  <c r="AB178" i="4"/>
  <c r="AB198" i="4"/>
  <c r="AB262" i="4"/>
  <c r="AB267" i="4"/>
  <c r="AB270" i="4"/>
  <c r="AB273" i="4"/>
  <c r="AB276" i="4"/>
  <c r="AB290" i="4"/>
  <c r="AB101" i="4"/>
  <c r="AB191" i="4"/>
  <c r="AB196" i="4"/>
  <c r="AB235" i="4"/>
  <c r="AB241" i="4"/>
  <c r="AB279" i="4"/>
  <c r="AB286" i="4"/>
  <c r="AB297" i="4"/>
  <c r="AB304" i="4"/>
  <c r="AB153" i="4"/>
  <c r="AB173" i="4"/>
  <c r="AB214" i="4"/>
  <c r="AB216" i="4"/>
  <c r="AB243" i="4"/>
  <c r="AB245" i="4"/>
  <c r="AB264" i="4"/>
  <c r="AB293" i="4"/>
  <c r="AB311" i="4"/>
  <c r="AB329" i="4"/>
  <c r="AB103" i="4"/>
  <c r="AB148" i="4"/>
  <c r="AB154" i="4"/>
  <c r="AB211" i="4"/>
  <c r="AB236" i="4"/>
  <c r="AB263" i="4"/>
  <c r="AB271" i="4"/>
  <c r="AB277" i="4"/>
  <c r="AB288" i="4"/>
  <c r="AB266" i="4"/>
  <c r="AB282" i="4"/>
  <c r="AB284" i="4"/>
  <c r="AB295" i="4"/>
  <c r="AB302" i="4"/>
  <c r="AB309" i="4"/>
  <c r="AB95" i="4"/>
  <c r="AB168" i="4"/>
  <c r="AB195" i="4"/>
  <c r="AB269" i="4"/>
  <c r="AB280" i="4"/>
  <c r="AB306" i="4"/>
  <c r="AB313" i="4"/>
  <c r="AB321" i="4"/>
  <c r="AB326" i="4"/>
  <c r="AB331" i="4"/>
  <c r="AB339" i="4"/>
  <c r="AB345" i="4"/>
  <c r="AB226" i="4"/>
  <c r="AB301" i="4"/>
  <c r="AB318" i="4"/>
  <c r="AB336" i="4"/>
  <c r="AB172" i="4"/>
  <c r="AB179" i="4"/>
  <c r="AB223" i="4"/>
  <c r="AB232" i="4"/>
  <c r="AB274" i="4"/>
  <c r="AB292" i="4"/>
  <c r="AB296" i="4"/>
  <c r="AB303" i="4"/>
  <c r="AB344" i="4"/>
  <c r="AB159" i="4"/>
  <c r="AB190" i="4"/>
  <c r="AB244" i="4"/>
  <c r="AB253" i="4"/>
  <c r="AB259" i="4"/>
  <c r="AB272" i="4"/>
  <c r="AB315" i="4"/>
  <c r="AB325" i="4"/>
  <c r="AB333" i="4"/>
  <c r="AB351" i="4"/>
  <c r="AB357" i="4"/>
  <c r="AB363" i="4"/>
  <c r="AB369" i="4"/>
  <c r="AB166" i="4"/>
  <c r="AB300" i="4"/>
  <c r="AB307" i="4"/>
  <c r="AB317" i="4"/>
  <c r="AB335" i="4"/>
  <c r="AB343" i="4"/>
  <c r="AB184" i="4"/>
  <c r="AB207" i="4"/>
  <c r="AB275" i="4"/>
  <c r="AB322" i="4"/>
  <c r="AB340" i="4"/>
  <c r="AB350" i="4"/>
  <c r="AB107" i="4"/>
  <c r="AB137" i="4"/>
  <c r="AB217" i="4"/>
  <c r="AB202" i="4"/>
  <c r="AB234" i="4"/>
  <c r="AB330" i="4"/>
  <c r="AB380" i="4"/>
  <c r="AB391" i="4"/>
  <c r="AB398" i="4"/>
  <c r="AB402" i="4"/>
  <c r="AB408" i="4"/>
  <c r="AB414" i="4"/>
  <c r="AB420" i="4"/>
  <c r="AB426" i="4"/>
  <c r="AB432" i="4"/>
  <c r="AB438" i="4"/>
  <c r="AB444" i="4"/>
  <c r="AB291" i="4"/>
  <c r="AB316" i="4"/>
  <c r="AB342" i="4"/>
  <c r="AB347" i="4"/>
  <c r="AB359" i="4"/>
  <c r="AB368" i="4"/>
  <c r="AB387" i="4"/>
  <c r="AB171" i="4"/>
  <c r="AB261" i="4"/>
  <c r="AB110" i="4"/>
  <c r="AB281" i="4"/>
  <c r="AB285" i="4"/>
  <c r="AB308" i="4"/>
  <c r="AB328" i="4"/>
  <c r="AB352" i="4"/>
  <c r="AB354" i="4"/>
  <c r="AB370" i="4"/>
  <c r="AB376" i="4"/>
  <c r="AB390" i="4"/>
  <c r="AB204" i="4"/>
  <c r="AB247" i="4"/>
  <c r="AB278" i="4"/>
  <c r="AB314" i="4"/>
  <c r="AB334" i="4"/>
  <c r="AB356" i="4"/>
  <c r="AB365" i="4"/>
  <c r="AB393" i="4"/>
  <c r="AB164" i="4"/>
  <c r="AB320" i="4"/>
  <c r="AB358" i="4"/>
  <c r="AB360" i="4"/>
  <c r="AB372" i="4"/>
  <c r="AB375" i="4"/>
  <c r="AB378" i="4"/>
  <c r="AB396" i="4"/>
  <c r="AB324" i="4"/>
  <c r="AB338" i="4"/>
  <c r="AB348" i="4"/>
  <c r="AB268" i="4"/>
  <c r="AB346" i="4"/>
  <c r="AB349" i="4"/>
  <c r="AB379" i="4"/>
  <c r="AB392" i="4"/>
  <c r="AB394" i="4"/>
  <c r="AB446" i="4"/>
  <c r="AB298" i="4"/>
  <c r="AB319" i="4"/>
  <c r="AB382" i="4"/>
  <c r="AB395" i="4"/>
  <c r="AB403" i="4"/>
  <c r="AB405" i="4"/>
  <c r="AB218" i="4"/>
  <c r="AB327" i="4"/>
  <c r="AB366" i="4"/>
  <c r="AB407" i="4"/>
  <c r="AB416" i="4"/>
  <c r="AB418" i="4"/>
  <c r="AB425" i="4"/>
  <c r="AB434" i="4"/>
  <c r="AB436" i="4"/>
  <c r="AB441" i="4"/>
  <c r="AB451" i="4"/>
  <c r="AB457" i="4"/>
  <c r="AB463" i="4"/>
  <c r="AB469" i="4"/>
  <c r="AB475" i="4"/>
  <c r="AB481" i="4"/>
  <c r="AB487" i="4"/>
  <c r="AB493" i="4"/>
  <c r="AB499" i="4"/>
  <c r="AB505" i="4"/>
  <c r="AB289" i="4"/>
  <c r="AB299" i="4"/>
  <c r="AB406" i="4"/>
  <c r="AB421" i="4"/>
  <c r="AB427" i="4"/>
  <c r="AB443" i="4"/>
  <c r="AB448" i="4"/>
  <c r="AB468" i="4"/>
  <c r="AB486" i="4"/>
  <c r="AB504" i="4"/>
  <c r="AB512" i="4"/>
  <c r="AB518" i="4"/>
  <c r="AB524" i="4"/>
  <c r="AB530" i="4"/>
  <c r="AB536" i="4"/>
  <c r="AB337" i="4"/>
  <c r="AB353" i="4"/>
  <c r="AB384" i="4"/>
  <c r="AB310" i="4"/>
  <c r="AB374" i="4"/>
  <c r="AB161" i="4"/>
  <c r="AB442" i="4"/>
  <c r="AB456" i="4"/>
  <c r="AB474" i="4"/>
  <c r="AB492" i="4"/>
  <c r="AB510" i="4"/>
  <c r="AB516" i="4"/>
  <c r="AB522" i="4"/>
  <c r="AB528" i="4"/>
  <c r="AB534" i="4"/>
  <c r="AB540" i="4"/>
  <c r="AB546" i="4"/>
  <c r="AB552" i="4"/>
  <c r="AB558" i="4"/>
  <c r="AB564" i="4"/>
  <c r="AB570" i="4"/>
  <c r="AB576" i="4"/>
  <c r="AB582" i="4"/>
  <c r="AB588" i="4"/>
  <c r="AB594" i="4"/>
  <c r="AB600" i="4"/>
  <c r="AB606" i="4"/>
  <c r="AB612" i="4"/>
  <c r="AB618" i="4"/>
  <c r="AB624" i="4"/>
  <c r="AB630" i="4"/>
  <c r="AB636" i="4"/>
  <c r="AB642" i="4"/>
  <c r="AB648" i="4"/>
  <c r="AB361" i="4"/>
  <c r="AB377" i="4"/>
  <c r="AB385" i="4"/>
  <c r="AB409" i="4"/>
  <c r="AB424" i="4"/>
  <c r="AB428" i="4"/>
  <c r="AB447" i="4"/>
  <c r="AB364" i="4"/>
  <c r="AB367" i="4"/>
  <c r="AB312" i="4"/>
  <c r="AB355" i="4"/>
  <c r="AB383" i="4"/>
  <c r="AB373" i="4"/>
  <c r="AB433" i="4"/>
  <c r="AB439" i="4"/>
  <c r="AB371" i="4"/>
  <c r="AB399" i="4"/>
  <c r="AB417" i="4"/>
  <c r="AB419" i="4"/>
  <c r="AB423" i="4"/>
  <c r="AB461" i="4"/>
  <c r="AB479" i="4"/>
  <c r="AB497" i="4"/>
  <c r="AB440" i="4"/>
  <c r="AB450" i="4"/>
  <c r="AB454" i="4"/>
  <c r="AB513" i="4"/>
  <c r="AB531" i="4"/>
  <c r="AB545" i="4"/>
  <c r="AB563" i="4"/>
  <c r="AB581" i="4"/>
  <c r="AB599" i="4"/>
  <c r="AB429" i="4"/>
  <c r="AB458" i="4"/>
  <c r="AB460" i="4"/>
  <c r="AB483" i="4"/>
  <c r="AB485" i="4"/>
  <c r="AB489" i="4"/>
  <c r="AB462" i="4"/>
  <c r="AB466" i="4"/>
  <c r="AB491" i="4"/>
  <c r="AB515" i="4"/>
  <c r="AB520" i="4"/>
  <c r="AB533" i="4"/>
  <c r="AB538" i="4"/>
  <c r="AB544" i="4"/>
  <c r="AB555" i="4"/>
  <c r="AB562" i="4"/>
  <c r="AB573" i="4"/>
  <c r="AB580" i="4"/>
  <c r="AB591" i="4"/>
  <c r="AB598" i="4"/>
  <c r="AB609" i="4"/>
  <c r="AB616" i="4"/>
  <c r="AB627" i="4"/>
  <c r="AB412" i="4"/>
  <c r="AB332" i="4"/>
  <c r="AB388" i="4"/>
  <c r="AB415" i="4"/>
  <c r="AB435" i="4"/>
  <c r="AB472" i="4"/>
  <c r="AB525" i="4"/>
  <c r="AB551" i="4"/>
  <c r="AB569" i="4"/>
  <c r="AB587" i="4"/>
  <c r="AB605" i="4"/>
  <c r="AB430" i="4"/>
  <c r="AB453" i="4"/>
  <c r="AB476" i="4"/>
  <c r="AB478" i="4"/>
  <c r="AB501" i="4"/>
  <c r="AB503" i="4"/>
  <c r="AB517" i="4"/>
  <c r="AB535" i="4"/>
  <c r="AB547" i="4"/>
  <c r="AB554" i="4"/>
  <c r="AB565" i="4"/>
  <c r="AB572" i="4"/>
  <c r="AB583" i="4"/>
  <c r="AB590" i="4"/>
  <c r="AB601" i="4"/>
  <c r="AB608" i="4"/>
  <c r="AB389" i="4"/>
  <c r="AB449" i="4"/>
  <c r="AB459" i="4"/>
  <c r="AB482" i="4"/>
  <c r="AB488" i="4"/>
  <c r="AB509" i="4"/>
  <c r="AB410" i="4"/>
  <c r="AB413" i="4"/>
  <c r="AB422" i="4"/>
  <c r="AB397" i="4"/>
  <c r="AB404" i="4"/>
  <c r="AB465" i="4"/>
  <c r="AB467" i="4"/>
  <c r="AB471" i="4"/>
  <c r="AB494" i="4"/>
  <c r="AB496" i="4"/>
  <c r="AB511" i="4"/>
  <c r="AB529" i="4"/>
  <c r="AB542" i="4"/>
  <c r="AB411" i="4"/>
  <c r="AB431" i="4"/>
  <c r="AB437" i="4"/>
  <c r="AB445" i="4"/>
  <c r="AB452" i="4"/>
  <c r="AB477" i="4"/>
  <c r="AB500" i="4"/>
  <c r="AB506" i="4"/>
  <c r="AB470" i="4"/>
  <c r="AB508" i="4"/>
  <c r="AB541" i="4"/>
  <c r="AB548" i="4"/>
  <c r="AB561" i="4"/>
  <c r="AB602" i="4"/>
  <c r="AB625" i="4"/>
  <c r="AB362" i="4"/>
  <c r="AB401" i="4"/>
  <c r="AB484" i="4"/>
  <c r="AB498" i="4"/>
  <c r="AB589" i="4"/>
  <c r="AB514" i="4"/>
  <c r="AB557" i="4"/>
  <c r="AB559" i="4"/>
  <c r="AB574" i="4"/>
  <c r="AB585" i="4"/>
  <c r="AB596" i="4"/>
  <c r="AB611" i="4"/>
  <c r="AB386" i="4"/>
  <c r="AB539" i="4"/>
  <c r="AB568" i="4"/>
  <c r="AB381" i="4"/>
  <c r="AB495" i="4"/>
  <c r="AB566" i="4"/>
  <c r="AB579" i="4"/>
  <c r="AB621" i="4"/>
  <c r="AB464" i="4"/>
  <c r="AB502" i="4"/>
  <c r="AB537" i="4"/>
  <c r="AB553" i="4"/>
  <c r="AB607" i="4"/>
  <c r="AB613" i="4"/>
  <c r="AB629" i="4"/>
  <c r="AB635" i="4"/>
  <c r="AB654" i="4"/>
  <c r="AB660" i="4"/>
  <c r="AB666" i="4"/>
  <c r="AB672" i="4"/>
  <c r="AB678" i="4"/>
  <c r="AB684" i="4"/>
  <c r="AB690" i="4"/>
  <c r="AB696" i="4"/>
  <c r="AB702" i="4"/>
  <c r="AB708" i="4"/>
  <c r="AB714" i="4"/>
  <c r="AB720" i="4"/>
  <c r="AB726" i="4"/>
  <c r="AB523" i="4"/>
  <c r="AB526" i="4"/>
  <c r="AB549" i="4"/>
  <c r="AB560" i="4"/>
  <c r="AB575" i="4"/>
  <c r="AB577" i="4"/>
  <c r="AB592" i="4"/>
  <c r="AB586" i="4"/>
  <c r="AB615" i="4"/>
  <c r="AB626" i="4"/>
  <c r="AB634" i="4"/>
  <c r="AB645" i="4"/>
  <c r="AB507" i="4"/>
  <c r="AB532" i="4"/>
  <c r="AB584" i="4"/>
  <c r="AB597" i="4"/>
  <c r="AB473" i="4"/>
  <c r="AB480" i="4"/>
  <c r="AB490" i="4"/>
  <c r="AB519" i="4"/>
  <c r="AB550" i="4"/>
  <c r="AB604" i="4"/>
  <c r="AB614" i="4"/>
  <c r="AB622" i="4"/>
  <c r="AB633" i="4"/>
  <c r="AB640" i="4"/>
  <c r="AB651" i="4"/>
  <c r="AB657" i="4"/>
  <c r="AB663" i="4"/>
  <c r="AB669" i="4"/>
  <c r="AB675" i="4"/>
  <c r="AB681" i="4"/>
  <c r="AB687" i="4"/>
  <c r="AB693" i="4"/>
  <c r="AB699" i="4"/>
  <c r="AB705" i="4"/>
  <c r="AB711" i="4"/>
  <c r="AB717" i="4"/>
  <c r="AB723" i="4"/>
  <c r="AB729" i="4"/>
  <c r="AB735" i="4"/>
  <c r="AB741" i="4"/>
  <c r="AB747" i="4"/>
  <c r="AB753" i="4"/>
  <c r="AB759" i="4"/>
  <c r="AB765" i="4"/>
  <c r="AB771" i="4"/>
  <c r="AB777" i="4"/>
  <c r="AB783" i="4"/>
  <c r="AB789" i="4"/>
  <c r="AB795" i="4"/>
  <c r="AB801" i="4"/>
  <c r="AB807" i="4"/>
  <c r="AB813" i="4"/>
  <c r="AB819" i="4"/>
  <c r="AB593" i="4"/>
  <c r="AB652" i="4"/>
  <c r="AB665" i="4"/>
  <c r="AB670" i="4"/>
  <c r="AB683" i="4"/>
  <c r="AB688" i="4"/>
  <c r="AB701" i="4"/>
  <c r="AB706" i="4"/>
  <c r="AB719" i="4"/>
  <c r="AB724" i="4"/>
  <c r="AB732" i="4"/>
  <c r="AB736" i="4"/>
  <c r="AB743" i="4"/>
  <c r="AB750" i="4"/>
  <c r="AB754" i="4"/>
  <c r="AB761" i="4"/>
  <c r="AB768" i="4"/>
  <c r="AB772" i="4"/>
  <c r="AB779" i="4"/>
  <c r="AB786" i="4"/>
  <c r="AB790" i="4"/>
  <c r="AB797" i="4"/>
  <c r="AB455" i="4"/>
  <c r="AB610" i="4"/>
  <c r="AB662" i="4"/>
  <c r="AB680" i="4"/>
  <c r="AB698" i="4"/>
  <c r="AB716" i="4"/>
  <c r="AB739" i="4"/>
  <c r="AB757" i="4"/>
  <c r="AB571" i="4"/>
  <c r="AB603" i="4"/>
  <c r="AB639" i="4"/>
  <c r="AB641" i="4"/>
  <c r="AB643" i="4"/>
  <c r="AB647" i="4"/>
  <c r="AB667" i="4"/>
  <c r="AB685" i="4"/>
  <c r="AB703" i="4"/>
  <c r="AB721" i="4"/>
  <c r="AB400" i="4"/>
  <c r="AB567" i="4"/>
  <c r="AB619" i="4"/>
  <c r="AB632" i="4"/>
  <c r="AB521" i="4"/>
  <c r="AB637" i="4"/>
  <c r="AB649" i="4"/>
  <c r="AB659" i="4"/>
  <c r="AB664" i="4"/>
  <c r="AB677" i="4"/>
  <c r="AB682" i="4"/>
  <c r="AB695" i="4"/>
  <c r="AB700" i="4"/>
  <c r="AB713" i="4"/>
  <c r="AB718" i="4"/>
  <c r="AB731" i="4"/>
  <c r="AB738" i="4"/>
  <c r="AB742" i="4"/>
  <c r="AB749" i="4"/>
  <c r="AB756" i="4"/>
  <c r="AB760" i="4"/>
  <c r="AB767" i="4"/>
  <c r="AB774" i="4"/>
  <c r="AB778" i="4"/>
  <c r="AB785" i="4"/>
  <c r="AB792" i="4"/>
  <c r="AB796" i="4"/>
  <c r="AB803" i="4"/>
  <c r="AB810" i="4"/>
  <c r="AB814" i="4"/>
  <c r="AB821" i="4"/>
  <c r="AB595" i="4"/>
  <c r="AB617" i="4"/>
  <c r="AB656" i="4"/>
  <c r="AB674" i="4"/>
  <c r="AB692" i="4"/>
  <c r="AB710" i="4"/>
  <c r="AB728" i="4"/>
  <c r="AB527" i="4"/>
  <c r="AB661" i="4"/>
  <c r="AB679" i="4"/>
  <c r="AB697" i="4"/>
  <c r="AB715" i="4"/>
  <c r="AB734" i="4"/>
  <c r="AB752" i="4"/>
  <c r="AB770" i="4"/>
  <c r="AB788" i="4"/>
  <c r="AB806" i="4"/>
  <c r="AB620" i="4"/>
  <c r="AB628" i="4"/>
  <c r="AB646" i="4"/>
  <c r="AB578" i="4"/>
  <c r="AB623" i="4"/>
  <c r="AB644" i="4"/>
  <c r="AB653" i="4"/>
  <c r="AB658" i="4"/>
  <c r="AB671" i="4"/>
  <c r="AB676" i="4"/>
  <c r="AB689" i="4"/>
  <c r="AB694" i="4"/>
  <c r="AB707" i="4"/>
  <c r="AB712" i="4"/>
  <c r="AB725" i="4"/>
  <c r="AB730" i="4"/>
  <c r="AB737" i="4"/>
  <c r="AB744" i="4"/>
  <c r="AB556" i="4"/>
  <c r="AB638" i="4"/>
  <c r="AB668" i="4"/>
  <c r="AB686" i="4"/>
  <c r="AB704" i="4"/>
  <c r="AB722" i="4"/>
  <c r="AB733" i="4"/>
  <c r="AB751" i="4"/>
  <c r="AB769" i="4"/>
  <c r="AB787" i="4"/>
  <c r="AB805" i="4"/>
  <c r="AB824" i="4"/>
  <c r="AB830" i="4"/>
  <c r="AB836" i="4"/>
  <c r="AB842" i="4"/>
  <c r="AB848" i="4"/>
  <c r="AB631" i="4"/>
  <c r="AB823" i="4"/>
  <c r="AB829" i="4"/>
  <c r="AB835" i="4"/>
  <c r="AB841" i="4"/>
  <c r="AB847" i="4"/>
  <c r="AB853" i="4"/>
  <c r="AB859" i="4"/>
  <c r="AB865" i="4"/>
  <c r="AB871" i="4"/>
  <c r="AB877" i="4"/>
  <c r="AB883" i="4"/>
  <c r="AB889" i="4"/>
  <c r="AB895" i="4"/>
  <c r="AB901" i="4"/>
  <c r="AB907" i="4"/>
  <c r="AB913" i="4"/>
  <c r="AB919" i="4"/>
  <c r="AB925" i="4"/>
  <c r="AB931" i="4"/>
  <c r="AB937" i="4"/>
  <c r="AB943" i="4"/>
  <c r="AB949" i="4"/>
  <c r="AB955" i="4"/>
  <c r="AB961" i="4"/>
  <c r="AB14" i="4"/>
  <c r="X12" i="4"/>
  <c r="AB8" i="4"/>
  <c r="X6" i="4"/>
  <c r="AB998" i="4"/>
  <c r="X996" i="4"/>
  <c r="AB992" i="4"/>
  <c r="X990" i="4"/>
  <c r="AB986" i="4"/>
  <c r="X984" i="4"/>
  <c r="AB980" i="4"/>
  <c r="X978" i="4"/>
  <c r="AB974" i="4"/>
  <c r="X972" i="4"/>
  <c r="AB968" i="4"/>
  <c r="X966" i="4"/>
  <c r="AB959" i="4"/>
  <c r="X958" i="4"/>
  <c r="X951" i="4"/>
  <c r="AB941" i="4"/>
  <c r="X940" i="4"/>
  <c r="X933" i="4"/>
  <c r="AB923" i="4"/>
  <c r="X922" i="4"/>
  <c r="X915" i="4"/>
  <c r="AB905" i="4"/>
  <c r="X904" i="4"/>
  <c r="X897" i="4"/>
  <c r="AB887" i="4"/>
  <c r="X886" i="4"/>
  <c r="X879" i="4"/>
  <c r="AB869" i="4"/>
  <c r="X868" i="4"/>
  <c r="X861" i="4"/>
  <c r="AB851" i="4"/>
  <c r="AB845" i="4"/>
  <c r="AB839" i="4"/>
  <c r="AB833" i="4"/>
  <c r="AB828" i="4"/>
  <c r="X825" i="4"/>
  <c r="X818" i="4"/>
  <c r="X816" i="4"/>
  <c r="X791" i="4"/>
  <c r="X785" i="4"/>
  <c r="AB776" i="4"/>
  <c r="AB763" i="4"/>
  <c r="X680" i="4"/>
  <c r="AB866" i="4"/>
  <c r="X865" i="4"/>
  <c r="AB862" i="4"/>
  <c r="AB855" i="4"/>
  <c r="X854" i="4"/>
  <c r="X814" i="4"/>
  <c r="AB808" i="4"/>
  <c r="X803" i="4"/>
  <c r="X801" i="4"/>
  <c r="X772" i="4"/>
  <c r="AB755" i="4"/>
  <c r="AB709" i="4"/>
  <c r="X5" i="4"/>
  <c r="X13" i="4"/>
  <c r="AB9" i="4"/>
  <c r="X7" i="4"/>
  <c r="AB999" i="4"/>
  <c r="X997" i="4"/>
  <c r="AB993" i="4"/>
  <c r="X991" i="4"/>
  <c r="AB987" i="4"/>
  <c r="X985" i="4"/>
  <c r="AB981" i="4"/>
  <c r="X979" i="4"/>
  <c r="AB975" i="4"/>
  <c r="X973" i="4"/>
  <c r="AB969" i="4"/>
  <c r="X967" i="4"/>
  <c r="X848" i="4"/>
  <c r="X842" i="4"/>
  <c r="X836" i="4"/>
  <c r="AB831" i="4"/>
  <c r="X810" i="4"/>
  <c r="AB784" i="4"/>
  <c r="AB782" i="4"/>
  <c r="AB780" i="4"/>
  <c r="X774" i="4"/>
  <c r="X729" i="4"/>
  <c r="X952" i="4"/>
  <c r="X945" i="4"/>
  <c r="AB935" i="4"/>
  <c r="X934" i="4"/>
  <c r="X927" i="4"/>
  <c r="AB917" i="4"/>
  <c r="X916" i="4"/>
  <c r="X909" i="4"/>
  <c r="AB899" i="4"/>
  <c r="X898" i="4"/>
  <c r="X891" i="4"/>
  <c r="AB881" i="4"/>
  <c r="X880" i="4"/>
  <c r="X873" i="4"/>
  <c r="AB863" i="4"/>
  <c r="X862" i="4"/>
  <c r="X855" i="4"/>
  <c r="AB846" i="4"/>
  <c r="AB840" i="4"/>
  <c r="AB834" i="4"/>
  <c r="X831" i="4"/>
  <c r="AB815" i="4"/>
  <c r="AB802" i="4"/>
  <c r="AB794" i="4"/>
  <c r="X780" i="4"/>
  <c r="X765" i="4"/>
  <c r="X747" i="4"/>
  <c r="X693" i="4"/>
  <c r="X602" i="4"/>
  <c r="T8" i="2"/>
  <c r="T9" i="2"/>
  <c r="S24" i="2"/>
  <c r="S25" i="2" s="1"/>
  <c r="S26" i="2" s="1"/>
  <c r="S27" i="2" s="1"/>
  <c r="T23" i="2"/>
  <c r="T12" i="2"/>
  <c r="T22" i="2"/>
  <c r="T17" i="2"/>
  <c r="T16" i="2"/>
  <c r="T21" i="2"/>
  <c r="T20" i="2"/>
  <c r="T15" i="2"/>
  <c r="T11" i="2"/>
  <c r="T10" i="2"/>
  <c r="T19" i="2"/>
  <c r="T18" i="2"/>
  <c r="T13" i="2"/>
  <c r="T14" i="2"/>
  <c r="T7" i="2"/>
  <c r="T26" i="2" l="1"/>
  <c r="T24" i="2"/>
  <c r="T25" i="2"/>
  <c r="S28" i="2"/>
  <c r="T27" i="2"/>
  <c r="S29" i="2" l="1"/>
  <c r="T28" i="2"/>
  <c r="S30" i="2" l="1"/>
  <c r="T29" i="2"/>
  <c r="S31" i="2" l="1"/>
  <c r="T30" i="2"/>
  <c r="S32" i="2" l="1"/>
  <c r="T31" i="2"/>
  <c r="S33" i="2" l="1"/>
  <c r="T32" i="2"/>
  <c r="S34" i="2" l="1"/>
  <c r="T33" i="2"/>
  <c r="S35" i="2" l="1"/>
  <c r="T34" i="2"/>
  <c r="S36" i="2" l="1"/>
  <c r="T35" i="2"/>
  <c r="S37" i="2" l="1"/>
  <c r="T36" i="2"/>
  <c r="S38" i="2" l="1"/>
  <c r="T37" i="2"/>
  <c r="S39" i="2" l="1"/>
  <c r="T38" i="2"/>
  <c r="S40" i="2" l="1"/>
  <c r="T39" i="2"/>
  <c r="T40" i="2" l="1"/>
  <c r="S41" i="2"/>
  <c r="S42" i="2" l="1"/>
  <c r="T41" i="2"/>
  <c r="S43" i="2" l="1"/>
  <c r="T42" i="2"/>
  <c r="S44" i="2" l="1"/>
  <c r="T43" i="2"/>
  <c r="S45" i="2" l="1"/>
  <c r="T44" i="2"/>
  <c r="S46" i="2" l="1"/>
  <c r="T45" i="2"/>
  <c r="S47" i="2" l="1"/>
  <c r="T46" i="2"/>
  <c r="S48" i="2" l="1"/>
  <c r="T47" i="2"/>
  <c r="S49" i="2" l="1"/>
  <c r="T48" i="2"/>
  <c r="S50" i="2" l="1"/>
  <c r="T49" i="2"/>
  <c r="S51" i="2" l="1"/>
  <c r="T50" i="2"/>
  <c r="S52" i="2" l="1"/>
  <c r="T51" i="2"/>
  <c r="S53" i="2" l="1"/>
  <c r="T52" i="2"/>
  <c r="S54" i="2" l="1"/>
  <c r="T53" i="2"/>
  <c r="S55" i="2" l="1"/>
  <c r="T54" i="2"/>
  <c r="S56" i="2" l="1"/>
  <c r="T55" i="2"/>
  <c r="S57" i="2" l="1"/>
  <c r="T56" i="2"/>
  <c r="S58" i="2" l="1"/>
  <c r="T57" i="2"/>
  <c r="S59" i="2" l="1"/>
  <c r="T58" i="2"/>
  <c r="S60" i="2" l="1"/>
  <c r="T59" i="2"/>
  <c r="S61" i="2" l="1"/>
  <c r="T60" i="2"/>
  <c r="S62" i="2" l="1"/>
  <c r="T61" i="2"/>
  <c r="S63" i="2" l="1"/>
  <c r="T62" i="2"/>
  <c r="S64" i="2" l="1"/>
  <c r="T63" i="2"/>
  <c r="T64" i="2" l="1"/>
  <c r="S65" i="2"/>
  <c r="S66" i="2" l="1"/>
  <c r="T65" i="2"/>
  <c r="S67" i="2" l="1"/>
  <c r="T66" i="2"/>
  <c r="S68" i="2" l="1"/>
  <c r="T67" i="2"/>
  <c r="S69" i="2" l="1"/>
  <c r="T68" i="2"/>
  <c r="S70" i="2" l="1"/>
  <c r="T69" i="2"/>
  <c r="S71" i="2" l="1"/>
  <c r="T70" i="2"/>
  <c r="S72" i="2" l="1"/>
  <c r="T71" i="2"/>
  <c r="S73" i="2" l="1"/>
  <c r="T72" i="2"/>
  <c r="S74" i="2" l="1"/>
  <c r="T73" i="2"/>
  <c r="S75" i="2" l="1"/>
  <c r="T74" i="2"/>
  <c r="S76" i="2" l="1"/>
  <c r="T75" i="2"/>
  <c r="S77" i="2" l="1"/>
  <c r="T76" i="2"/>
  <c r="S78" i="2" l="1"/>
  <c r="T77" i="2"/>
  <c r="S79" i="2" l="1"/>
  <c r="T78" i="2"/>
  <c r="S80" i="2" l="1"/>
  <c r="T79" i="2"/>
  <c r="S81" i="2" l="1"/>
  <c r="T80" i="2"/>
  <c r="S82" i="2" l="1"/>
  <c r="T81" i="2"/>
  <c r="T82" i="2" l="1"/>
  <c r="S83" i="2"/>
  <c r="S84" i="2" l="1"/>
  <c r="T83" i="2"/>
  <c r="S85" i="2" l="1"/>
  <c r="T84" i="2"/>
  <c r="S86" i="2" l="1"/>
  <c r="T85" i="2"/>
  <c r="S87" i="2" l="1"/>
  <c r="T86" i="2"/>
  <c r="S88" i="2" l="1"/>
  <c r="T87" i="2"/>
  <c r="S89" i="2" l="1"/>
  <c r="T88" i="2"/>
  <c r="S90" i="2" l="1"/>
  <c r="T89" i="2"/>
  <c r="S91" i="2" l="1"/>
  <c r="T90" i="2"/>
  <c r="S92" i="2" l="1"/>
  <c r="T91" i="2"/>
  <c r="S93" i="2" l="1"/>
  <c r="T92" i="2"/>
  <c r="S94" i="2" l="1"/>
  <c r="T93" i="2"/>
  <c r="S95" i="2" l="1"/>
  <c r="T94" i="2"/>
  <c r="S96" i="2" l="1"/>
  <c r="T95" i="2"/>
  <c r="S97" i="2" l="1"/>
  <c r="T96" i="2"/>
  <c r="S98" i="2" l="1"/>
  <c r="T97" i="2"/>
  <c r="S99" i="2" l="1"/>
  <c r="T98" i="2"/>
  <c r="S100" i="2" l="1"/>
  <c r="T99" i="2"/>
  <c r="T100" i="2" l="1"/>
  <c r="S101" i="2"/>
  <c r="S102" i="2" l="1"/>
  <c r="T101" i="2"/>
  <c r="S103" i="2" l="1"/>
  <c r="T102" i="2"/>
  <c r="S104" i="2" l="1"/>
  <c r="T103" i="2"/>
  <c r="S105" i="2" l="1"/>
  <c r="T104" i="2"/>
  <c r="S106" i="2" l="1"/>
  <c r="T105" i="2"/>
  <c r="S107" i="2" l="1"/>
  <c r="T106" i="2"/>
  <c r="S108" i="2" l="1"/>
  <c r="T107" i="2"/>
  <c r="S109" i="2" l="1"/>
  <c r="T108" i="2"/>
  <c r="S110" i="2" l="1"/>
  <c r="T109" i="2"/>
  <c r="S111" i="2" l="1"/>
  <c r="T110" i="2"/>
  <c r="T111" i="2" l="1"/>
  <c r="S112" i="2"/>
  <c r="S113" i="2" l="1"/>
  <c r="T112" i="2"/>
  <c r="S114" i="2" l="1"/>
  <c r="T113" i="2"/>
  <c r="S115" i="2" l="1"/>
  <c r="T114" i="2"/>
  <c r="S116" i="2" l="1"/>
  <c r="T115" i="2"/>
  <c r="S117" i="2" l="1"/>
  <c r="T116" i="2"/>
  <c r="S118" i="2" l="1"/>
  <c r="T117" i="2"/>
  <c r="S119" i="2" l="1"/>
  <c r="T118" i="2"/>
  <c r="S120" i="2" l="1"/>
  <c r="T119" i="2"/>
  <c r="S121" i="2" l="1"/>
  <c r="T120" i="2"/>
  <c r="S122" i="2" l="1"/>
  <c r="T121" i="2"/>
  <c r="S123" i="2" l="1"/>
  <c r="T122" i="2"/>
  <c r="T123" i="2" l="1"/>
  <c r="S124" i="2"/>
  <c r="S125" i="2" l="1"/>
  <c r="T124" i="2"/>
  <c r="S126" i="2" l="1"/>
  <c r="T125" i="2"/>
  <c r="S127" i="2" l="1"/>
  <c r="T126" i="2"/>
  <c r="S128" i="2" l="1"/>
  <c r="T127" i="2"/>
  <c r="S129" i="2" l="1"/>
  <c r="T128" i="2"/>
  <c r="S130" i="2" l="1"/>
  <c r="T129" i="2"/>
  <c r="S131" i="2" l="1"/>
  <c r="T130" i="2"/>
  <c r="S132" i="2" l="1"/>
  <c r="T131" i="2"/>
  <c r="S133" i="2" l="1"/>
  <c r="T132" i="2"/>
  <c r="S134" i="2" l="1"/>
  <c r="T133" i="2"/>
  <c r="S135" i="2" l="1"/>
  <c r="T134" i="2"/>
  <c r="S136" i="2" l="1"/>
  <c r="T135" i="2"/>
  <c r="S137" i="2" l="1"/>
  <c r="T136" i="2"/>
  <c r="S138" i="2" l="1"/>
  <c r="T137" i="2"/>
  <c r="S139" i="2" l="1"/>
  <c r="T138" i="2"/>
  <c r="S140" i="2" l="1"/>
  <c r="T139" i="2"/>
  <c r="S141" i="2" l="1"/>
  <c r="T140" i="2"/>
  <c r="S142" i="2" l="1"/>
  <c r="T141" i="2"/>
  <c r="S143" i="2" l="1"/>
  <c r="T142" i="2"/>
  <c r="S144" i="2" l="1"/>
  <c r="T143" i="2"/>
  <c r="S145" i="2" l="1"/>
  <c r="T144" i="2"/>
  <c r="S146" i="2" l="1"/>
  <c r="T145" i="2"/>
  <c r="S147" i="2" l="1"/>
  <c r="T146" i="2"/>
  <c r="S148" i="2" l="1"/>
  <c r="T147" i="2"/>
  <c r="T148" i="2" l="1"/>
  <c r="S149" i="2"/>
  <c r="T149" i="2" l="1"/>
  <c r="S150" i="2"/>
  <c r="S151" i="2" l="1"/>
  <c r="T150" i="2"/>
  <c r="S152" i="2" l="1"/>
  <c r="T151" i="2"/>
  <c r="S153" i="2" l="1"/>
  <c r="T152" i="2"/>
  <c r="S154" i="2" l="1"/>
  <c r="T153" i="2"/>
  <c r="S155" i="2" l="1"/>
  <c r="T154" i="2"/>
  <c r="S156" i="2" l="1"/>
  <c r="T155" i="2"/>
  <c r="S157" i="2" l="1"/>
  <c r="T156" i="2"/>
  <c r="S158" i="2" l="1"/>
  <c r="T157" i="2"/>
  <c r="S159" i="2" l="1"/>
  <c r="T158" i="2"/>
  <c r="S160" i="2" l="1"/>
  <c r="T159" i="2"/>
  <c r="S161" i="2" l="1"/>
  <c r="T160" i="2"/>
  <c r="T161" i="2" l="1"/>
  <c r="S162" i="2"/>
  <c r="S163" i="2" l="1"/>
  <c r="T162" i="2"/>
  <c r="S164" i="2" l="1"/>
  <c r="T163" i="2"/>
  <c r="S165" i="2" l="1"/>
  <c r="T164" i="2"/>
  <c r="S166" i="2" l="1"/>
  <c r="T165" i="2"/>
  <c r="S167" i="2" l="1"/>
  <c r="T166" i="2"/>
  <c r="S168" i="2" l="1"/>
  <c r="T167" i="2"/>
  <c r="S169" i="2" l="1"/>
  <c r="T168" i="2"/>
  <c r="S170" i="2" l="1"/>
  <c r="T169" i="2"/>
  <c r="S171" i="2" l="1"/>
  <c r="T170" i="2"/>
  <c r="S172" i="2" l="1"/>
  <c r="T171" i="2"/>
  <c r="S173" i="2" l="1"/>
  <c r="T172" i="2"/>
  <c r="S174" i="2" l="1"/>
  <c r="T173" i="2"/>
  <c r="S175" i="2" l="1"/>
  <c r="T174" i="2"/>
  <c r="S176" i="2" l="1"/>
  <c r="T175" i="2"/>
  <c r="S177" i="2" l="1"/>
  <c r="T176" i="2"/>
  <c r="S178" i="2" l="1"/>
  <c r="T177" i="2"/>
  <c r="S179" i="2" l="1"/>
  <c r="T178" i="2"/>
  <c r="S180" i="2" l="1"/>
  <c r="T179" i="2"/>
  <c r="S181" i="2" l="1"/>
  <c r="T180" i="2"/>
  <c r="S182" i="2" l="1"/>
  <c r="T181" i="2"/>
  <c r="S183" i="2" l="1"/>
  <c r="T182" i="2"/>
  <c r="S184" i="2" l="1"/>
  <c r="T183" i="2"/>
  <c r="S185" i="2" l="1"/>
  <c r="T184" i="2"/>
  <c r="S186" i="2" l="1"/>
  <c r="T185" i="2"/>
  <c r="S187" i="2" l="1"/>
  <c r="T186" i="2"/>
  <c r="S188" i="2" l="1"/>
  <c r="T187" i="2"/>
  <c r="S189" i="2" l="1"/>
  <c r="T188" i="2"/>
  <c r="S190" i="2" l="1"/>
  <c r="T189" i="2"/>
  <c r="S191" i="2" l="1"/>
  <c r="T190" i="2"/>
  <c r="S192" i="2" l="1"/>
  <c r="T191" i="2"/>
  <c r="S193" i="2" l="1"/>
  <c r="T192" i="2"/>
  <c r="S194" i="2" l="1"/>
  <c r="T193" i="2"/>
  <c r="S195" i="2" l="1"/>
  <c r="T194" i="2"/>
  <c r="S196" i="2" l="1"/>
  <c r="T195" i="2"/>
  <c r="S197" i="2" l="1"/>
  <c r="T196" i="2"/>
  <c r="S198" i="2" l="1"/>
  <c r="T197" i="2"/>
  <c r="S199" i="2" l="1"/>
  <c r="T198" i="2"/>
  <c r="S200" i="2" l="1"/>
  <c r="T199" i="2"/>
  <c r="S201" i="2" l="1"/>
  <c r="T200" i="2"/>
  <c r="S202" i="2" l="1"/>
  <c r="T201" i="2"/>
  <c r="S203" i="2" l="1"/>
  <c r="T202" i="2"/>
  <c r="S204" i="2" l="1"/>
  <c r="T203" i="2"/>
  <c r="S205" i="2" l="1"/>
  <c r="T204" i="2"/>
  <c r="S206" i="2" l="1"/>
  <c r="T205" i="2"/>
  <c r="S207" i="2" l="1"/>
  <c r="T206" i="2"/>
  <c r="S208" i="2" l="1"/>
  <c r="T207" i="2"/>
  <c r="S209" i="2" l="1"/>
  <c r="T208" i="2"/>
  <c r="S210" i="2" l="1"/>
  <c r="T209" i="2"/>
  <c r="S211" i="2" l="1"/>
  <c r="T210" i="2"/>
  <c r="S212" i="2" l="1"/>
  <c r="T211" i="2"/>
  <c r="S213" i="2" l="1"/>
  <c r="T212" i="2"/>
  <c r="S214" i="2" l="1"/>
  <c r="T213" i="2"/>
  <c r="S215" i="2" l="1"/>
  <c r="T214" i="2"/>
  <c r="S216" i="2" l="1"/>
  <c r="T215" i="2"/>
  <c r="S217" i="2" l="1"/>
  <c r="T216" i="2"/>
  <c r="S218" i="2" l="1"/>
  <c r="T217" i="2"/>
  <c r="S219" i="2" l="1"/>
  <c r="T218" i="2"/>
  <c r="S220" i="2" l="1"/>
  <c r="T219" i="2"/>
  <c r="S221" i="2" l="1"/>
  <c r="T220" i="2"/>
  <c r="S222" i="2" l="1"/>
  <c r="T221" i="2"/>
  <c r="S223" i="2" l="1"/>
  <c r="T222" i="2"/>
  <c r="S224" i="2" l="1"/>
  <c r="T223" i="2"/>
  <c r="S225" i="2" l="1"/>
  <c r="T224" i="2"/>
  <c r="T225" i="2" l="1"/>
  <c r="S226" i="2"/>
  <c r="S227" i="2" l="1"/>
  <c r="T226" i="2"/>
  <c r="S228" i="2" l="1"/>
  <c r="T227" i="2"/>
  <c r="S229" i="2" l="1"/>
  <c r="T228" i="2"/>
  <c r="S230" i="2" l="1"/>
  <c r="T229" i="2"/>
  <c r="S231" i="2" l="1"/>
  <c r="T230" i="2"/>
  <c r="T231" i="2" l="1"/>
  <c r="S232" i="2"/>
  <c r="S233" i="2" l="1"/>
  <c r="T232" i="2"/>
  <c r="S234" i="2" l="1"/>
  <c r="T233" i="2"/>
  <c r="S235" i="2" l="1"/>
  <c r="T234" i="2"/>
  <c r="S236" i="2" l="1"/>
  <c r="T235" i="2"/>
  <c r="S237" i="2" l="1"/>
  <c r="T237" i="2" s="1"/>
  <c r="T236" i="2"/>
</calcChain>
</file>

<file path=xl/sharedStrings.xml><?xml version="1.0" encoding="utf-8"?>
<sst xmlns="http://schemas.openxmlformats.org/spreadsheetml/2006/main" count="391" uniqueCount="155">
  <si>
    <t>identifier</t>
  </si>
  <si>
    <t>client name</t>
  </si>
  <si>
    <t>priority</t>
  </si>
  <si>
    <t>deadline</t>
  </si>
  <si>
    <t>status</t>
  </si>
  <si>
    <t>comment</t>
  </si>
  <si>
    <t>date</t>
  </si>
  <si>
    <t>responsible</t>
  </si>
  <si>
    <t>Quality Check</t>
  </si>
  <si>
    <t>basket item description</t>
  </si>
  <si>
    <t>Basket items</t>
  </si>
  <si>
    <t>Delivery</t>
  </si>
  <si>
    <t>client email</t>
  </si>
  <si>
    <t>salutation</t>
  </si>
  <si>
    <t>Clientusmaximus</t>
  </si>
  <si>
    <t>maxiums@emailus.com</t>
  </si>
  <si>
    <t xml:space="preserve">Dear Max, </t>
  </si>
  <si>
    <t>Clientusdominus Ltd</t>
  </si>
  <si>
    <t>dominik@mailyou.com</t>
  </si>
  <si>
    <t xml:space="preserve">Dear Dominik, </t>
  </si>
  <si>
    <t>CliCli Unlimited</t>
  </si>
  <si>
    <t>info@clicli.com</t>
  </si>
  <si>
    <t>Dear Mr Cliento</t>
  </si>
  <si>
    <t>Clientadri</t>
  </si>
  <si>
    <t>Engine Client</t>
  </si>
  <si>
    <t>Digital Client</t>
  </si>
  <si>
    <t>Optimize Client</t>
  </si>
  <si>
    <t>Point Client</t>
  </si>
  <si>
    <t>Air Client</t>
  </si>
  <si>
    <t>Info Client</t>
  </si>
  <si>
    <t>Module Client</t>
  </si>
  <si>
    <t>Clientology</t>
  </si>
  <si>
    <t>Fuel Client</t>
  </si>
  <si>
    <t>Mega Client</t>
  </si>
  <si>
    <t>Wise Client</t>
  </si>
  <si>
    <t>Net Client</t>
  </si>
  <si>
    <t>Clientella</t>
  </si>
  <si>
    <t>Shift Client</t>
  </si>
  <si>
    <t>Clientbia</t>
  </si>
  <si>
    <t>Novus Client</t>
  </si>
  <si>
    <t>Data Client</t>
  </si>
  <si>
    <t>Clientops</t>
  </si>
  <si>
    <t>Disk Client</t>
  </si>
  <si>
    <t>Infinity Client</t>
  </si>
  <si>
    <t>Micro Client</t>
  </si>
  <si>
    <t>Clientquipo</t>
  </si>
  <si>
    <t>Core Client</t>
  </si>
  <si>
    <t>Mecha Client</t>
  </si>
  <si>
    <t>Logic Client</t>
  </si>
  <si>
    <t>info@Clientadri.com</t>
  </si>
  <si>
    <t>info@Engine Client.com</t>
  </si>
  <si>
    <t>info@Digital Client.com</t>
  </si>
  <si>
    <t>info@Optimize Client.com</t>
  </si>
  <si>
    <t>info@Point Client.com</t>
  </si>
  <si>
    <t>info@Air Client.com</t>
  </si>
  <si>
    <t>info@Info Client.com</t>
  </si>
  <si>
    <t>info@Module Client.com</t>
  </si>
  <si>
    <t>info@Clientology.com</t>
  </si>
  <si>
    <t>info@Fuel Client.com</t>
  </si>
  <si>
    <t>info@Mega Client.com</t>
  </si>
  <si>
    <t>info@Wise Client.com</t>
  </si>
  <si>
    <t>info@Net Client.com</t>
  </si>
  <si>
    <t>info@Clientella.com</t>
  </si>
  <si>
    <t>info@Shift Client.com</t>
  </si>
  <si>
    <t>info@Clientbia.com</t>
  </si>
  <si>
    <t>info@Novus Client.com</t>
  </si>
  <si>
    <t>info@Data Client.com</t>
  </si>
  <si>
    <t>info@Clientops.com</t>
  </si>
  <si>
    <t>info@Disk Client.com</t>
  </si>
  <si>
    <t>info@Infinity Client.com</t>
  </si>
  <si>
    <t>info@Micro Client.com</t>
  </si>
  <si>
    <t>info@Clientquipo.com</t>
  </si>
  <si>
    <t>info@Core Client.com</t>
  </si>
  <si>
    <t>info@Mecha Client.com</t>
  </si>
  <si>
    <t>info@Logic Client.com</t>
  </si>
  <si>
    <t xml:space="preserve">Dear Customer, </t>
  </si>
  <si>
    <t>low</t>
  </si>
  <si>
    <t>medium</t>
  </si>
  <si>
    <t>high</t>
  </si>
  <si>
    <t>request sent</t>
  </si>
  <si>
    <t>confirmed</t>
  </si>
  <si>
    <t xml:space="preserve">item nok </t>
  </si>
  <si>
    <t>item nok - reclamation sent</t>
  </si>
  <si>
    <t>shipped</t>
  </si>
  <si>
    <t>package ready for shipment</t>
  </si>
  <si>
    <t>packing in progress</t>
  </si>
  <si>
    <t xml:space="preserve">today: </t>
  </si>
  <si>
    <t xml:space="preserve">enter number of days shown in the past: </t>
  </si>
  <si>
    <t>Andreas</t>
  </si>
  <si>
    <t>Tom</t>
  </si>
  <si>
    <t>Jerry</t>
  </si>
  <si>
    <t>Mickey Mouse</t>
  </si>
  <si>
    <t>Donald Duck</t>
  </si>
  <si>
    <t>Tic</t>
  </si>
  <si>
    <t>Tac</t>
  </si>
  <si>
    <t>Toe</t>
  </si>
  <si>
    <t>color code</t>
  </si>
  <si>
    <t>color</t>
  </si>
  <si>
    <t>green</t>
  </si>
  <si>
    <t>yellow</t>
  </si>
  <si>
    <t>orange</t>
  </si>
  <si>
    <t>red</t>
  </si>
  <si>
    <t>light yellow</t>
  </si>
  <si>
    <t>white</t>
  </si>
  <si>
    <t>paper, A4, 100 pieces</t>
  </si>
  <si>
    <t>paper A3, 50 pieces</t>
  </si>
  <si>
    <t>nails, 5mm, 50 pieces</t>
  </si>
  <si>
    <t>nails, 4mm, 70 pieces</t>
  </si>
  <si>
    <t>wires, 15m lengths</t>
  </si>
  <si>
    <t>plates, 5m x 5m, 100 pieces</t>
  </si>
  <si>
    <t>bricks, 100 pieces</t>
  </si>
  <si>
    <t>grids, 10cm x 10cm</t>
  </si>
  <si>
    <t>fittings, 60 pieces</t>
  </si>
  <si>
    <t>seals, 3 pieces</t>
  </si>
  <si>
    <t>Orders</t>
  </si>
  <si>
    <t>order001</t>
  </si>
  <si>
    <t>order002</t>
  </si>
  <si>
    <t>order003</t>
  </si>
  <si>
    <t>order004</t>
  </si>
  <si>
    <t>order005</t>
  </si>
  <si>
    <t>order006</t>
  </si>
  <si>
    <t>Zeilenbeschriftungen</t>
  </si>
  <si>
    <t>(Leer)</t>
  </si>
  <si>
    <t>Gesamtergebnis</t>
  </si>
  <si>
    <t>Anzahl von status</t>
  </si>
  <si>
    <t>Spaltenbeschriftungen</t>
  </si>
  <si>
    <t>status2</t>
  </si>
  <si>
    <t>Anzahl von status2</t>
  </si>
  <si>
    <t>todo</t>
  </si>
  <si>
    <t>responsible3</t>
  </si>
  <si>
    <t>ok, received</t>
  </si>
  <si>
    <t>ok, to be delivered</t>
  </si>
  <si>
    <t>(Mehrere Elemente)</t>
  </si>
  <si>
    <t>Anzahl von identifier</t>
  </si>
  <si>
    <t>empty</t>
  </si>
  <si>
    <t>further investiation needed</t>
  </si>
  <si>
    <t>Order from client: 
please fill in an order identifier, client name, priority and deadline</t>
  </si>
  <si>
    <t>Quality Check: 
please fill in the status, date, responsibles and (if needed) comments for the internal quality check of the items</t>
  </si>
  <si>
    <t>Delivery / Shipping: 
please fill in here the status, date and responsibles and (if needed) comments for the shipping of the items to the client</t>
  </si>
  <si>
    <t xml:space="preserve">Statistics for the requests to the suppliers: 
how many items do we have in each status? </t>
  </si>
  <si>
    <t xml:space="preserve">Statistics for internal quality check: 
how many items are ok, how many are not ok and for how many a complain has been made? </t>
  </si>
  <si>
    <t xml:space="preserve">Press &lt;Ctrl&gt;+&lt;Alt&gt;+&lt;F5&gt; to refresh all tabs. </t>
  </si>
  <si>
    <t>Basket Items</t>
  </si>
  <si>
    <t xml:space="preserve">Order Basket Items - ToDo: 
This overview shows all orders, which have some tasks in status "ToDo". </t>
  </si>
  <si>
    <t xml:space="preserve">Quality Check - Items not ok (NOK): 
This overview shows all orders where the internal quality check found, that items are not ok (NOK). </t>
  </si>
  <si>
    <t>Delivery - Todo: 
This overview shows all items, which are ready to be delivered.</t>
  </si>
  <si>
    <t>order007</t>
  </si>
  <si>
    <t>Order Statistics: 
Thes overview show the statistics for the orders and status. These values are also shown in the Email (see "Generate Email" Button)</t>
  </si>
  <si>
    <t>Request to suppliers: 
please fill in the basket items, status, date, responsibles and (if needed) comments</t>
  </si>
  <si>
    <t xml:space="preserve">damaged </t>
  </si>
  <si>
    <t>supplier contacted</t>
  </si>
  <si>
    <t>scratches</t>
  </si>
  <si>
    <t>missing elements</t>
  </si>
  <si>
    <t>supplier vacation</t>
  </si>
  <si>
    <t>(Alle)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</si>
</sst>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1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3" fillId="0" borderId="1" xfId="1" applyBorder="1"/>
    <xf numFmtId="0" fontId="0" fillId="3" borderId="2" xfId="0" applyFill="1" applyBorder="1" applyAlignment="1"/>
    <xf numFmtId="0" fontId="1" fillId="4" borderId="0" xfId="0" applyFont="1" applyFill="1" applyAlignment="1"/>
    <xf numFmtId="0" fontId="1" fillId="5" borderId="0" xfId="0" applyFont="1" applyFill="1" applyAlignment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0" xfId="0" applyNumberFormat="1"/>
    <xf numFmtId="14" fontId="0" fillId="0" borderId="4" xfId="0" applyNumberFormat="1" applyBorder="1"/>
    <xf numFmtId="14" fontId="0" fillId="0" borderId="5" xfId="0" applyNumberFormat="1" applyBorder="1"/>
    <xf numFmtId="14" fontId="0" fillId="0" borderId="6" xfId="0" applyNumberFormat="1" applyBorder="1"/>
    <xf numFmtId="0" fontId="0" fillId="0" borderId="0" xfId="0" applyAlignment="1">
      <alignment wrapText="1"/>
    </xf>
    <xf numFmtId="0" fontId="0" fillId="0" borderId="7" xfId="0" applyBorder="1"/>
    <xf numFmtId="14" fontId="0" fillId="0" borderId="8" xfId="0" applyNumberFormat="1" applyBorder="1"/>
    <xf numFmtId="0" fontId="0" fillId="0" borderId="0" xfId="0" applyBorder="1"/>
    <xf numFmtId="14" fontId="0" fillId="0" borderId="0" xfId="0" applyNumberFormat="1" applyBorder="1"/>
    <xf numFmtId="0" fontId="0" fillId="0" borderId="7" xfId="0" applyBorder="1" applyAlignment="1">
      <alignment wrapText="1"/>
    </xf>
    <xf numFmtId="0" fontId="0" fillId="0" borderId="8" xfId="0" applyBorder="1"/>
    <xf numFmtId="0" fontId="1" fillId="0" borderId="0" xfId="0" applyFont="1"/>
    <xf numFmtId="0" fontId="0" fillId="3" borderId="0" xfId="0" applyFill="1" applyBorder="1" applyAlignment="1"/>
    <xf numFmtId="0" fontId="0" fillId="0" borderId="6" xfId="0" applyFill="1" applyBorder="1"/>
    <xf numFmtId="0" fontId="0" fillId="7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0" xfId="0" applyFill="1" applyBorder="1"/>
    <xf numFmtId="0" fontId="0" fillId="6" borderId="0" xfId="0" applyFill="1" applyBorder="1"/>
    <xf numFmtId="0" fontId="0" fillId="0" borderId="9" xfId="0" applyBorder="1"/>
    <xf numFmtId="14" fontId="0" fillId="0" borderId="1" xfId="0" applyNumberFormat="1" applyBorder="1"/>
    <xf numFmtId="0" fontId="0" fillId="0" borderId="1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2" xfId="0" applyBorder="1"/>
    <xf numFmtId="0" fontId="0" fillId="0" borderId="0" xfId="0" applyAlignment="1">
      <alignment horizontal="right"/>
    </xf>
    <xf numFmtId="0" fontId="0" fillId="2" borderId="3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2" xfId="0" applyFill="1" applyBorder="1" applyAlignment="1">
      <alignment vertical="top"/>
    </xf>
    <xf numFmtId="0" fontId="0" fillId="0" borderId="0" xfId="0" applyAlignment="1">
      <alignment vertical="top"/>
    </xf>
    <xf numFmtId="0" fontId="2" fillId="0" borderId="0" xfId="0" applyFont="1"/>
    <xf numFmtId="0" fontId="5" fillId="0" borderId="0" xfId="0" applyFont="1" applyBorder="1" applyAlignment="1">
      <alignment vertical="center" wrapText="1"/>
    </xf>
    <xf numFmtId="0" fontId="7" fillId="0" borderId="0" xfId="0" applyFont="1"/>
    <xf numFmtId="0" fontId="7" fillId="0" borderId="1" xfId="0" applyFont="1" applyBorder="1" applyAlignment="1">
      <alignment vertical="top"/>
    </xf>
    <xf numFmtId="0" fontId="7" fillId="0" borderId="10" xfId="0" applyFont="1" applyBorder="1" applyAlignment="1">
      <alignment vertical="top"/>
    </xf>
    <xf numFmtId="0" fontId="7" fillId="0" borderId="12" xfId="0" applyFont="1" applyBorder="1" applyAlignment="1">
      <alignment vertical="top"/>
    </xf>
    <xf numFmtId="0" fontId="7" fillId="0" borderId="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6" fillId="0" borderId="0" xfId="0" applyFont="1"/>
    <xf numFmtId="0" fontId="6" fillId="2" borderId="12" xfId="0" applyFont="1" applyFill="1" applyBorder="1" applyAlignment="1">
      <alignment vertical="top"/>
    </xf>
    <xf numFmtId="0" fontId="6" fillId="2" borderId="1" xfId="0" applyFont="1" applyFill="1" applyBorder="1" applyAlignment="1">
      <alignment vertical="top"/>
    </xf>
    <xf numFmtId="0" fontId="6" fillId="0" borderId="12" xfId="0" applyFont="1" applyBorder="1"/>
    <xf numFmtId="0" fontId="6" fillId="0" borderId="1" xfId="0" applyFont="1" applyBorder="1"/>
    <xf numFmtId="14" fontId="6" fillId="0" borderId="1" xfId="0" applyNumberFormat="1" applyFont="1" applyBorder="1"/>
    <xf numFmtId="0" fontId="1" fillId="0" borderId="14" xfId="0" applyFont="1" applyBorder="1"/>
    <xf numFmtId="0" fontId="1" fillId="4" borderId="11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5" fillId="0" borderId="7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7" fillId="0" borderId="0" xfId="0" applyFont="1" applyBorder="1"/>
    <xf numFmtId="0" fontId="5" fillId="0" borderId="7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0" xfId="0" applyAlignment="1"/>
    <xf numFmtId="0" fontId="7" fillId="0" borderId="15" xfId="0" applyFont="1" applyBorder="1" applyAlignment="1">
      <alignment vertical="top"/>
    </xf>
    <xf numFmtId="0" fontId="7" fillId="0" borderId="15" xfId="0" applyFont="1" applyBorder="1" applyAlignment="1">
      <alignment horizontal="center"/>
    </xf>
    <xf numFmtId="0" fontId="6" fillId="2" borderId="16" xfId="0" applyFont="1" applyFill="1" applyBorder="1" applyAlignment="1">
      <alignment vertical="top"/>
    </xf>
    <xf numFmtId="0" fontId="6" fillId="0" borderId="16" xfId="0" applyFont="1" applyBorder="1"/>
    <xf numFmtId="0" fontId="6" fillId="0" borderId="17" xfId="0" applyFont="1" applyBorder="1"/>
    <xf numFmtId="0" fontId="10" fillId="0" borderId="0" xfId="0" applyFont="1"/>
  </cellXfs>
  <cellStyles count="2">
    <cellStyle name="Link" xfId="1" builtinId="8"/>
    <cellStyle name="Standard" xfId="0" builtinId="0"/>
  </cellStyles>
  <dxfs count="83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alignment horizontal="right"/>
    </dxf>
    <dxf>
      <alignment horizontal="right"/>
    </dxf>
    <dxf>
      <alignment horizontal="righ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1199092</xdr:colOff>
          <xdr:row>0</xdr:row>
          <xdr:rowOff>79375</xdr:rowOff>
        </xdr:from>
        <xdr:to>
          <xdr:col>4</xdr:col>
          <xdr:colOff>645585</xdr:colOff>
          <xdr:row>0</xdr:row>
          <xdr:rowOff>441325</xdr:rowOff>
        </xdr:to>
        <xdr:sp macro="" textlink="">
          <xdr:nvSpPr>
            <xdr:cNvPr id="1048" name="Button 24" descr="Generate Email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79375</xdr:rowOff>
        </xdr:from>
        <xdr:to>
          <xdr:col>1</xdr:col>
          <xdr:colOff>1104900</xdr:colOff>
          <xdr:row>0</xdr:row>
          <xdr:rowOff>441325</xdr:rowOff>
        </xdr:to>
        <xdr:sp macro="" textlink="">
          <xdr:nvSpPr>
            <xdr:cNvPr id="1050" name="ComboBoxOrderIdentifierList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s Traut" refreshedDate="44264.487122453706" createdVersion="6" refreshedVersion="6" minRefreshableVersion="3" recordCount="996" xr:uid="{4B2D6D9D-EB08-45F2-8722-96F1C4748BC9}">
  <cacheSource type="worksheet">
    <worksheetSource ref="A4:AE1000" sheet="Orders"/>
  </cacheSource>
  <cacheFields count="31">
    <cacheField name="identifier" numFmtId="0">
      <sharedItems containsBlank="1" count="8">
        <s v="order001"/>
        <s v="order002"/>
        <s v="order003"/>
        <s v="order004"/>
        <s v="order005"/>
        <s v="order006"/>
        <s v="order007"/>
        <m/>
      </sharedItems>
    </cacheField>
    <cacheField name="client name" numFmtId="0">
      <sharedItems containsBlank="1"/>
    </cacheField>
    <cacheField name="priority" numFmtId="0">
      <sharedItems containsBlank="1"/>
    </cacheField>
    <cacheField name="color code" numFmtId="0">
      <sharedItems containsMixedTypes="1" containsNumber="1" containsInteger="1" minValue="2" maxValue="5"/>
    </cacheField>
    <cacheField name="deadline" numFmtId="0">
      <sharedItems containsNonDate="0" containsDate="1" containsString="0" containsBlank="1" minDate="2021-03-31T00:00:00" maxDate="2021-04-08T00:00:00"/>
    </cacheField>
    <cacheField name="basket item description" numFmtId="0">
      <sharedItems containsBlank="1"/>
    </cacheField>
    <cacheField name="status" numFmtId="0">
      <sharedItems containsBlank="1" count="5">
        <s v="request sent"/>
        <s v="confirmed"/>
        <s v="ok, received"/>
        <s v="todo"/>
        <m/>
      </sharedItems>
    </cacheField>
    <cacheField name="color code2" numFmtId="0">
      <sharedItems containsMixedTypes="1" containsNumber="1" containsInteger="1" minValue="0" maxValue="5"/>
    </cacheField>
    <cacheField name="date" numFmtId="14">
      <sharedItems containsNonDate="0" containsDate="1" containsString="0" containsBlank="1" minDate="2021-03-07T00:00:00" maxDate="2021-03-17T00:00:00"/>
    </cacheField>
    <cacheField name="responsible" numFmtId="0">
      <sharedItems containsBlank="1" count="3">
        <s v="Andreas"/>
        <s v="Tom"/>
        <m/>
      </sharedItems>
    </cacheField>
    <cacheField name="comment" numFmtId="0">
      <sharedItems containsBlank="1"/>
    </cacheField>
    <cacheField name="status2" numFmtId="0">
      <sharedItems containsBlank="1"/>
    </cacheField>
    <cacheField name="color code3" numFmtId="0">
      <sharedItems containsMixedTypes="1" containsNumber="1" containsInteger="1" minValue="1" maxValue="4"/>
    </cacheField>
    <cacheField name="date2" numFmtId="14">
      <sharedItems containsNonDate="0" containsDate="1" containsString="0" containsBlank="1" minDate="2021-03-08T00:00:00" maxDate="2021-03-09T00:00:00"/>
    </cacheField>
    <cacheField name="responsible2" numFmtId="0">
      <sharedItems containsBlank="1"/>
    </cacheField>
    <cacheField name="comment2" numFmtId="0">
      <sharedItems containsBlank="1"/>
    </cacheField>
    <cacheField name="status3" numFmtId="0">
      <sharedItems containsBlank="1"/>
    </cacheField>
    <cacheField name="color code4" numFmtId="0">
      <sharedItems containsMixedTypes="1" containsNumber="1" containsInteger="1" minValue="1" maxValue="5"/>
    </cacheField>
    <cacheField name="date3" numFmtId="14">
      <sharedItems containsNonDate="0" containsDate="1" containsString="0" containsBlank="1" minDate="2021-03-08T00:00:00" maxDate="2021-03-10T00:00:00"/>
    </cacheField>
    <cacheField name="responsible3" numFmtId="0">
      <sharedItems containsBlank="1"/>
    </cacheField>
    <cacheField name="comment3" numFmtId="0">
      <sharedItems containsNonDate="0" containsString="0" containsBlank="1"/>
    </cacheField>
    <cacheField name="todo" numFmtId="0">
      <sharedItems containsMixedTypes="1" containsNumber="1" containsInteger="1" minValue="1" maxValue="1"/>
    </cacheField>
    <cacheField name="request sent" numFmtId="0">
      <sharedItems containsMixedTypes="1" containsNumber="1" containsInteger="1" minValue="1" maxValue="1"/>
    </cacheField>
    <cacheField name="confirmed" numFmtId="0">
      <sharedItems containsMixedTypes="1" containsNumber="1" containsInteger="1" minValue="1" maxValue="1"/>
    </cacheField>
    <cacheField name="ok, received" numFmtId="0">
      <sharedItems containsMixedTypes="1" containsNumber="1" containsInteger="1" minValue="1" maxValue="1"/>
    </cacheField>
    <cacheField name="empty" numFmtId="0">
      <sharedItems/>
    </cacheField>
    <cacheField name="ok, to be delivered" numFmtId="0">
      <sharedItems containsMixedTypes="1" containsNumber="1" containsInteger="1" minValue="1" maxValue="1"/>
    </cacheField>
    <cacheField name="item nok " numFmtId="0">
      <sharedItems containsMixedTypes="1" containsNumber="1" containsInteger="1" minValue="1" maxValue="1"/>
    </cacheField>
    <cacheField name="item nok - reclamation sent" numFmtId="0">
      <sharedItems containsMixedTypes="1" containsNumber="1" containsInteger="1" minValue="1" maxValue="1"/>
    </cacheField>
    <cacheField name="further investiation needed" numFmtId="0">
      <sharedItems/>
    </cacheField>
    <cacheField name="empty2" numFmtId="0">
      <sharedItems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s Traut" refreshedDate="44264.487122569444" createdVersion="6" refreshedVersion="6" minRefreshableVersion="3" recordCount="997" xr:uid="{0BA1D83C-916B-401F-8F8A-89D09F20E3A2}">
  <cacheSource type="worksheet">
    <worksheetSource ref="A4:U1001" sheet="Orders"/>
  </cacheSource>
  <cacheFields count="21">
    <cacheField name="identifier" numFmtId="0">
      <sharedItems containsBlank="1" count="8">
        <s v="order001"/>
        <s v="order002"/>
        <s v="order003"/>
        <s v="order004"/>
        <s v="order005"/>
        <s v="order006"/>
        <s v="order007"/>
        <m/>
      </sharedItems>
    </cacheField>
    <cacheField name="client name" numFmtId="0">
      <sharedItems containsBlank="1"/>
    </cacheField>
    <cacheField name="priority" numFmtId="0">
      <sharedItems containsBlank="1"/>
    </cacheField>
    <cacheField name="color code" numFmtId="0">
      <sharedItems containsMixedTypes="1" containsNumber="1" containsInteger="1" minValue="2" maxValue="5"/>
    </cacheField>
    <cacheField name="deadline" numFmtId="0">
      <sharedItems containsNonDate="0" containsDate="1" containsString="0" containsBlank="1" minDate="2021-03-31T00:00:00" maxDate="2021-04-08T00:00:00"/>
    </cacheField>
    <cacheField name="basket item description" numFmtId="0">
      <sharedItems containsBlank="1" count="11">
        <s v="paper, A4, 100 pieces"/>
        <s v="paper A3, 50 pieces"/>
        <s v="nails, 5mm, 50 pieces"/>
        <s v="nails, 4mm, 70 pieces"/>
        <s v="wires, 15m lengths"/>
        <s v="plates, 5m x 5m, 100 pieces"/>
        <s v="bricks, 100 pieces"/>
        <s v="grids, 10cm x 10cm"/>
        <s v="fittings, 60 pieces"/>
        <s v="seals, 3 pieces"/>
        <m/>
      </sharedItems>
    </cacheField>
    <cacheField name="status" numFmtId="0">
      <sharedItems containsBlank="1" count="6">
        <s v="request sent"/>
        <s v="confirmed"/>
        <s v="ok, received"/>
        <s v="todo"/>
        <m/>
        <s v="received" u="1"/>
      </sharedItems>
    </cacheField>
    <cacheField name="color code2" numFmtId="0">
      <sharedItems containsMixedTypes="1" containsNumber="1" containsInteger="1" minValue="0" maxValue="5"/>
    </cacheField>
    <cacheField name="date" numFmtId="14">
      <sharedItems containsNonDate="0" containsDate="1" containsString="0" containsBlank="1" minDate="2021-03-07T00:00:00" maxDate="2021-03-17T00:00:00"/>
    </cacheField>
    <cacheField name="responsible" numFmtId="0">
      <sharedItems containsBlank="1"/>
    </cacheField>
    <cacheField name="comment" numFmtId="0">
      <sharedItems containsBlank="1"/>
    </cacheField>
    <cacheField name="status2" numFmtId="0">
      <sharedItems containsBlank="1" count="5">
        <m/>
        <s v="ok, to be delivered"/>
        <s v="item nok "/>
        <s v="item nok - reclamation sent"/>
        <s v="item ok" u="1"/>
      </sharedItems>
    </cacheField>
    <cacheField name="color code3" numFmtId="0">
      <sharedItems containsMixedTypes="1" containsNumber="1" containsInteger="1" minValue="1" maxValue="4"/>
    </cacheField>
    <cacheField name="date2" numFmtId="14">
      <sharedItems containsNonDate="0" containsDate="1" containsString="0" containsBlank="1" minDate="2021-03-08T00:00:00" maxDate="2021-03-09T00:00:00"/>
    </cacheField>
    <cacheField name="responsible2" numFmtId="0">
      <sharedItems containsBlank="1" count="4">
        <m/>
        <s v="Tic"/>
        <s v="Donald Duck"/>
        <s v="Andreas"/>
      </sharedItems>
    </cacheField>
    <cacheField name="comment2" numFmtId="0">
      <sharedItems containsBlank="1"/>
    </cacheField>
    <cacheField name="status3" numFmtId="0">
      <sharedItems containsBlank="1"/>
    </cacheField>
    <cacheField name="color code4" numFmtId="0">
      <sharedItems containsMixedTypes="1" containsNumber="1" containsInteger="1" minValue="1" maxValue="5"/>
    </cacheField>
    <cacheField name="date3" numFmtId="14">
      <sharedItems containsNonDate="0" containsDate="1" containsString="0" containsBlank="1" minDate="2021-03-08T00:00:00" maxDate="2021-03-10T00:00:00"/>
    </cacheField>
    <cacheField name="responsible3" numFmtId="0">
      <sharedItems containsBlank="1" count="3">
        <m/>
        <s v="Mickey Mouse"/>
        <s v="Andreas" u="1"/>
      </sharedItems>
    </cacheField>
    <cacheField name="comment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6">
  <r>
    <x v="0"/>
    <s v="Clientusmaximus"/>
    <s v="medium"/>
    <n v="2"/>
    <d v="2021-04-05T00:00:00"/>
    <s v="paper, A4, 100 pieces"/>
    <x v="0"/>
    <n v="5"/>
    <d v="2021-03-07T00:00:00"/>
    <x v="0"/>
    <m/>
    <m/>
    <s v=""/>
    <m/>
    <m/>
    <m/>
    <m/>
    <s v=""/>
    <m/>
    <m/>
    <m/>
    <s v=""/>
    <n v="1"/>
    <s v=""/>
    <s v=""/>
    <s v=""/>
    <s v=""/>
    <s v=""/>
    <s v=""/>
    <s v=""/>
    <n v="1"/>
  </r>
  <r>
    <x v="0"/>
    <s v="Clientusmaximus"/>
    <s v="medium"/>
    <n v="2"/>
    <d v="2021-04-05T00:00:00"/>
    <s v="paper A3, 50 pieces"/>
    <x v="0"/>
    <n v="5"/>
    <d v="2021-03-07T00:00:00"/>
    <x v="0"/>
    <m/>
    <s v="ok, to be delivered"/>
    <n v="1"/>
    <m/>
    <m/>
    <m/>
    <s v="todo"/>
    <n v="4"/>
    <m/>
    <m/>
    <m/>
    <s v=""/>
    <n v="1"/>
    <s v=""/>
    <s v=""/>
    <s v=""/>
    <n v="1"/>
    <s v=""/>
    <s v=""/>
    <s v=""/>
    <s v=""/>
  </r>
  <r>
    <x v="0"/>
    <s v="Clientusmaximus"/>
    <s v="medium"/>
    <n v="2"/>
    <d v="2021-04-05T00:00:00"/>
    <s v="nails, 5mm, 50 pieces"/>
    <x v="1"/>
    <n v="0"/>
    <d v="2021-03-16T00:00:00"/>
    <x v="0"/>
    <m/>
    <m/>
    <s v=""/>
    <m/>
    <m/>
    <m/>
    <m/>
    <s v=""/>
    <m/>
    <m/>
    <m/>
    <s v=""/>
    <s v=""/>
    <n v="1"/>
    <s v=""/>
    <s v=""/>
    <s v=""/>
    <s v=""/>
    <s v=""/>
    <s v=""/>
    <n v="1"/>
  </r>
  <r>
    <x v="1"/>
    <s v="Clientusmaximus"/>
    <s v="medium"/>
    <n v="2"/>
    <d v="2021-04-05T00:00:00"/>
    <s v="nails, 4mm, 70 pieces"/>
    <x v="2"/>
    <n v="1"/>
    <d v="2021-03-08T00:00:00"/>
    <x v="0"/>
    <m/>
    <s v="ok, to be delivered"/>
    <n v="1"/>
    <m/>
    <s v="Tic"/>
    <m/>
    <s v="todo"/>
    <n v="4"/>
    <m/>
    <m/>
    <m/>
    <s v=""/>
    <s v=""/>
    <s v=""/>
    <n v="1"/>
    <s v=""/>
    <n v="1"/>
    <s v=""/>
    <s v=""/>
    <s v=""/>
    <s v=""/>
  </r>
  <r>
    <x v="1"/>
    <s v="Clientusmaximus"/>
    <s v="medium"/>
    <n v="2"/>
    <d v="2021-04-05T00:00:00"/>
    <s v="wires, 15m lengths"/>
    <x v="2"/>
    <n v="1"/>
    <d v="2021-03-08T00:00:00"/>
    <x v="0"/>
    <m/>
    <s v="item nok "/>
    <n v="4"/>
    <m/>
    <s v="Donald Duck"/>
    <s v="damaged "/>
    <m/>
    <s v=""/>
    <m/>
    <m/>
    <m/>
    <s v=""/>
    <s v=""/>
    <s v=""/>
    <n v="1"/>
    <s v=""/>
    <s v=""/>
    <n v="1"/>
    <s v=""/>
    <s v=""/>
    <s v=""/>
  </r>
  <r>
    <x v="1"/>
    <s v="Clientusmaximus"/>
    <s v="medium"/>
    <n v="2"/>
    <d v="2021-04-05T00:00:00"/>
    <s v="plates, 5m x 5m, 100 pieces"/>
    <x v="2"/>
    <n v="1"/>
    <d v="2021-03-08T00:00:00"/>
    <x v="0"/>
    <m/>
    <s v="item nok - reclamation sent"/>
    <n v="3"/>
    <m/>
    <s v="Donald Duck"/>
    <s v="supplier contacted"/>
    <m/>
    <s v=""/>
    <m/>
    <m/>
    <m/>
    <s v=""/>
    <s v=""/>
    <s v=""/>
    <n v="1"/>
    <s v=""/>
    <s v=""/>
    <s v=""/>
    <n v="1"/>
    <s v=""/>
    <s v=""/>
  </r>
  <r>
    <x v="1"/>
    <s v="Clientusmaximus"/>
    <s v="medium"/>
    <n v="2"/>
    <d v="2021-04-05T00:00:00"/>
    <s v="bricks, 100 pieces"/>
    <x v="1"/>
    <n v="0"/>
    <d v="2021-03-10T00:00:00"/>
    <x v="0"/>
    <m/>
    <m/>
    <s v=""/>
    <m/>
    <m/>
    <m/>
    <m/>
    <s v=""/>
    <m/>
    <m/>
    <m/>
    <s v=""/>
    <s v=""/>
    <n v="1"/>
    <s v=""/>
    <s v=""/>
    <s v=""/>
    <s v=""/>
    <s v=""/>
    <s v=""/>
    <n v="1"/>
  </r>
  <r>
    <x v="2"/>
    <s v="Clientusmaximus"/>
    <s v="medium"/>
    <n v="2"/>
    <d v="2021-04-05T00:00:00"/>
    <s v="grids, 10cm x 10cm"/>
    <x v="3"/>
    <n v="4"/>
    <m/>
    <x v="0"/>
    <s v="supplier vacation"/>
    <m/>
    <s v=""/>
    <m/>
    <m/>
    <m/>
    <m/>
    <s v=""/>
    <m/>
    <m/>
    <m/>
    <n v="1"/>
    <s v=""/>
    <s v=""/>
    <s v=""/>
    <s v=""/>
    <s v=""/>
    <s v=""/>
    <s v=""/>
    <s v=""/>
    <n v="1"/>
  </r>
  <r>
    <x v="2"/>
    <s v="Clientusmaximus"/>
    <s v="medium"/>
    <n v="2"/>
    <d v="2021-04-05T00:00:00"/>
    <s v="fittings, 60 pieces"/>
    <x v="3"/>
    <n v="4"/>
    <m/>
    <x v="0"/>
    <s v="supplier vacation"/>
    <m/>
    <s v=""/>
    <m/>
    <m/>
    <m/>
    <m/>
    <s v=""/>
    <m/>
    <m/>
    <m/>
    <n v="1"/>
    <s v=""/>
    <s v=""/>
    <s v=""/>
    <s v=""/>
    <s v=""/>
    <s v=""/>
    <s v=""/>
    <s v=""/>
    <n v="1"/>
  </r>
  <r>
    <x v="2"/>
    <s v="Clientusmaximus"/>
    <s v="medium"/>
    <n v="2"/>
    <d v="2021-04-05T00:00:00"/>
    <s v="seals, 3 pieces"/>
    <x v="1"/>
    <n v="0"/>
    <d v="2021-03-10T00:00:00"/>
    <x v="0"/>
    <m/>
    <m/>
    <s v=""/>
    <m/>
    <m/>
    <m/>
    <m/>
    <s v=""/>
    <m/>
    <m/>
    <m/>
    <s v=""/>
    <s v=""/>
    <n v="1"/>
    <s v=""/>
    <s v=""/>
    <s v=""/>
    <s v=""/>
    <s v=""/>
    <s v=""/>
    <n v="1"/>
  </r>
  <r>
    <x v="3"/>
    <s v="Clientusdominus Ltd"/>
    <s v="high"/>
    <n v="4"/>
    <d v="2021-04-07T00:00:00"/>
    <s v="nails, 4mm, 70 pieces"/>
    <x v="0"/>
    <n v="5"/>
    <d v="2021-03-07T00:00:00"/>
    <x v="0"/>
    <m/>
    <m/>
    <s v=""/>
    <m/>
    <m/>
    <m/>
    <m/>
    <s v=""/>
    <m/>
    <m/>
    <m/>
    <s v=""/>
    <n v="1"/>
    <s v=""/>
    <s v=""/>
    <s v=""/>
    <s v=""/>
    <s v=""/>
    <s v=""/>
    <s v=""/>
    <n v="1"/>
  </r>
  <r>
    <x v="3"/>
    <s v="Clientusdominus Ltd"/>
    <s v="high"/>
    <n v="4"/>
    <d v="2021-04-07T00:00:00"/>
    <s v="wires, 15m lengths"/>
    <x v="2"/>
    <n v="1"/>
    <d v="2021-03-07T00:00:00"/>
    <x v="0"/>
    <m/>
    <s v="ok, to be delivered"/>
    <n v="1"/>
    <d v="2021-03-08T00:00:00"/>
    <s v="Donald Duck"/>
    <m/>
    <s v="shipped"/>
    <n v="1"/>
    <d v="2021-03-08T00:00:00"/>
    <s v="Mickey Mouse"/>
    <m/>
    <s v=""/>
    <s v=""/>
    <s v=""/>
    <n v="1"/>
    <s v=""/>
    <n v="1"/>
    <s v=""/>
    <s v=""/>
    <s v=""/>
    <s v=""/>
  </r>
  <r>
    <x v="3"/>
    <s v="Clientusdominus Ltd"/>
    <s v="high"/>
    <n v="4"/>
    <d v="2021-04-07T00:00:00"/>
    <s v="plates, 5m x 5m, 100 pieces"/>
    <x v="2"/>
    <n v="1"/>
    <m/>
    <x v="0"/>
    <m/>
    <s v="item nok "/>
    <n v="4"/>
    <d v="2021-03-08T00:00:00"/>
    <s v="Donald Duck"/>
    <s v="scratches"/>
    <m/>
    <s v=""/>
    <m/>
    <m/>
    <m/>
    <s v=""/>
    <s v=""/>
    <s v=""/>
    <n v="1"/>
    <s v=""/>
    <s v=""/>
    <n v="1"/>
    <s v=""/>
    <s v=""/>
    <s v=""/>
  </r>
  <r>
    <x v="4"/>
    <s v="Clientadri"/>
    <s v="low"/>
    <n v="5"/>
    <d v="2021-03-31T00:00:00"/>
    <s v="paper, A4, 100 pieces"/>
    <x v="2"/>
    <n v="1"/>
    <d v="2021-03-08T00:00:00"/>
    <x v="0"/>
    <m/>
    <s v="ok, to be delivered"/>
    <n v="1"/>
    <d v="2021-03-08T00:00:00"/>
    <s v="Andreas"/>
    <m/>
    <s v="packing in progress"/>
    <n v="5"/>
    <d v="2021-03-09T00:00:00"/>
    <s v="Mickey Mouse"/>
    <m/>
    <s v=""/>
    <s v=""/>
    <s v=""/>
    <n v="1"/>
    <s v=""/>
    <n v="1"/>
    <s v=""/>
    <s v=""/>
    <s v=""/>
    <s v=""/>
  </r>
  <r>
    <x v="5"/>
    <s v="Engine Client"/>
    <s v="medium"/>
    <n v="2"/>
    <d v="2021-04-01T00:00:00"/>
    <s v="grids, 10cm x 10cm"/>
    <x v="2"/>
    <n v="1"/>
    <d v="2021-03-08T00:00:00"/>
    <x v="1"/>
    <m/>
    <s v="ok, to be delivered"/>
    <n v="1"/>
    <m/>
    <s v="Andreas"/>
    <m/>
    <s v="packing in progress"/>
    <n v="5"/>
    <d v="2021-03-09T00:00:00"/>
    <s v="Mickey Mouse"/>
    <m/>
    <s v=""/>
    <s v=""/>
    <s v=""/>
    <n v="1"/>
    <s v=""/>
    <n v="1"/>
    <s v=""/>
    <s v=""/>
    <s v=""/>
    <s v=""/>
  </r>
  <r>
    <x v="5"/>
    <s v="Engine Client"/>
    <s v="medium"/>
    <n v="2"/>
    <d v="2021-04-01T00:00:00"/>
    <s v="plates, 5m x 5m, 100 pieces"/>
    <x v="2"/>
    <n v="1"/>
    <d v="2021-03-08T00:00:00"/>
    <x v="1"/>
    <m/>
    <s v="item nok "/>
    <n v="4"/>
    <m/>
    <s v="Donald Duck"/>
    <s v="missing elements"/>
    <m/>
    <s v=""/>
    <m/>
    <m/>
    <m/>
    <s v=""/>
    <s v=""/>
    <s v=""/>
    <n v="1"/>
    <s v=""/>
    <s v=""/>
    <n v="1"/>
    <s v=""/>
    <s v=""/>
    <s v=""/>
  </r>
  <r>
    <x v="6"/>
    <s v="Point Client"/>
    <s v="high"/>
    <n v="4"/>
    <d v="2021-04-05T00:00:00"/>
    <s v="grids, 10cm x 10cm"/>
    <x v="3"/>
    <n v="4"/>
    <m/>
    <x v="1"/>
    <m/>
    <m/>
    <s v=""/>
    <m/>
    <m/>
    <m/>
    <m/>
    <s v=""/>
    <m/>
    <m/>
    <m/>
    <n v="1"/>
    <s v=""/>
    <s v=""/>
    <s v=""/>
    <s v=""/>
    <s v=""/>
    <s v=""/>
    <s v=""/>
    <s v=""/>
    <n v="1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2"/>
    <m/>
    <m/>
    <s v=""/>
    <m/>
    <m/>
    <m/>
    <m/>
    <s v=""/>
    <m/>
    <m/>
    <m/>
    <s v=""/>
    <s v=""/>
    <s v=""/>
    <s v=""/>
    <s v=""/>
    <s v=""/>
    <s v=""/>
    <s v=""/>
    <s v="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7">
  <r>
    <x v="0"/>
    <s v="Clientusmaximus"/>
    <s v="medium"/>
    <n v="2"/>
    <d v="2021-04-05T00:00:00"/>
    <x v="0"/>
    <x v="0"/>
    <n v="5"/>
    <d v="2021-03-07T00:00:00"/>
    <s v="Andreas"/>
    <m/>
    <x v="0"/>
    <s v=""/>
    <m/>
    <x v="0"/>
    <m/>
    <m/>
    <s v=""/>
    <m/>
    <x v="0"/>
    <m/>
  </r>
  <r>
    <x v="0"/>
    <s v="Clientusmaximus"/>
    <s v="medium"/>
    <n v="2"/>
    <d v="2021-04-05T00:00:00"/>
    <x v="1"/>
    <x v="0"/>
    <n v="5"/>
    <d v="2021-03-07T00:00:00"/>
    <s v="Andreas"/>
    <m/>
    <x v="1"/>
    <n v="1"/>
    <m/>
    <x v="0"/>
    <m/>
    <s v="todo"/>
    <n v="4"/>
    <m/>
    <x v="0"/>
    <m/>
  </r>
  <r>
    <x v="0"/>
    <s v="Clientusmaximus"/>
    <s v="medium"/>
    <n v="2"/>
    <d v="2021-04-05T00:00:00"/>
    <x v="2"/>
    <x v="1"/>
    <n v="0"/>
    <d v="2021-03-16T00:00:00"/>
    <s v="Andreas"/>
    <m/>
    <x v="0"/>
    <s v=""/>
    <m/>
    <x v="0"/>
    <m/>
    <m/>
    <s v=""/>
    <m/>
    <x v="0"/>
    <m/>
  </r>
  <r>
    <x v="1"/>
    <s v="Clientusmaximus"/>
    <s v="medium"/>
    <n v="2"/>
    <d v="2021-04-05T00:00:00"/>
    <x v="3"/>
    <x v="2"/>
    <n v="1"/>
    <d v="2021-03-08T00:00:00"/>
    <s v="Andreas"/>
    <m/>
    <x v="1"/>
    <n v="1"/>
    <m/>
    <x v="1"/>
    <m/>
    <s v="todo"/>
    <n v="4"/>
    <m/>
    <x v="0"/>
    <m/>
  </r>
  <r>
    <x v="1"/>
    <s v="Clientusmaximus"/>
    <s v="medium"/>
    <n v="2"/>
    <d v="2021-04-05T00:00:00"/>
    <x v="4"/>
    <x v="2"/>
    <n v="1"/>
    <d v="2021-03-08T00:00:00"/>
    <s v="Andreas"/>
    <m/>
    <x v="2"/>
    <n v="4"/>
    <m/>
    <x v="2"/>
    <s v="damaged "/>
    <m/>
    <s v=""/>
    <m/>
    <x v="0"/>
    <m/>
  </r>
  <r>
    <x v="1"/>
    <s v="Clientusmaximus"/>
    <s v="medium"/>
    <n v="2"/>
    <d v="2021-04-05T00:00:00"/>
    <x v="5"/>
    <x v="2"/>
    <n v="1"/>
    <d v="2021-03-08T00:00:00"/>
    <s v="Andreas"/>
    <m/>
    <x v="3"/>
    <n v="3"/>
    <m/>
    <x v="2"/>
    <s v="supplier contacted"/>
    <m/>
    <s v=""/>
    <m/>
    <x v="0"/>
    <m/>
  </r>
  <r>
    <x v="1"/>
    <s v="Clientusmaximus"/>
    <s v="medium"/>
    <n v="2"/>
    <d v="2021-04-05T00:00:00"/>
    <x v="6"/>
    <x v="1"/>
    <n v="0"/>
    <d v="2021-03-10T00:00:00"/>
    <s v="Andreas"/>
    <m/>
    <x v="0"/>
    <s v=""/>
    <m/>
    <x v="0"/>
    <m/>
    <m/>
    <s v=""/>
    <m/>
    <x v="0"/>
    <m/>
  </r>
  <r>
    <x v="2"/>
    <s v="Clientusmaximus"/>
    <s v="medium"/>
    <n v="2"/>
    <d v="2021-04-05T00:00:00"/>
    <x v="7"/>
    <x v="3"/>
    <n v="4"/>
    <m/>
    <s v="Andreas"/>
    <s v="supplier vacation"/>
    <x v="0"/>
    <s v=""/>
    <m/>
    <x v="0"/>
    <m/>
    <m/>
    <s v=""/>
    <m/>
    <x v="0"/>
    <m/>
  </r>
  <r>
    <x v="2"/>
    <s v="Clientusmaximus"/>
    <s v="medium"/>
    <n v="2"/>
    <d v="2021-04-05T00:00:00"/>
    <x v="8"/>
    <x v="3"/>
    <n v="4"/>
    <m/>
    <s v="Andreas"/>
    <s v="supplier vacation"/>
    <x v="0"/>
    <s v=""/>
    <m/>
    <x v="0"/>
    <m/>
    <m/>
    <s v=""/>
    <m/>
    <x v="0"/>
    <m/>
  </r>
  <r>
    <x v="2"/>
    <s v="Clientusmaximus"/>
    <s v="medium"/>
    <n v="2"/>
    <d v="2021-04-05T00:00:00"/>
    <x v="9"/>
    <x v="1"/>
    <n v="0"/>
    <d v="2021-03-10T00:00:00"/>
    <s v="Andreas"/>
    <m/>
    <x v="0"/>
    <s v=""/>
    <m/>
    <x v="0"/>
    <m/>
    <m/>
    <s v=""/>
    <m/>
    <x v="0"/>
    <m/>
  </r>
  <r>
    <x v="3"/>
    <s v="Clientusdominus Ltd"/>
    <s v="high"/>
    <n v="4"/>
    <d v="2021-04-07T00:00:00"/>
    <x v="3"/>
    <x v="0"/>
    <n v="5"/>
    <d v="2021-03-07T00:00:00"/>
    <s v="Andreas"/>
    <m/>
    <x v="0"/>
    <s v=""/>
    <m/>
    <x v="0"/>
    <m/>
    <m/>
    <s v=""/>
    <m/>
    <x v="0"/>
    <m/>
  </r>
  <r>
    <x v="3"/>
    <s v="Clientusdominus Ltd"/>
    <s v="high"/>
    <n v="4"/>
    <d v="2021-04-07T00:00:00"/>
    <x v="4"/>
    <x v="2"/>
    <n v="1"/>
    <d v="2021-03-07T00:00:00"/>
    <s v="Andreas"/>
    <m/>
    <x v="1"/>
    <n v="1"/>
    <d v="2021-03-08T00:00:00"/>
    <x v="2"/>
    <m/>
    <s v="shipped"/>
    <n v="1"/>
    <d v="2021-03-08T00:00:00"/>
    <x v="1"/>
    <m/>
  </r>
  <r>
    <x v="3"/>
    <s v="Clientusdominus Ltd"/>
    <s v="high"/>
    <n v="4"/>
    <d v="2021-04-07T00:00:00"/>
    <x v="5"/>
    <x v="2"/>
    <n v="1"/>
    <m/>
    <s v="Andreas"/>
    <m/>
    <x v="2"/>
    <n v="4"/>
    <d v="2021-03-08T00:00:00"/>
    <x v="2"/>
    <s v="scratches"/>
    <m/>
    <s v=""/>
    <m/>
    <x v="0"/>
    <m/>
  </r>
  <r>
    <x v="4"/>
    <s v="Clientadri"/>
    <s v="low"/>
    <n v="5"/>
    <d v="2021-03-31T00:00:00"/>
    <x v="0"/>
    <x v="2"/>
    <n v="1"/>
    <d v="2021-03-08T00:00:00"/>
    <s v="Andreas"/>
    <m/>
    <x v="1"/>
    <n v="1"/>
    <d v="2021-03-08T00:00:00"/>
    <x v="3"/>
    <m/>
    <s v="packing in progress"/>
    <n v="5"/>
    <d v="2021-03-09T00:00:00"/>
    <x v="1"/>
    <m/>
  </r>
  <r>
    <x v="5"/>
    <s v="Engine Client"/>
    <s v="medium"/>
    <n v="2"/>
    <d v="2021-04-01T00:00:00"/>
    <x v="7"/>
    <x v="2"/>
    <n v="1"/>
    <d v="2021-03-08T00:00:00"/>
    <s v="Tom"/>
    <m/>
    <x v="1"/>
    <n v="1"/>
    <m/>
    <x v="3"/>
    <m/>
    <s v="packing in progress"/>
    <n v="5"/>
    <d v="2021-03-09T00:00:00"/>
    <x v="1"/>
    <m/>
  </r>
  <r>
    <x v="5"/>
    <s v="Engine Client"/>
    <s v="medium"/>
    <n v="2"/>
    <d v="2021-04-01T00:00:00"/>
    <x v="5"/>
    <x v="2"/>
    <n v="1"/>
    <d v="2021-03-08T00:00:00"/>
    <s v="Tom"/>
    <m/>
    <x v="2"/>
    <n v="4"/>
    <m/>
    <x v="2"/>
    <s v="missing elements"/>
    <m/>
    <s v=""/>
    <m/>
    <x v="0"/>
    <m/>
  </r>
  <r>
    <x v="6"/>
    <s v="Point Client"/>
    <s v="high"/>
    <n v="4"/>
    <d v="2021-04-05T00:00:00"/>
    <x v="7"/>
    <x v="3"/>
    <n v="4"/>
    <m/>
    <s v="Tom"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57A096-8163-45C3-8E4A-CA8B5F0E72FE}" name="PivotTable2" cacheId="560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A3:G13" firstHeaderRow="1" firstDataRow="2" firstDataCol="1"/>
  <pivotFields count="21">
    <pivotField axis="axisRow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axis="axisCol" dataField="1" showAll="0">
      <items count="7">
        <item x="1"/>
        <item m="1" x="5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6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Anzahl von status" fld="6" subtotal="count" baseField="0" baseItem="0"/>
  </dataFields>
  <formats count="2">
    <format dxfId="81">
      <pivotArea dataOnly="0" labelOnly="1" fieldPosition="0">
        <references count="1">
          <reference field="6" count="4">
            <x v="0"/>
            <x v="2"/>
            <x v="3"/>
            <x v="5"/>
          </reference>
        </references>
      </pivotArea>
    </format>
    <format dxfId="8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3E36B-3443-4A4D-B83D-112DB75735CE}" name="PivotTable3" cacheId="560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I3:N13" firstHeaderRow="1" firstDataRow="2" firstDataCol="1"/>
  <pivotFields count="21">
    <pivotField axis="axisRow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2"/>
        <item x="3"/>
        <item m="1" x="4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1"/>
  </colFields>
  <colItems count="5">
    <i>
      <x/>
    </i>
    <i>
      <x v="1"/>
    </i>
    <i>
      <x v="3"/>
    </i>
    <i>
      <x v="4"/>
    </i>
    <i t="grand">
      <x/>
    </i>
  </colItems>
  <dataFields count="1">
    <dataField name="Anzahl von status2" fld="11" subtotal="count" baseField="0" baseItem="0"/>
  </dataFields>
  <formats count="1">
    <format dxfId="82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6F45DD-3A7F-403A-BE2C-97F67C7D4F3B}" name="PivotTable1" cacheId="552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5:E10" firstHeaderRow="1" firstDataRow="2" firstDataCol="1" rowPageCount="1" colPageCount="1"/>
  <pivotFields count="31">
    <pivotField axis="axisRow" dataField="1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6">
        <item h="1" x="1"/>
        <item h="1" x="0"/>
        <item x="3"/>
        <item x="4"/>
        <item h="1" x="2"/>
        <item t="default"/>
      </items>
    </pivotField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2"/>
    </i>
    <i>
      <x v="3"/>
    </i>
    <i>
      <x v="7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pageFields count="1">
    <pageField fld="6" hier="-1"/>
  </pageFields>
  <dataFields count="1">
    <dataField name="Anzahl von identifi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F54947-45A3-4DF8-977E-A8E7C2BFC1C5}" name="PivotTable1" cacheId="560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5:C10" firstHeaderRow="1" firstDataRow="2" firstDataCol="1" rowPageCount="1" colPageCount="1"/>
  <pivotFields count="21">
    <pivotField axis="axisRow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6">
        <item x="2"/>
        <item h="1" x="3"/>
        <item h="1" m="1" x="4"/>
        <item h="1" x="0"/>
        <item h="1" x="1"/>
        <item t="default"/>
      </items>
    </pivotField>
    <pivotField showAll="0"/>
    <pivotField showAll="0"/>
    <pivotField axis="axisCol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4"/>
    </i>
    <i>
      <x v="6"/>
    </i>
    <i t="grand">
      <x/>
    </i>
  </rowItems>
  <colFields count="1">
    <field x="14"/>
  </colFields>
  <colItems count="2">
    <i>
      <x v="1"/>
    </i>
    <i t="grand">
      <x/>
    </i>
  </colItems>
  <pageFields count="1">
    <pageField fld="11" hier="-1"/>
  </pageFields>
  <dataFields count="1">
    <dataField name="Anzahl von status2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704C0-1029-44C0-95DA-8265C46ED96C}" name="PivotTable1" cacheId="560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6:G13" firstHeaderRow="1" firstDataRow="2" firstDataCol="1" rowPageCount="2" colPageCount="1"/>
  <pivotFields count="21">
    <pivotField axis="axisRow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axis="axisCol" showAll="0">
      <items count="12">
        <item x="6"/>
        <item x="8"/>
        <item x="7"/>
        <item x="3"/>
        <item x="2"/>
        <item x="1"/>
        <item x="0"/>
        <item x="5"/>
        <item x="9"/>
        <item x="4"/>
        <item x="10"/>
        <item t="default"/>
      </items>
    </pivotField>
    <pivotField multipleItemSelectionAllowed="1" showAll="0"/>
    <pivotField showAll="0"/>
    <pivotField showAll="0"/>
    <pivotField showAll="0"/>
    <pivotField showAll="0"/>
    <pivotField axis="axisPage" dataField="1" multipleItemSelectionAllowed="1" showAll="0">
      <items count="6">
        <item h="1" x="2"/>
        <item h="1" x="3"/>
        <item m="1" x="4"/>
        <item h="1" x="0"/>
        <item x="1"/>
        <item t="default"/>
      </items>
    </pivotField>
    <pivotField showAll="0"/>
    <pivotField showAll="0"/>
    <pivotField showAll="0"/>
    <pivotField showAll="0"/>
    <pivotField multipleItemSelectionAllowed="1" showAll="0"/>
    <pivotField showAll="0"/>
    <pivotField showAll="0"/>
    <pivotField axis="axisPage" multipleItemSelectionAllowed="1" showAll="0">
      <items count="4">
        <item h="1" m="1" x="2"/>
        <item x="0"/>
        <item x="1"/>
        <item t="default"/>
      </items>
    </pivotField>
    <pivotField showAll="0"/>
  </pivotFields>
  <rowFields count="1">
    <field x="0"/>
  </rowFields>
  <rowItems count="6">
    <i>
      <x/>
    </i>
    <i>
      <x v="1"/>
    </i>
    <i>
      <x v="4"/>
    </i>
    <i>
      <x v="5"/>
    </i>
    <i>
      <x v="6"/>
    </i>
    <i t="grand">
      <x/>
    </i>
  </rowItems>
  <colFields count="1">
    <field x="5"/>
  </colFields>
  <colItems count="6">
    <i>
      <x v="2"/>
    </i>
    <i>
      <x v="3"/>
    </i>
    <i>
      <x v="5"/>
    </i>
    <i>
      <x v="6"/>
    </i>
    <i>
      <x v="9"/>
    </i>
    <i t="grand">
      <x/>
    </i>
  </colItems>
  <pageFields count="2">
    <pageField fld="11" hier="-1"/>
    <pageField fld="19" hier="-1"/>
  </pageFields>
  <dataFields count="1">
    <dataField name="Anzahl von status2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nfo@Point%20Client.com" TargetMode="External"/><Relationship Id="rId13" Type="http://schemas.openxmlformats.org/officeDocument/2006/relationships/hyperlink" Target="mailto:info@Fuel%20Client.com" TargetMode="External"/><Relationship Id="rId18" Type="http://schemas.openxmlformats.org/officeDocument/2006/relationships/hyperlink" Target="mailto:info@Shift%20Client.com" TargetMode="External"/><Relationship Id="rId26" Type="http://schemas.openxmlformats.org/officeDocument/2006/relationships/hyperlink" Target="mailto:info@Clientquipo.com" TargetMode="External"/><Relationship Id="rId3" Type="http://schemas.openxmlformats.org/officeDocument/2006/relationships/hyperlink" Target="mailto:info@clicli.com" TargetMode="External"/><Relationship Id="rId21" Type="http://schemas.openxmlformats.org/officeDocument/2006/relationships/hyperlink" Target="mailto:info@Data%20Client.com" TargetMode="External"/><Relationship Id="rId7" Type="http://schemas.openxmlformats.org/officeDocument/2006/relationships/hyperlink" Target="mailto:info@Optimize%20Client.com" TargetMode="External"/><Relationship Id="rId12" Type="http://schemas.openxmlformats.org/officeDocument/2006/relationships/hyperlink" Target="mailto:info@Clientology.com" TargetMode="External"/><Relationship Id="rId17" Type="http://schemas.openxmlformats.org/officeDocument/2006/relationships/hyperlink" Target="mailto:info@Clientella.com" TargetMode="External"/><Relationship Id="rId25" Type="http://schemas.openxmlformats.org/officeDocument/2006/relationships/hyperlink" Target="mailto:info@Micro%20Client.com" TargetMode="External"/><Relationship Id="rId2" Type="http://schemas.openxmlformats.org/officeDocument/2006/relationships/hyperlink" Target="mailto:dominik@mailyou.com" TargetMode="External"/><Relationship Id="rId16" Type="http://schemas.openxmlformats.org/officeDocument/2006/relationships/hyperlink" Target="mailto:info@Net%20Client.com" TargetMode="External"/><Relationship Id="rId20" Type="http://schemas.openxmlformats.org/officeDocument/2006/relationships/hyperlink" Target="mailto:info@Novus%20Client.com" TargetMode="External"/><Relationship Id="rId29" Type="http://schemas.openxmlformats.org/officeDocument/2006/relationships/hyperlink" Target="mailto:info@Logic%20Client.com" TargetMode="External"/><Relationship Id="rId1" Type="http://schemas.openxmlformats.org/officeDocument/2006/relationships/hyperlink" Target="mailto:maxiums@emailus.com" TargetMode="External"/><Relationship Id="rId6" Type="http://schemas.openxmlformats.org/officeDocument/2006/relationships/hyperlink" Target="mailto:info@Digital%20Client.com" TargetMode="External"/><Relationship Id="rId11" Type="http://schemas.openxmlformats.org/officeDocument/2006/relationships/hyperlink" Target="mailto:info@Module%20Client.com" TargetMode="External"/><Relationship Id="rId24" Type="http://schemas.openxmlformats.org/officeDocument/2006/relationships/hyperlink" Target="mailto:info@Infinity%20Client.com" TargetMode="External"/><Relationship Id="rId5" Type="http://schemas.openxmlformats.org/officeDocument/2006/relationships/hyperlink" Target="mailto:info@Engine%20Client.com" TargetMode="External"/><Relationship Id="rId15" Type="http://schemas.openxmlformats.org/officeDocument/2006/relationships/hyperlink" Target="mailto:info@Wise%20Client.com" TargetMode="External"/><Relationship Id="rId23" Type="http://schemas.openxmlformats.org/officeDocument/2006/relationships/hyperlink" Target="mailto:info@Disk%20Client.com" TargetMode="External"/><Relationship Id="rId28" Type="http://schemas.openxmlformats.org/officeDocument/2006/relationships/hyperlink" Target="mailto:info@Mecha%20Client.com" TargetMode="External"/><Relationship Id="rId10" Type="http://schemas.openxmlformats.org/officeDocument/2006/relationships/hyperlink" Target="mailto:info@Info%20Client.com" TargetMode="External"/><Relationship Id="rId19" Type="http://schemas.openxmlformats.org/officeDocument/2006/relationships/hyperlink" Target="mailto:info@Clientbia.com" TargetMode="External"/><Relationship Id="rId4" Type="http://schemas.openxmlformats.org/officeDocument/2006/relationships/hyperlink" Target="mailto:info@Clientadri.com" TargetMode="External"/><Relationship Id="rId9" Type="http://schemas.openxmlformats.org/officeDocument/2006/relationships/hyperlink" Target="mailto:info@Air%20Client.com" TargetMode="External"/><Relationship Id="rId14" Type="http://schemas.openxmlformats.org/officeDocument/2006/relationships/hyperlink" Target="mailto:info@Mega%20Client.com" TargetMode="External"/><Relationship Id="rId22" Type="http://schemas.openxmlformats.org/officeDocument/2006/relationships/hyperlink" Target="mailto:info@Clientops.com" TargetMode="External"/><Relationship Id="rId27" Type="http://schemas.openxmlformats.org/officeDocument/2006/relationships/hyperlink" Target="mailto:info@Core%20Client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93613-4159-457D-BE47-FCBBCBF5F33A}">
  <sheetPr codeName="Tabelle1"/>
  <dimension ref="B1:T241"/>
  <sheetViews>
    <sheetView showGridLines="0" workbookViewId="0"/>
  </sheetViews>
  <sheetFormatPr baseColWidth="10" defaultRowHeight="15" x14ac:dyDescent="0.25"/>
  <cols>
    <col min="1" max="1" width="5.7109375" customWidth="1"/>
    <col min="2" max="2" width="13.7109375" bestFit="1" customWidth="1"/>
    <col min="3" max="3" width="5.7109375" customWidth="1"/>
    <col min="4" max="4" width="10.140625" bestFit="1" customWidth="1"/>
    <col min="5" max="5" width="11.85546875" customWidth="1"/>
    <col min="6" max="6" width="5.7109375" customWidth="1"/>
    <col min="8" max="8" width="10.140625" bestFit="1" customWidth="1"/>
    <col min="9" max="9" width="5.7109375" customWidth="1"/>
    <col min="10" max="10" width="19.42578125" customWidth="1"/>
    <col min="11" max="11" width="10.140625" bestFit="1" customWidth="1"/>
    <col min="12" max="12" width="5.7109375" customWidth="1"/>
    <col min="13" max="13" width="25.5703125" bestFit="1" customWidth="1"/>
    <col min="14" max="14" width="10.140625" bestFit="1" customWidth="1"/>
    <col min="15" max="15" width="5.7109375" customWidth="1"/>
    <col min="16" max="16" width="25.7109375" bestFit="1" customWidth="1"/>
    <col min="17" max="17" width="10.140625" bestFit="1" customWidth="1"/>
    <col min="18" max="18" width="5.7109375" customWidth="1"/>
    <col min="19" max="19" width="13.85546875" customWidth="1"/>
  </cols>
  <sheetData>
    <row r="1" spans="2:20" x14ac:dyDescent="0.25">
      <c r="S1" s="15" t="s">
        <v>86</v>
      </c>
      <c r="T1" s="16">
        <f ca="1">TODAY()</f>
        <v>44264</v>
      </c>
    </row>
    <row r="2" spans="2:20" ht="2.1" customHeight="1" x14ac:dyDescent="0.25">
      <c r="S2" s="17"/>
      <c r="T2" s="18"/>
    </row>
    <row r="3" spans="2:20" ht="47.25" customHeight="1" x14ac:dyDescent="0.25">
      <c r="S3" s="19" t="s">
        <v>87</v>
      </c>
      <c r="T3" s="20">
        <v>10</v>
      </c>
    </row>
    <row r="4" spans="2:20" ht="2.1" customHeight="1" x14ac:dyDescent="0.25">
      <c r="S4" s="14"/>
    </row>
    <row r="5" spans="2:20" x14ac:dyDescent="0.25">
      <c r="J5" s="4" t="s">
        <v>10</v>
      </c>
      <c r="K5" s="22"/>
      <c r="M5" s="5" t="s">
        <v>8</v>
      </c>
      <c r="N5" s="5"/>
      <c r="P5" s="6" t="s">
        <v>11</v>
      </c>
      <c r="Q5" s="6"/>
    </row>
    <row r="6" spans="2:20" x14ac:dyDescent="0.25">
      <c r="B6" s="1" t="s">
        <v>7</v>
      </c>
      <c r="D6" s="1" t="s">
        <v>96</v>
      </c>
      <c r="E6" s="1" t="s">
        <v>97</v>
      </c>
      <c r="G6" s="1" t="s">
        <v>2</v>
      </c>
      <c r="H6" s="1" t="s">
        <v>96</v>
      </c>
      <c r="J6" s="1" t="s">
        <v>4</v>
      </c>
      <c r="K6" s="1" t="s">
        <v>96</v>
      </c>
      <c r="M6" s="1" t="s">
        <v>4</v>
      </c>
      <c r="N6" s="1" t="s">
        <v>96</v>
      </c>
      <c r="P6" s="1" t="s">
        <v>4</v>
      </c>
      <c r="Q6" s="1" t="s">
        <v>96</v>
      </c>
      <c r="T6" s="1" t="s">
        <v>6</v>
      </c>
    </row>
    <row r="7" spans="2:20" x14ac:dyDescent="0.25">
      <c r="B7" s="7" t="s">
        <v>88</v>
      </c>
      <c r="D7" s="7">
        <v>0</v>
      </c>
      <c r="E7" s="29" t="s">
        <v>103</v>
      </c>
      <c r="G7" s="7" t="s">
        <v>78</v>
      </c>
      <c r="H7" s="2">
        <v>4</v>
      </c>
      <c r="J7" s="7" t="s">
        <v>128</v>
      </c>
      <c r="K7" s="2">
        <v>4</v>
      </c>
      <c r="M7" s="7" t="s">
        <v>131</v>
      </c>
      <c r="N7" s="2">
        <v>1</v>
      </c>
      <c r="P7" s="7" t="s">
        <v>85</v>
      </c>
      <c r="Q7" s="2">
        <v>5</v>
      </c>
      <c r="S7" s="21">
        <f>-T3</f>
        <v>-10</v>
      </c>
      <c r="T7" s="11">
        <f ca="1">$T$1+S7</f>
        <v>44254</v>
      </c>
    </row>
    <row r="8" spans="2:20" x14ac:dyDescent="0.25">
      <c r="B8" s="8" t="s">
        <v>89</v>
      </c>
      <c r="D8" s="8">
        <v>1</v>
      </c>
      <c r="E8" s="28" t="s">
        <v>98</v>
      </c>
      <c r="G8" s="8" t="s">
        <v>77</v>
      </c>
      <c r="H8" s="2">
        <v>2</v>
      </c>
      <c r="J8" s="8" t="s">
        <v>79</v>
      </c>
      <c r="K8" s="2">
        <v>5</v>
      </c>
      <c r="M8" s="8" t="s">
        <v>81</v>
      </c>
      <c r="N8" s="2">
        <v>4</v>
      </c>
      <c r="P8" s="8" t="s">
        <v>84</v>
      </c>
      <c r="Q8" s="2">
        <v>2</v>
      </c>
      <c r="S8" s="21">
        <f>S7+1</f>
        <v>-9</v>
      </c>
      <c r="T8" s="12">
        <f t="shared" ref="T8:T71" ca="1" si="0">$T$1+S8</f>
        <v>44255</v>
      </c>
    </row>
    <row r="9" spans="2:20" x14ac:dyDescent="0.25">
      <c r="B9" s="8" t="s">
        <v>90</v>
      </c>
      <c r="D9" s="8">
        <v>2</v>
      </c>
      <c r="E9" s="24" t="s">
        <v>99</v>
      </c>
      <c r="G9" s="8" t="s">
        <v>76</v>
      </c>
      <c r="H9" s="2">
        <v>5</v>
      </c>
      <c r="J9" s="8" t="s">
        <v>80</v>
      </c>
      <c r="K9" s="2">
        <v>0</v>
      </c>
      <c r="M9" s="8" t="s">
        <v>82</v>
      </c>
      <c r="N9" s="2">
        <v>3</v>
      </c>
      <c r="P9" s="8" t="s">
        <v>83</v>
      </c>
      <c r="Q9" s="2">
        <v>1</v>
      </c>
      <c r="S9" s="21">
        <f t="shared" ref="S9:S72" si="1">S8+1</f>
        <v>-8</v>
      </c>
      <c r="T9" s="12">
        <f t="shared" ca="1" si="0"/>
        <v>44256</v>
      </c>
    </row>
    <row r="10" spans="2:20" x14ac:dyDescent="0.25">
      <c r="B10" s="8" t="s">
        <v>91</v>
      </c>
      <c r="D10" s="8">
        <v>3</v>
      </c>
      <c r="E10" s="25" t="s">
        <v>100</v>
      </c>
      <c r="G10" s="9"/>
      <c r="H10" s="2"/>
      <c r="J10" s="9" t="s">
        <v>130</v>
      </c>
      <c r="K10" s="2">
        <v>1</v>
      </c>
      <c r="M10" s="9" t="s">
        <v>135</v>
      </c>
      <c r="N10" s="2">
        <v>4</v>
      </c>
      <c r="P10" s="9" t="s">
        <v>128</v>
      </c>
      <c r="Q10" s="2">
        <v>4</v>
      </c>
      <c r="S10" s="21">
        <f t="shared" si="1"/>
        <v>-7</v>
      </c>
      <c r="T10" s="12">
        <f t="shared" ca="1" si="0"/>
        <v>44257</v>
      </c>
    </row>
    <row r="11" spans="2:20" x14ac:dyDescent="0.25">
      <c r="B11" s="8" t="s">
        <v>92</v>
      </c>
      <c r="D11" s="8">
        <v>4</v>
      </c>
      <c r="E11" s="26" t="s">
        <v>101</v>
      </c>
      <c r="S11" s="21">
        <f t="shared" si="1"/>
        <v>-6</v>
      </c>
      <c r="T11" s="12">
        <f t="shared" ca="1" si="0"/>
        <v>44258</v>
      </c>
    </row>
    <row r="12" spans="2:20" x14ac:dyDescent="0.25">
      <c r="B12" s="8" t="s">
        <v>93</v>
      </c>
      <c r="D12" s="23">
        <v>5</v>
      </c>
      <c r="E12" s="27" t="s">
        <v>102</v>
      </c>
      <c r="S12" s="21">
        <f t="shared" si="1"/>
        <v>-5</v>
      </c>
      <c r="T12" s="12">
        <f t="shared" ca="1" si="0"/>
        <v>44259</v>
      </c>
    </row>
    <row r="13" spans="2:20" x14ac:dyDescent="0.25">
      <c r="B13" s="8" t="s">
        <v>94</v>
      </c>
      <c r="S13" s="21">
        <f t="shared" si="1"/>
        <v>-4</v>
      </c>
      <c r="T13" s="12">
        <f t="shared" ca="1" si="0"/>
        <v>44260</v>
      </c>
    </row>
    <row r="14" spans="2:20" x14ac:dyDescent="0.25">
      <c r="B14" s="8" t="s">
        <v>95</v>
      </c>
      <c r="S14" s="21">
        <f t="shared" si="1"/>
        <v>-3</v>
      </c>
      <c r="T14" s="12">
        <f t="shared" ca="1" si="0"/>
        <v>44261</v>
      </c>
    </row>
    <row r="15" spans="2:20" x14ac:dyDescent="0.25">
      <c r="B15" s="8"/>
      <c r="S15" s="21">
        <f t="shared" si="1"/>
        <v>-2</v>
      </c>
      <c r="T15" s="12">
        <f t="shared" ca="1" si="0"/>
        <v>44262</v>
      </c>
    </row>
    <row r="16" spans="2:20" x14ac:dyDescent="0.25">
      <c r="B16" s="8"/>
      <c r="S16" s="21">
        <f t="shared" si="1"/>
        <v>-1</v>
      </c>
      <c r="T16" s="12">
        <f t="shared" ca="1" si="0"/>
        <v>44263</v>
      </c>
    </row>
    <row r="17" spans="2:20" x14ac:dyDescent="0.25">
      <c r="B17" s="8"/>
      <c r="S17" s="21">
        <f t="shared" si="1"/>
        <v>0</v>
      </c>
      <c r="T17" s="12">
        <f t="shared" ca="1" si="0"/>
        <v>44264</v>
      </c>
    </row>
    <row r="18" spans="2:20" x14ac:dyDescent="0.25">
      <c r="B18" s="9"/>
      <c r="S18" s="21">
        <f t="shared" si="1"/>
        <v>1</v>
      </c>
      <c r="T18" s="12">
        <f t="shared" ca="1" si="0"/>
        <v>44265</v>
      </c>
    </row>
    <row r="19" spans="2:20" x14ac:dyDescent="0.25">
      <c r="S19" s="21">
        <f t="shared" si="1"/>
        <v>2</v>
      </c>
      <c r="T19" s="12">
        <f t="shared" ca="1" si="0"/>
        <v>44266</v>
      </c>
    </row>
    <row r="20" spans="2:20" x14ac:dyDescent="0.25">
      <c r="S20" s="21">
        <f t="shared" si="1"/>
        <v>3</v>
      </c>
      <c r="T20" s="12">
        <f t="shared" ca="1" si="0"/>
        <v>44267</v>
      </c>
    </row>
    <row r="21" spans="2:20" x14ac:dyDescent="0.25">
      <c r="S21" s="21">
        <f t="shared" si="1"/>
        <v>4</v>
      </c>
      <c r="T21" s="12">
        <f t="shared" ca="1" si="0"/>
        <v>44268</v>
      </c>
    </row>
    <row r="22" spans="2:20" x14ac:dyDescent="0.25">
      <c r="S22" s="21">
        <f t="shared" si="1"/>
        <v>5</v>
      </c>
      <c r="T22" s="12">
        <f t="shared" ca="1" si="0"/>
        <v>44269</v>
      </c>
    </row>
    <row r="23" spans="2:20" x14ac:dyDescent="0.25">
      <c r="S23" s="21">
        <f t="shared" si="1"/>
        <v>6</v>
      </c>
      <c r="T23" s="12">
        <f t="shared" ca="1" si="0"/>
        <v>44270</v>
      </c>
    </row>
    <row r="24" spans="2:20" x14ac:dyDescent="0.25">
      <c r="S24" s="21">
        <f t="shared" si="1"/>
        <v>7</v>
      </c>
      <c r="T24" s="12">
        <f t="shared" ca="1" si="0"/>
        <v>44271</v>
      </c>
    </row>
    <row r="25" spans="2:20" x14ac:dyDescent="0.25">
      <c r="S25" s="21">
        <f t="shared" si="1"/>
        <v>8</v>
      </c>
      <c r="T25" s="12">
        <f t="shared" ca="1" si="0"/>
        <v>44272</v>
      </c>
    </row>
    <row r="26" spans="2:20" x14ac:dyDescent="0.25">
      <c r="S26" s="21">
        <f t="shared" si="1"/>
        <v>9</v>
      </c>
      <c r="T26" s="12">
        <f t="shared" ca="1" si="0"/>
        <v>44273</v>
      </c>
    </row>
    <row r="27" spans="2:20" x14ac:dyDescent="0.25">
      <c r="S27" s="21">
        <f t="shared" si="1"/>
        <v>10</v>
      </c>
      <c r="T27" s="12">
        <f t="shared" ca="1" si="0"/>
        <v>44274</v>
      </c>
    </row>
    <row r="28" spans="2:20" x14ac:dyDescent="0.25">
      <c r="S28" s="21">
        <f t="shared" si="1"/>
        <v>11</v>
      </c>
      <c r="T28" s="12">
        <f t="shared" ca="1" si="0"/>
        <v>44275</v>
      </c>
    </row>
    <row r="29" spans="2:20" x14ac:dyDescent="0.25">
      <c r="S29" s="21">
        <f t="shared" si="1"/>
        <v>12</v>
      </c>
      <c r="T29" s="12">
        <f t="shared" ca="1" si="0"/>
        <v>44276</v>
      </c>
    </row>
    <row r="30" spans="2:20" x14ac:dyDescent="0.25">
      <c r="S30" s="21">
        <f t="shared" si="1"/>
        <v>13</v>
      </c>
      <c r="T30" s="12">
        <f t="shared" ca="1" si="0"/>
        <v>44277</v>
      </c>
    </row>
    <row r="31" spans="2:20" x14ac:dyDescent="0.25">
      <c r="S31" s="21">
        <f t="shared" si="1"/>
        <v>14</v>
      </c>
      <c r="T31" s="12">
        <f t="shared" ca="1" si="0"/>
        <v>44278</v>
      </c>
    </row>
    <row r="32" spans="2:20" x14ac:dyDescent="0.25">
      <c r="S32" s="21">
        <f t="shared" si="1"/>
        <v>15</v>
      </c>
      <c r="T32" s="12">
        <f t="shared" ca="1" si="0"/>
        <v>44279</v>
      </c>
    </row>
    <row r="33" spans="19:20" x14ac:dyDescent="0.25">
      <c r="S33" s="21">
        <f t="shared" si="1"/>
        <v>16</v>
      </c>
      <c r="T33" s="12">
        <f t="shared" ca="1" si="0"/>
        <v>44280</v>
      </c>
    </row>
    <row r="34" spans="19:20" x14ac:dyDescent="0.25">
      <c r="S34" s="21">
        <f t="shared" si="1"/>
        <v>17</v>
      </c>
      <c r="T34" s="12">
        <f t="shared" ca="1" si="0"/>
        <v>44281</v>
      </c>
    </row>
    <row r="35" spans="19:20" x14ac:dyDescent="0.25">
      <c r="S35" s="21">
        <f t="shared" si="1"/>
        <v>18</v>
      </c>
      <c r="T35" s="12">
        <f t="shared" ca="1" si="0"/>
        <v>44282</v>
      </c>
    </row>
    <row r="36" spans="19:20" x14ac:dyDescent="0.25">
      <c r="S36" s="21">
        <f t="shared" si="1"/>
        <v>19</v>
      </c>
      <c r="T36" s="12">
        <f t="shared" ca="1" si="0"/>
        <v>44283</v>
      </c>
    </row>
    <row r="37" spans="19:20" x14ac:dyDescent="0.25">
      <c r="S37" s="21">
        <f t="shared" si="1"/>
        <v>20</v>
      </c>
      <c r="T37" s="12">
        <f t="shared" ca="1" si="0"/>
        <v>44284</v>
      </c>
    </row>
    <row r="38" spans="19:20" x14ac:dyDescent="0.25">
      <c r="S38" s="21">
        <f t="shared" si="1"/>
        <v>21</v>
      </c>
      <c r="T38" s="12">
        <f t="shared" ca="1" si="0"/>
        <v>44285</v>
      </c>
    </row>
    <row r="39" spans="19:20" x14ac:dyDescent="0.25">
      <c r="S39" s="21">
        <f t="shared" si="1"/>
        <v>22</v>
      </c>
      <c r="T39" s="12">
        <f t="shared" ca="1" si="0"/>
        <v>44286</v>
      </c>
    </row>
    <row r="40" spans="19:20" x14ac:dyDescent="0.25">
      <c r="S40" s="21">
        <f t="shared" si="1"/>
        <v>23</v>
      </c>
      <c r="T40" s="12">
        <f t="shared" ca="1" si="0"/>
        <v>44287</v>
      </c>
    </row>
    <row r="41" spans="19:20" x14ac:dyDescent="0.25">
      <c r="S41" s="21">
        <f t="shared" si="1"/>
        <v>24</v>
      </c>
      <c r="T41" s="12">
        <f t="shared" ca="1" si="0"/>
        <v>44288</v>
      </c>
    </row>
    <row r="42" spans="19:20" x14ac:dyDescent="0.25">
      <c r="S42" s="21">
        <f t="shared" si="1"/>
        <v>25</v>
      </c>
      <c r="T42" s="12">
        <f t="shared" ca="1" si="0"/>
        <v>44289</v>
      </c>
    </row>
    <row r="43" spans="19:20" x14ac:dyDescent="0.25">
      <c r="S43" s="21">
        <f t="shared" si="1"/>
        <v>26</v>
      </c>
      <c r="T43" s="12">
        <f t="shared" ca="1" si="0"/>
        <v>44290</v>
      </c>
    </row>
    <row r="44" spans="19:20" x14ac:dyDescent="0.25">
      <c r="S44" s="21">
        <f t="shared" si="1"/>
        <v>27</v>
      </c>
      <c r="T44" s="12">
        <f t="shared" ca="1" si="0"/>
        <v>44291</v>
      </c>
    </row>
    <row r="45" spans="19:20" x14ac:dyDescent="0.25">
      <c r="S45" s="21">
        <f t="shared" si="1"/>
        <v>28</v>
      </c>
      <c r="T45" s="12">
        <f t="shared" ca="1" si="0"/>
        <v>44292</v>
      </c>
    </row>
    <row r="46" spans="19:20" x14ac:dyDescent="0.25">
      <c r="S46" s="21">
        <f t="shared" si="1"/>
        <v>29</v>
      </c>
      <c r="T46" s="12">
        <f t="shared" ca="1" si="0"/>
        <v>44293</v>
      </c>
    </row>
    <row r="47" spans="19:20" x14ac:dyDescent="0.25">
      <c r="S47" s="21">
        <f t="shared" si="1"/>
        <v>30</v>
      </c>
      <c r="T47" s="12">
        <f t="shared" ca="1" si="0"/>
        <v>44294</v>
      </c>
    </row>
    <row r="48" spans="19:20" x14ac:dyDescent="0.25">
      <c r="S48" s="21">
        <f t="shared" si="1"/>
        <v>31</v>
      </c>
      <c r="T48" s="12">
        <f t="shared" ca="1" si="0"/>
        <v>44295</v>
      </c>
    </row>
    <row r="49" spans="19:20" x14ac:dyDescent="0.25">
      <c r="S49" s="21">
        <f t="shared" si="1"/>
        <v>32</v>
      </c>
      <c r="T49" s="12">
        <f t="shared" ca="1" si="0"/>
        <v>44296</v>
      </c>
    </row>
    <row r="50" spans="19:20" x14ac:dyDescent="0.25">
      <c r="S50" s="21">
        <f t="shared" si="1"/>
        <v>33</v>
      </c>
      <c r="T50" s="12">
        <f t="shared" ca="1" si="0"/>
        <v>44297</v>
      </c>
    </row>
    <row r="51" spans="19:20" x14ac:dyDescent="0.25">
      <c r="S51" s="21">
        <f t="shared" si="1"/>
        <v>34</v>
      </c>
      <c r="T51" s="12">
        <f t="shared" ca="1" si="0"/>
        <v>44298</v>
      </c>
    </row>
    <row r="52" spans="19:20" x14ac:dyDescent="0.25">
      <c r="S52" s="21">
        <f t="shared" si="1"/>
        <v>35</v>
      </c>
      <c r="T52" s="12">
        <f t="shared" ca="1" si="0"/>
        <v>44299</v>
      </c>
    </row>
    <row r="53" spans="19:20" x14ac:dyDescent="0.25">
      <c r="S53" s="21">
        <f t="shared" si="1"/>
        <v>36</v>
      </c>
      <c r="T53" s="12">
        <f t="shared" ca="1" si="0"/>
        <v>44300</v>
      </c>
    </row>
    <row r="54" spans="19:20" x14ac:dyDescent="0.25">
      <c r="S54" s="21">
        <f t="shared" si="1"/>
        <v>37</v>
      </c>
      <c r="T54" s="12">
        <f t="shared" ca="1" si="0"/>
        <v>44301</v>
      </c>
    </row>
    <row r="55" spans="19:20" x14ac:dyDescent="0.25">
      <c r="S55" s="21">
        <f t="shared" si="1"/>
        <v>38</v>
      </c>
      <c r="T55" s="12">
        <f t="shared" ca="1" si="0"/>
        <v>44302</v>
      </c>
    </row>
    <row r="56" spans="19:20" x14ac:dyDescent="0.25">
      <c r="S56" s="21">
        <f t="shared" si="1"/>
        <v>39</v>
      </c>
      <c r="T56" s="12">
        <f t="shared" ca="1" si="0"/>
        <v>44303</v>
      </c>
    </row>
    <row r="57" spans="19:20" x14ac:dyDescent="0.25">
      <c r="S57" s="21">
        <f t="shared" si="1"/>
        <v>40</v>
      </c>
      <c r="T57" s="12">
        <f t="shared" ca="1" si="0"/>
        <v>44304</v>
      </c>
    </row>
    <row r="58" spans="19:20" x14ac:dyDescent="0.25">
      <c r="S58" s="21">
        <f t="shared" si="1"/>
        <v>41</v>
      </c>
      <c r="T58" s="12">
        <f t="shared" ca="1" si="0"/>
        <v>44305</v>
      </c>
    </row>
    <row r="59" spans="19:20" x14ac:dyDescent="0.25">
      <c r="S59" s="21">
        <f t="shared" si="1"/>
        <v>42</v>
      </c>
      <c r="T59" s="12">
        <f t="shared" ca="1" si="0"/>
        <v>44306</v>
      </c>
    </row>
    <row r="60" spans="19:20" x14ac:dyDescent="0.25">
      <c r="S60" s="21">
        <f t="shared" si="1"/>
        <v>43</v>
      </c>
      <c r="T60" s="12">
        <f t="shared" ca="1" si="0"/>
        <v>44307</v>
      </c>
    </row>
    <row r="61" spans="19:20" x14ac:dyDescent="0.25">
      <c r="S61" s="21">
        <f t="shared" si="1"/>
        <v>44</v>
      </c>
      <c r="T61" s="12">
        <f t="shared" ca="1" si="0"/>
        <v>44308</v>
      </c>
    </row>
    <row r="62" spans="19:20" x14ac:dyDescent="0.25">
      <c r="S62" s="21">
        <f t="shared" si="1"/>
        <v>45</v>
      </c>
      <c r="T62" s="12">
        <f t="shared" ca="1" si="0"/>
        <v>44309</v>
      </c>
    </row>
    <row r="63" spans="19:20" x14ac:dyDescent="0.25">
      <c r="S63" s="21">
        <f t="shared" si="1"/>
        <v>46</v>
      </c>
      <c r="T63" s="12">
        <f t="shared" ca="1" si="0"/>
        <v>44310</v>
      </c>
    </row>
    <row r="64" spans="19:20" x14ac:dyDescent="0.25">
      <c r="S64" s="21">
        <f t="shared" si="1"/>
        <v>47</v>
      </c>
      <c r="T64" s="12">
        <f t="shared" ca="1" si="0"/>
        <v>44311</v>
      </c>
    </row>
    <row r="65" spans="19:20" x14ac:dyDescent="0.25">
      <c r="S65" s="21">
        <f t="shared" si="1"/>
        <v>48</v>
      </c>
      <c r="T65" s="12">
        <f t="shared" ca="1" si="0"/>
        <v>44312</v>
      </c>
    </row>
    <row r="66" spans="19:20" x14ac:dyDescent="0.25">
      <c r="S66" s="21">
        <f t="shared" si="1"/>
        <v>49</v>
      </c>
      <c r="T66" s="12">
        <f t="shared" ca="1" si="0"/>
        <v>44313</v>
      </c>
    </row>
    <row r="67" spans="19:20" x14ac:dyDescent="0.25">
      <c r="S67" s="21">
        <f t="shared" si="1"/>
        <v>50</v>
      </c>
      <c r="T67" s="12">
        <f t="shared" ca="1" si="0"/>
        <v>44314</v>
      </c>
    </row>
    <row r="68" spans="19:20" x14ac:dyDescent="0.25">
      <c r="S68" s="21">
        <f t="shared" si="1"/>
        <v>51</v>
      </c>
      <c r="T68" s="12">
        <f t="shared" ca="1" si="0"/>
        <v>44315</v>
      </c>
    </row>
    <row r="69" spans="19:20" x14ac:dyDescent="0.25">
      <c r="S69" s="21">
        <f t="shared" si="1"/>
        <v>52</v>
      </c>
      <c r="T69" s="12">
        <f t="shared" ca="1" si="0"/>
        <v>44316</v>
      </c>
    </row>
    <row r="70" spans="19:20" x14ac:dyDescent="0.25">
      <c r="S70" s="21">
        <f t="shared" si="1"/>
        <v>53</v>
      </c>
      <c r="T70" s="12">
        <f t="shared" ca="1" si="0"/>
        <v>44317</v>
      </c>
    </row>
    <row r="71" spans="19:20" x14ac:dyDescent="0.25">
      <c r="S71" s="21">
        <f t="shared" si="1"/>
        <v>54</v>
      </c>
      <c r="T71" s="12">
        <f t="shared" ca="1" si="0"/>
        <v>44318</v>
      </c>
    </row>
    <row r="72" spans="19:20" x14ac:dyDescent="0.25">
      <c r="S72" s="21">
        <f t="shared" si="1"/>
        <v>55</v>
      </c>
      <c r="T72" s="12">
        <f t="shared" ref="T72:T135" ca="1" si="2">$T$1+S72</f>
        <v>44319</v>
      </c>
    </row>
    <row r="73" spans="19:20" x14ac:dyDescent="0.25">
      <c r="S73" s="21">
        <f t="shared" ref="S73:S136" si="3">S72+1</f>
        <v>56</v>
      </c>
      <c r="T73" s="12">
        <f t="shared" ca="1" si="2"/>
        <v>44320</v>
      </c>
    </row>
    <row r="74" spans="19:20" x14ac:dyDescent="0.25">
      <c r="S74" s="21">
        <f t="shared" si="3"/>
        <v>57</v>
      </c>
      <c r="T74" s="12">
        <f t="shared" ca="1" si="2"/>
        <v>44321</v>
      </c>
    </row>
    <row r="75" spans="19:20" x14ac:dyDescent="0.25">
      <c r="S75" s="21">
        <f t="shared" si="3"/>
        <v>58</v>
      </c>
      <c r="T75" s="12">
        <f t="shared" ca="1" si="2"/>
        <v>44322</v>
      </c>
    </row>
    <row r="76" spans="19:20" x14ac:dyDescent="0.25">
      <c r="S76" s="21">
        <f t="shared" si="3"/>
        <v>59</v>
      </c>
      <c r="T76" s="12">
        <f t="shared" ca="1" si="2"/>
        <v>44323</v>
      </c>
    </row>
    <row r="77" spans="19:20" x14ac:dyDescent="0.25">
      <c r="S77" s="21">
        <f t="shared" si="3"/>
        <v>60</v>
      </c>
      <c r="T77" s="12">
        <f t="shared" ca="1" si="2"/>
        <v>44324</v>
      </c>
    </row>
    <row r="78" spans="19:20" x14ac:dyDescent="0.25">
      <c r="S78" s="21">
        <f t="shared" si="3"/>
        <v>61</v>
      </c>
      <c r="T78" s="12">
        <f t="shared" ca="1" si="2"/>
        <v>44325</v>
      </c>
    </row>
    <row r="79" spans="19:20" x14ac:dyDescent="0.25">
      <c r="S79" s="21">
        <f t="shared" si="3"/>
        <v>62</v>
      </c>
      <c r="T79" s="12">
        <f t="shared" ca="1" si="2"/>
        <v>44326</v>
      </c>
    </row>
    <row r="80" spans="19:20" x14ac:dyDescent="0.25">
      <c r="S80" s="21">
        <f t="shared" si="3"/>
        <v>63</v>
      </c>
      <c r="T80" s="12">
        <f t="shared" ca="1" si="2"/>
        <v>44327</v>
      </c>
    </row>
    <row r="81" spans="19:20" x14ac:dyDescent="0.25">
      <c r="S81" s="21">
        <f t="shared" si="3"/>
        <v>64</v>
      </c>
      <c r="T81" s="12">
        <f t="shared" ca="1" si="2"/>
        <v>44328</v>
      </c>
    </row>
    <row r="82" spans="19:20" x14ac:dyDescent="0.25">
      <c r="S82" s="21">
        <f t="shared" si="3"/>
        <v>65</v>
      </c>
      <c r="T82" s="12">
        <f t="shared" ca="1" si="2"/>
        <v>44329</v>
      </c>
    </row>
    <row r="83" spans="19:20" x14ac:dyDescent="0.25">
      <c r="S83" s="21">
        <f t="shared" si="3"/>
        <v>66</v>
      </c>
      <c r="T83" s="12">
        <f t="shared" ca="1" si="2"/>
        <v>44330</v>
      </c>
    </row>
    <row r="84" spans="19:20" x14ac:dyDescent="0.25">
      <c r="S84" s="21">
        <f t="shared" si="3"/>
        <v>67</v>
      </c>
      <c r="T84" s="12">
        <f t="shared" ca="1" si="2"/>
        <v>44331</v>
      </c>
    </row>
    <row r="85" spans="19:20" x14ac:dyDescent="0.25">
      <c r="S85" s="21">
        <f t="shared" si="3"/>
        <v>68</v>
      </c>
      <c r="T85" s="12">
        <f t="shared" ca="1" si="2"/>
        <v>44332</v>
      </c>
    </row>
    <row r="86" spans="19:20" x14ac:dyDescent="0.25">
      <c r="S86" s="21">
        <f t="shared" si="3"/>
        <v>69</v>
      </c>
      <c r="T86" s="12">
        <f t="shared" ca="1" si="2"/>
        <v>44333</v>
      </c>
    </row>
    <row r="87" spans="19:20" x14ac:dyDescent="0.25">
      <c r="S87" s="21">
        <f t="shared" si="3"/>
        <v>70</v>
      </c>
      <c r="T87" s="12">
        <f t="shared" ca="1" si="2"/>
        <v>44334</v>
      </c>
    </row>
    <row r="88" spans="19:20" x14ac:dyDescent="0.25">
      <c r="S88" s="21">
        <f t="shared" si="3"/>
        <v>71</v>
      </c>
      <c r="T88" s="12">
        <f t="shared" ca="1" si="2"/>
        <v>44335</v>
      </c>
    </row>
    <row r="89" spans="19:20" x14ac:dyDescent="0.25">
      <c r="S89" s="21">
        <f t="shared" si="3"/>
        <v>72</v>
      </c>
      <c r="T89" s="12">
        <f t="shared" ca="1" si="2"/>
        <v>44336</v>
      </c>
    </row>
    <row r="90" spans="19:20" x14ac:dyDescent="0.25">
      <c r="S90" s="21">
        <f t="shared" si="3"/>
        <v>73</v>
      </c>
      <c r="T90" s="12">
        <f t="shared" ca="1" si="2"/>
        <v>44337</v>
      </c>
    </row>
    <row r="91" spans="19:20" x14ac:dyDescent="0.25">
      <c r="S91" s="21">
        <f t="shared" si="3"/>
        <v>74</v>
      </c>
      <c r="T91" s="12">
        <f t="shared" ca="1" si="2"/>
        <v>44338</v>
      </c>
    </row>
    <row r="92" spans="19:20" x14ac:dyDescent="0.25">
      <c r="S92" s="21">
        <f t="shared" si="3"/>
        <v>75</v>
      </c>
      <c r="T92" s="12">
        <f t="shared" ca="1" si="2"/>
        <v>44339</v>
      </c>
    </row>
    <row r="93" spans="19:20" x14ac:dyDescent="0.25">
      <c r="S93" s="21">
        <f t="shared" si="3"/>
        <v>76</v>
      </c>
      <c r="T93" s="12">
        <f t="shared" ca="1" si="2"/>
        <v>44340</v>
      </c>
    </row>
    <row r="94" spans="19:20" x14ac:dyDescent="0.25">
      <c r="S94" s="21">
        <f t="shared" si="3"/>
        <v>77</v>
      </c>
      <c r="T94" s="12">
        <f t="shared" ca="1" si="2"/>
        <v>44341</v>
      </c>
    </row>
    <row r="95" spans="19:20" x14ac:dyDescent="0.25">
      <c r="S95" s="21">
        <f t="shared" si="3"/>
        <v>78</v>
      </c>
      <c r="T95" s="12">
        <f t="shared" ca="1" si="2"/>
        <v>44342</v>
      </c>
    </row>
    <row r="96" spans="19:20" x14ac:dyDescent="0.25">
      <c r="S96" s="21">
        <f t="shared" si="3"/>
        <v>79</v>
      </c>
      <c r="T96" s="12">
        <f t="shared" ca="1" si="2"/>
        <v>44343</v>
      </c>
    </row>
    <row r="97" spans="19:20" x14ac:dyDescent="0.25">
      <c r="S97" s="21">
        <f t="shared" si="3"/>
        <v>80</v>
      </c>
      <c r="T97" s="12">
        <f t="shared" ca="1" si="2"/>
        <v>44344</v>
      </c>
    </row>
    <row r="98" spans="19:20" x14ac:dyDescent="0.25">
      <c r="S98" s="21">
        <f t="shared" si="3"/>
        <v>81</v>
      </c>
      <c r="T98" s="12">
        <f t="shared" ca="1" si="2"/>
        <v>44345</v>
      </c>
    </row>
    <row r="99" spans="19:20" x14ac:dyDescent="0.25">
      <c r="S99" s="21">
        <f t="shared" si="3"/>
        <v>82</v>
      </c>
      <c r="T99" s="12">
        <f t="shared" ca="1" si="2"/>
        <v>44346</v>
      </c>
    </row>
    <row r="100" spans="19:20" x14ac:dyDescent="0.25">
      <c r="S100" s="21">
        <f t="shared" si="3"/>
        <v>83</v>
      </c>
      <c r="T100" s="12">
        <f t="shared" ca="1" si="2"/>
        <v>44347</v>
      </c>
    </row>
    <row r="101" spans="19:20" x14ac:dyDescent="0.25">
      <c r="S101" s="21">
        <f t="shared" si="3"/>
        <v>84</v>
      </c>
      <c r="T101" s="12">
        <f t="shared" ca="1" si="2"/>
        <v>44348</v>
      </c>
    </row>
    <row r="102" spans="19:20" x14ac:dyDescent="0.25">
      <c r="S102" s="21">
        <f t="shared" si="3"/>
        <v>85</v>
      </c>
      <c r="T102" s="12">
        <f t="shared" ca="1" si="2"/>
        <v>44349</v>
      </c>
    </row>
    <row r="103" spans="19:20" x14ac:dyDescent="0.25">
      <c r="S103" s="21">
        <f t="shared" si="3"/>
        <v>86</v>
      </c>
      <c r="T103" s="12">
        <f t="shared" ca="1" si="2"/>
        <v>44350</v>
      </c>
    </row>
    <row r="104" spans="19:20" x14ac:dyDescent="0.25">
      <c r="S104" s="21">
        <f t="shared" si="3"/>
        <v>87</v>
      </c>
      <c r="T104" s="12">
        <f t="shared" ca="1" si="2"/>
        <v>44351</v>
      </c>
    </row>
    <row r="105" spans="19:20" x14ac:dyDescent="0.25">
      <c r="S105" s="21">
        <f t="shared" si="3"/>
        <v>88</v>
      </c>
      <c r="T105" s="12">
        <f t="shared" ca="1" si="2"/>
        <v>44352</v>
      </c>
    </row>
    <row r="106" spans="19:20" x14ac:dyDescent="0.25">
      <c r="S106" s="21">
        <f t="shared" si="3"/>
        <v>89</v>
      </c>
      <c r="T106" s="12">
        <f t="shared" ca="1" si="2"/>
        <v>44353</v>
      </c>
    </row>
    <row r="107" spans="19:20" x14ac:dyDescent="0.25">
      <c r="S107" s="21">
        <f t="shared" si="3"/>
        <v>90</v>
      </c>
      <c r="T107" s="12">
        <f t="shared" ca="1" si="2"/>
        <v>44354</v>
      </c>
    </row>
    <row r="108" spans="19:20" x14ac:dyDescent="0.25">
      <c r="S108" s="21">
        <f t="shared" si="3"/>
        <v>91</v>
      </c>
      <c r="T108" s="12">
        <f t="shared" ca="1" si="2"/>
        <v>44355</v>
      </c>
    </row>
    <row r="109" spans="19:20" x14ac:dyDescent="0.25">
      <c r="S109" s="21">
        <f t="shared" si="3"/>
        <v>92</v>
      </c>
      <c r="T109" s="12">
        <f t="shared" ca="1" si="2"/>
        <v>44356</v>
      </c>
    </row>
    <row r="110" spans="19:20" x14ac:dyDescent="0.25">
      <c r="S110" s="21">
        <f t="shared" si="3"/>
        <v>93</v>
      </c>
      <c r="T110" s="12">
        <f t="shared" ca="1" si="2"/>
        <v>44357</v>
      </c>
    </row>
    <row r="111" spans="19:20" x14ac:dyDescent="0.25">
      <c r="S111" s="21">
        <f t="shared" si="3"/>
        <v>94</v>
      </c>
      <c r="T111" s="12">
        <f t="shared" ca="1" si="2"/>
        <v>44358</v>
      </c>
    </row>
    <row r="112" spans="19:20" x14ac:dyDescent="0.25">
      <c r="S112" s="21">
        <f t="shared" si="3"/>
        <v>95</v>
      </c>
      <c r="T112" s="12">
        <f t="shared" ca="1" si="2"/>
        <v>44359</v>
      </c>
    </row>
    <row r="113" spans="19:20" x14ac:dyDescent="0.25">
      <c r="S113" s="21">
        <f t="shared" si="3"/>
        <v>96</v>
      </c>
      <c r="T113" s="12">
        <f t="shared" ca="1" si="2"/>
        <v>44360</v>
      </c>
    </row>
    <row r="114" spans="19:20" x14ac:dyDescent="0.25">
      <c r="S114" s="21">
        <f t="shared" si="3"/>
        <v>97</v>
      </c>
      <c r="T114" s="12">
        <f t="shared" ca="1" si="2"/>
        <v>44361</v>
      </c>
    </row>
    <row r="115" spans="19:20" x14ac:dyDescent="0.25">
      <c r="S115" s="21">
        <f t="shared" si="3"/>
        <v>98</v>
      </c>
      <c r="T115" s="12">
        <f t="shared" ca="1" si="2"/>
        <v>44362</v>
      </c>
    </row>
    <row r="116" spans="19:20" x14ac:dyDescent="0.25">
      <c r="S116" s="21">
        <f t="shared" si="3"/>
        <v>99</v>
      </c>
      <c r="T116" s="12">
        <f t="shared" ca="1" si="2"/>
        <v>44363</v>
      </c>
    </row>
    <row r="117" spans="19:20" x14ac:dyDescent="0.25">
      <c r="S117" s="21">
        <f t="shared" si="3"/>
        <v>100</v>
      </c>
      <c r="T117" s="12">
        <f t="shared" ca="1" si="2"/>
        <v>44364</v>
      </c>
    </row>
    <row r="118" spans="19:20" x14ac:dyDescent="0.25">
      <c r="S118" s="21">
        <f t="shared" si="3"/>
        <v>101</v>
      </c>
      <c r="T118" s="12">
        <f t="shared" ca="1" si="2"/>
        <v>44365</v>
      </c>
    </row>
    <row r="119" spans="19:20" x14ac:dyDescent="0.25">
      <c r="S119" s="21">
        <f t="shared" si="3"/>
        <v>102</v>
      </c>
      <c r="T119" s="12">
        <f t="shared" ca="1" si="2"/>
        <v>44366</v>
      </c>
    </row>
    <row r="120" spans="19:20" x14ac:dyDescent="0.25">
      <c r="S120" s="21">
        <f t="shared" si="3"/>
        <v>103</v>
      </c>
      <c r="T120" s="12">
        <f t="shared" ca="1" si="2"/>
        <v>44367</v>
      </c>
    </row>
    <row r="121" spans="19:20" x14ac:dyDescent="0.25">
      <c r="S121" s="21">
        <f t="shared" si="3"/>
        <v>104</v>
      </c>
      <c r="T121" s="12">
        <f t="shared" ca="1" si="2"/>
        <v>44368</v>
      </c>
    </row>
    <row r="122" spans="19:20" x14ac:dyDescent="0.25">
      <c r="S122" s="21">
        <f t="shared" si="3"/>
        <v>105</v>
      </c>
      <c r="T122" s="12">
        <f t="shared" ca="1" si="2"/>
        <v>44369</v>
      </c>
    </row>
    <row r="123" spans="19:20" x14ac:dyDescent="0.25">
      <c r="S123" s="21">
        <f t="shared" si="3"/>
        <v>106</v>
      </c>
      <c r="T123" s="12">
        <f t="shared" ca="1" si="2"/>
        <v>44370</v>
      </c>
    </row>
    <row r="124" spans="19:20" x14ac:dyDescent="0.25">
      <c r="S124" s="21">
        <f t="shared" si="3"/>
        <v>107</v>
      </c>
      <c r="T124" s="12">
        <f t="shared" ca="1" si="2"/>
        <v>44371</v>
      </c>
    </row>
    <row r="125" spans="19:20" x14ac:dyDescent="0.25">
      <c r="S125" s="21">
        <f t="shared" si="3"/>
        <v>108</v>
      </c>
      <c r="T125" s="12">
        <f t="shared" ca="1" si="2"/>
        <v>44372</v>
      </c>
    </row>
    <row r="126" spans="19:20" x14ac:dyDescent="0.25">
      <c r="S126" s="21">
        <f t="shared" si="3"/>
        <v>109</v>
      </c>
      <c r="T126" s="12">
        <f t="shared" ca="1" si="2"/>
        <v>44373</v>
      </c>
    </row>
    <row r="127" spans="19:20" x14ac:dyDescent="0.25">
      <c r="S127" s="21">
        <f t="shared" si="3"/>
        <v>110</v>
      </c>
      <c r="T127" s="12">
        <f t="shared" ca="1" si="2"/>
        <v>44374</v>
      </c>
    </row>
    <row r="128" spans="19:20" x14ac:dyDescent="0.25">
      <c r="S128" s="21">
        <f t="shared" si="3"/>
        <v>111</v>
      </c>
      <c r="T128" s="12">
        <f t="shared" ca="1" si="2"/>
        <v>44375</v>
      </c>
    </row>
    <row r="129" spans="19:20" x14ac:dyDescent="0.25">
      <c r="S129" s="21">
        <f t="shared" si="3"/>
        <v>112</v>
      </c>
      <c r="T129" s="12">
        <f t="shared" ca="1" si="2"/>
        <v>44376</v>
      </c>
    </row>
    <row r="130" spans="19:20" x14ac:dyDescent="0.25">
      <c r="S130" s="21">
        <f t="shared" si="3"/>
        <v>113</v>
      </c>
      <c r="T130" s="12">
        <f t="shared" ca="1" si="2"/>
        <v>44377</v>
      </c>
    </row>
    <row r="131" spans="19:20" x14ac:dyDescent="0.25">
      <c r="S131" s="21">
        <f t="shared" si="3"/>
        <v>114</v>
      </c>
      <c r="T131" s="12">
        <f t="shared" ca="1" si="2"/>
        <v>44378</v>
      </c>
    </row>
    <row r="132" spans="19:20" x14ac:dyDescent="0.25">
      <c r="S132" s="21">
        <f t="shared" si="3"/>
        <v>115</v>
      </c>
      <c r="T132" s="12">
        <f t="shared" ca="1" si="2"/>
        <v>44379</v>
      </c>
    </row>
    <row r="133" spans="19:20" x14ac:dyDescent="0.25">
      <c r="S133" s="21">
        <f t="shared" si="3"/>
        <v>116</v>
      </c>
      <c r="T133" s="12">
        <f t="shared" ca="1" si="2"/>
        <v>44380</v>
      </c>
    </row>
    <row r="134" spans="19:20" x14ac:dyDescent="0.25">
      <c r="S134" s="21">
        <f t="shared" si="3"/>
        <v>117</v>
      </c>
      <c r="T134" s="12">
        <f t="shared" ca="1" si="2"/>
        <v>44381</v>
      </c>
    </row>
    <row r="135" spans="19:20" x14ac:dyDescent="0.25">
      <c r="S135" s="21">
        <f t="shared" si="3"/>
        <v>118</v>
      </c>
      <c r="T135" s="12">
        <f t="shared" ca="1" si="2"/>
        <v>44382</v>
      </c>
    </row>
    <row r="136" spans="19:20" x14ac:dyDescent="0.25">
      <c r="S136" s="21">
        <f t="shared" si="3"/>
        <v>119</v>
      </c>
      <c r="T136" s="12">
        <f t="shared" ref="T136:T199" ca="1" si="4">$T$1+S136</f>
        <v>44383</v>
      </c>
    </row>
    <row r="137" spans="19:20" x14ac:dyDescent="0.25">
      <c r="S137" s="21">
        <f t="shared" ref="S137:S200" si="5">S136+1</f>
        <v>120</v>
      </c>
      <c r="T137" s="12">
        <f t="shared" ca="1" si="4"/>
        <v>44384</v>
      </c>
    </row>
    <row r="138" spans="19:20" x14ac:dyDescent="0.25">
      <c r="S138" s="21">
        <f t="shared" si="5"/>
        <v>121</v>
      </c>
      <c r="T138" s="12">
        <f t="shared" ca="1" si="4"/>
        <v>44385</v>
      </c>
    </row>
    <row r="139" spans="19:20" x14ac:dyDescent="0.25">
      <c r="S139" s="21">
        <f t="shared" si="5"/>
        <v>122</v>
      </c>
      <c r="T139" s="12">
        <f t="shared" ca="1" si="4"/>
        <v>44386</v>
      </c>
    </row>
    <row r="140" spans="19:20" x14ac:dyDescent="0.25">
      <c r="S140" s="21">
        <f t="shared" si="5"/>
        <v>123</v>
      </c>
      <c r="T140" s="12">
        <f t="shared" ca="1" si="4"/>
        <v>44387</v>
      </c>
    </row>
    <row r="141" spans="19:20" x14ac:dyDescent="0.25">
      <c r="S141" s="21">
        <f t="shared" si="5"/>
        <v>124</v>
      </c>
      <c r="T141" s="12">
        <f t="shared" ca="1" si="4"/>
        <v>44388</v>
      </c>
    </row>
    <row r="142" spans="19:20" x14ac:dyDescent="0.25">
      <c r="S142" s="21">
        <f t="shared" si="5"/>
        <v>125</v>
      </c>
      <c r="T142" s="12">
        <f t="shared" ca="1" si="4"/>
        <v>44389</v>
      </c>
    </row>
    <row r="143" spans="19:20" x14ac:dyDescent="0.25">
      <c r="S143" s="21">
        <f t="shared" si="5"/>
        <v>126</v>
      </c>
      <c r="T143" s="12">
        <f t="shared" ca="1" si="4"/>
        <v>44390</v>
      </c>
    </row>
    <row r="144" spans="19:20" x14ac:dyDescent="0.25">
      <c r="S144" s="21">
        <f t="shared" si="5"/>
        <v>127</v>
      </c>
      <c r="T144" s="12">
        <f t="shared" ca="1" si="4"/>
        <v>44391</v>
      </c>
    </row>
    <row r="145" spans="19:20" x14ac:dyDescent="0.25">
      <c r="S145" s="21">
        <f t="shared" si="5"/>
        <v>128</v>
      </c>
      <c r="T145" s="12">
        <f t="shared" ca="1" si="4"/>
        <v>44392</v>
      </c>
    </row>
    <row r="146" spans="19:20" x14ac:dyDescent="0.25">
      <c r="S146" s="21">
        <f t="shared" si="5"/>
        <v>129</v>
      </c>
      <c r="T146" s="12">
        <f t="shared" ca="1" si="4"/>
        <v>44393</v>
      </c>
    </row>
    <row r="147" spans="19:20" x14ac:dyDescent="0.25">
      <c r="S147" s="21">
        <f t="shared" si="5"/>
        <v>130</v>
      </c>
      <c r="T147" s="12">
        <f t="shared" ca="1" si="4"/>
        <v>44394</v>
      </c>
    </row>
    <row r="148" spans="19:20" x14ac:dyDescent="0.25">
      <c r="S148" s="21">
        <f t="shared" si="5"/>
        <v>131</v>
      </c>
      <c r="T148" s="12">
        <f t="shared" ca="1" si="4"/>
        <v>44395</v>
      </c>
    </row>
    <row r="149" spans="19:20" x14ac:dyDescent="0.25">
      <c r="S149" s="21">
        <f t="shared" si="5"/>
        <v>132</v>
      </c>
      <c r="T149" s="12">
        <f t="shared" ca="1" si="4"/>
        <v>44396</v>
      </c>
    </row>
    <row r="150" spans="19:20" x14ac:dyDescent="0.25">
      <c r="S150" s="21">
        <f t="shared" si="5"/>
        <v>133</v>
      </c>
      <c r="T150" s="12">
        <f t="shared" ca="1" si="4"/>
        <v>44397</v>
      </c>
    </row>
    <row r="151" spans="19:20" x14ac:dyDescent="0.25">
      <c r="S151" s="21">
        <f t="shared" si="5"/>
        <v>134</v>
      </c>
      <c r="T151" s="12">
        <f t="shared" ca="1" si="4"/>
        <v>44398</v>
      </c>
    </row>
    <row r="152" spans="19:20" x14ac:dyDescent="0.25">
      <c r="S152" s="21">
        <f t="shared" si="5"/>
        <v>135</v>
      </c>
      <c r="T152" s="12">
        <f t="shared" ca="1" si="4"/>
        <v>44399</v>
      </c>
    </row>
    <row r="153" spans="19:20" x14ac:dyDescent="0.25">
      <c r="S153" s="21">
        <f t="shared" si="5"/>
        <v>136</v>
      </c>
      <c r="T153" s="12">
        <f t="shared" ca="1" si="4"/>
        <v>44400</v>
      </c>
    </row>
    <row r="154" spans="19:20" x14ac:dyDescent="0.25">
      <c r="S154" s="21">
        <f t="shared" si="5"/>
        <v>137</v>
      </c>
      <c r="T154" s="12">
        <f t="shared" ca="1" si="4"/>
        <v>44401</v>
      </c>
    </row>
    <row r="155" spans="19:20" x14ac:dyDescent="0.25">
      <c r="S155" s="21">
        <f t="shared" si="5"/>
        <v>138</v>
      </c>
      <c r="T155" s="12">
        <f t="shared" ca="1" si="4"/>
        <v>44402</v>
      </c>
    </row>
    <row r="156" spans="19:20" x14ac:dyDescent="0.25">
      <c r="S156" s="21">
        <f t="shared" si="5"/>
        <v>139</v>
      </c>
      <c r="T156" s="12">
        <f t="shared" ca="1" si="4"/>
        <v>44403</v>
      </c>
    </row>
    <row r="157" spans="19:20" x14ac:dyDescent="0.25">
      <c r="S157" s="21">
        <f t="shared" si="5"/>
        <v>140</v>
      </c>
      <c r="T157" s="12">
        <f t="shared" ca="1" si="4"/>
        <v>44404</v>
      </c>
    </row>
    <row r="158" spans="19:20" x14ac:dyDescent="0.25">
      <c r="S158" s="21">
        <f t="shared" si="5"/>
        <v>141</v>
      </c>
      <c r="T158" s="12">
        <f t="shared" ca="1" si="4"/>
        <v>44405</v>
      </c>
    </row>
    <row r="159" spans="19:20" x14ac:dyDescent="0.25">
      <c r="S159" s="21">
        <f t="shared" si="5"/>
        <v>142</v>
      </c>
      <c r="T159" s="12">
        <f t="shared" ca="1" si="4"/>
        <v>44406</v>
      </c>
    </row>
    <row r="160" spans="19:20" x14ac:dyDescent="0.25">
      <c r="S160" s="21">
        <f t="shared" si="5"/>
        <v>143</v>
      </c>
      <c r="T160" s="12">
        <f t="shared" ca="1" si="4"/>
        <v>44407</v>
      </c>
    </row>
    <row r="161" spans="19:20" x14ac:dyDescent="0.25">
      <c r="S161" s="21">
        <f t="shared" si="5"/>
        <v>144</v>
      </c>
      <c r="T161" s="12">
        <f t="shared" ca="1" si="4"/>
        <v>44408</v>
      </c>
    </row>
    <row r="162" spans="19:20" x14ac:dyDescent="0.25">
      <c r="S162" s="21">
        <f t="shared" si="5"/>
        <v>145</v>
      </c>
      <c r="T162" s="12">
        <f t="shared" ca="1" si="4"/>
        <v>44409</v>
      </c>
    </row>
    <row r="163" spans="19:20" x14ac:dyDescent="0.25">
      <c r="S163" s="21">
        <f t="shared" si="5"/>
        <v>146</v>
      </c>
      <c r="T163" s="12">
        <f t="shared" ca="1" si="4"/>
        <v>44410</v>
      </c>
    </row>
    <row r="164" spans="19:20" x14ac:dyDescent="0.25">
      <c r="S164" s="21">
        <f t="shared" si="5"/>
        <v>147</v>
      </c>
      <c r="T164" s="12">
        <f t="shared" ca="1" si="4"/>
        <v>44411</v>
      </c>
    </row>
    <row r="165" spans="19:20" x14ac:dyDescent="0.25">
      <c r="S165" s="21">
        <f t="shared" si="5"/>
        <v>148</v>
      </c>
      <c r="T165" s="12">
        <f t="shared" ca="1" si="4"/>
        <v>44412</v>
      </c>
    </row>
    <row r="166" spans="19:20" x14ac:dyDescent="0.25">
      <c r="S166" s="21">
        <f t="shared" si="5"/>
        <v>149</v>
      </c>
      <c r="T166" s="12">
        <f t="shared" ca="1" si="4"/>
        <v>44413</v>
      </c>
    </row>
    <row r="167" spans="19:20" x14ac:dyDescent="0.25">
      <c r="S167" s="21">
        <f t="shared" si="5"/>
        <v>150</v>
      </c>
      <c r="T167" s="12">
        <f t="shared" ca="1" si="4"/>
        <v>44414</v>
      </c>
    </row>
    <row r="168" spans="19:20" x14ac:dyDescent="0.25">
      <c r="S168" s="21">
        <f t="shared" si="5"/>
        <v>151</v>
      </c>
      <c r="T168" s="12">
        <f t="shared" ca="1" si="4"/>
        <v>44415</v>
      </c>
    </row>
    <row r="169" spans="19:20" x14ac:dyDescent="0.25">
      <c r="S169" s="21">
        <f t="shared" si="5"/>
        <v>152</v>
      </c>
      <c r="T169" s="12">
        <f t="shared" ca="1" si="4"/>
        <v>44416</v>
      </c>
    </row>
    <row r="170" spans="19:20" x14ac:dyDescent="0.25">
      <c r="S170" s="21">
        <f t="shared" si="5"/>
        <v>153</v>
      </c>
      <c r="T170" s="12">
        <f t="shared" ca="1" si="4"/>
        <v>44417</v>
      </c>
    </row>
    <row r="171" spans="19:20" x14ac:dyDescent="0.25">
      <c r="S171" s="21">
        <f t="shared" si="5"/>
        <v>154</v>
      </c>
      <c r="T171" s="12">
        <f t="shared" ca="1" si="4"/>
        <v>44418</v>
      </c>
    </row>
    <row r="172" spans="19:20" x14ac:dyDescent="0.25">
      <c r="S172" s="21">
        <f t="shared" si="5"/>
        <v>155</v>
      </c>
      <c r="T172" s="12">
        <f t="shared" ca="1" si="4"/>
        <v>44419</v>
      </c>
    </row>
    <row r="173" spans="19:20" x14ac:dyDescent="0.25">
      <c r="S173" s="21">
        <f t="shared" si="5"/>
        <v>156</v>
      </c>
      <c r="T173" s="12">
        <f t="shared" ca="1" si="4"/>
        <v>44420</v>
      </c>
    </row>
    <row r="174" spans="19:20" x14ac:dyDescent="0.25">
      <c r="S174" s="21">
        <f t="shared" si="5"/>
        <v>157</v>
      </c>
      <c r="T174" s="12">
        <f t="shared" ca="1" si="4"/>
        <v>44421</v>
      </c>
    </row>
    <row r="175" spans="19:20" x14ac:dyDescent="0.25">
      <c r="S175" s="21">
        <f t="shared" si="5"/>
        <v>158</v>
      </c>
      <c r="T175" s="12">
        <f t="shared" ca="1" si="4"/>
        <v>44422</v>
      </c>
    </row>
    <row r="176" spans="19:20" x14ac:dyDescent="0.25">
      <c r="S176" s="21">
        <f t="shared" si="5"/>
        <v>159</v>
      </c>
      <c r="T176" s="12">
        <f t="shared" ca="1" si="4"/>
        <v>44423</v>
      </c>
    </row>
    <row r="177" spans="19:20" x14ac:dyDescent="0.25">
      <c r="S177" s="21">
        <f t="shared" si="5"/>
        <v>160</v>
      </c>
      <c r="T177" s="12">
        <f t="shared" ca="1" si="4"/>
        <v>44424</v>
      </c>
    </row>
    <row r="178" spans="19:20" x14ac:dyDescent="0.25">
      <c r="S178" s="21">
        <f t="shared" si="5"/>
        <v>161</v>
      </c>
      <c r="T178" s="12">
        <f t="shared" ca="1" si="4"/>
        <v>44425</v>
      </c>
    </row>
    <row r="179" spans="19:20" x14ac:dyDescent="0.25">
      <c r="S179" s="21">
        <f t="shared" si="5"/>
        <v>162</v>
      </c>
      <c r="T179" s="12">
        <f t="shared" ca="1" si="4"/>
        <v>44426</v>
      </c>
    </row>
    <row r="180" spans="19:20" x14ac:dyDescent="0.25">
      <c r="S180" s="21">
        <f t="shared" si="5"/>
        <v>163</v>
      </c>
      <c r="T180" s="12">
        <f t="shared" ca="1" si="4"/>
        <v>44427</v>
      </c>
    </row>
    <row r="181" spans="19:20" x14ac:dyDescent="0.25">
      <c r="S181" s="21">
        <f t="shared" si="5"/>
        <v>164</v>
      </c>
      <c r="T181" s="12">
        <f t="shared" ca="1" si="4"/>
        <v>44428</v>
      </c>
    </row>
    <row r="182" spans="19:20" x14ac:dyDescent="0.25">
      <c r="S182" s="21">
        <f t="shared" si="5"/>
        <v>165</v>
      </c>
      <c r="T182" s="12">
        <f t="shared" ca="1" si="4"/>
        <v>44429</v>
      </c>
    </row>
    <row r="183" spans="19:20" x14ac:dyDescent="0.25">
      <c r="S183" s="21">
        <f t="shared" si="5"/>
        <v>166</v>
      </c>
      <c r="T183" s="12">
        <f t="shared" ca="1" si="4"/>
        <v>44430</v>
      </c>
    </row>
    <row r="184" spans="19:20" x14ac:dyDescent="0.25">
      <c r="S184" s="21">
        <f t="shared" si="5"/>
        <v>167</v>
      </c>
      <c r="T184" s="12">
        <f t="shared" ca="1" si="4"/>
        <v>44431</v>
      </c>
    </row>
    <row r="185" spans="19:20" x14ac:dyDescent="0.25">
      <c r="S185" s="21">
        <f t="shared" si="5"/>
        <v>168</v>
      </c>
      <c r="T185" s="12">
        <f t="shared" ca="1" si="4"/>
        <v>44432</v>
      </c>
    </row>
    <row r="186" spans="19:20" x14ac:dyDescent="0.25">
      <c r="S186" s="21">
        <f t="shared" si="5"/>
        <v>169</v>
      </c>
      <c r="T186" s="12">
        <f t="shared" ca="1" si="4"/>
        <v>44433</v>
      </c>
    </row>
    <row r="187" spans="19:20" x14ac:dyDescent="0.25">
      <c r="S187" s="21">
        <f t="shared" si="5"/>
        <v>170</v>
      </c>
      <c r="T187" s="12">
        <f t="shared" ca="1" si="4"/>
        <v>44434</v>
      </c>
    </row>
    <row r="188" spans="19:20" x14ac:dyDescent="0.25">
      <c r="S188" s="21">
        <f t="shared" si="5"/>
        <v>171</v>
      </c>
      <c r="T188" s="12">
        <f t="shared" ca="1" si="4"/>
        <v>44435</v>
      </c>
    </row>
    <row r="189" spans="19:20" x14ac:dyDescent="0.25">
      <c r="S189" s="21">
        <f t="shared" si="5"/>
        <v>172</v>
      </c>
      <c r="T189" s="12">
        <f t="shared" ca="1" si="4"/>
        <v>44436</v>
      </c>
    </row>
    <row r="190" spans="19:20" x14ac:dyDescent="0.25">
      <c r="S190" s="21">
        <f t="shared" si="5"/>
        <v>173</v>
      </c>
      <c r="T190" s="12">
        <f t="shared" ca="1" si="4"/>
        <v>44437</v>
      </c>
    </row>
    <row r="191" spans="19:20" x14ac:dyDescent="0.25">
      <c r="S191" s="21">
        <f t="shared" si="5"/>
        <v>174</v>
      </c>
      <c r="T191" s="12">
        <f t="shared" ca="1" si="4"/>
        <v>44438</v>
      </c>
    </row>
    <row r="192" spans="19:20" x14ac:dyDescent="0.25">
      <c r="S192" s="21">
        <f t="shared" si="5"/>
        <v>175</v>
      </c>
      <c r="T192" s="12">
        <f t="shared" ca="1" si="4"/>
        <v>44439</v>
      </c>
    </row>
    <row r="193" spans="19:20" x14ac:dyDescent="0.25">
      <c r="S193" s="21">
        <f t="shared" si="5"/>
        <v>176</v>
      </c>
      <c r="T193" s="12">
        <f t="shared" ca="1" si="4"/>
        <v>44440</v>
      </c>
    </row>
    <row r="194" spans="19:20" x14ac:dyDescent="0.25">
      <c r="S194" s="21">
        <f t="shared" si="5"/>
        <v>177</v>
      </c>
      <c r="T194" s="12">
        <f t="shared" ca="1" si="4"/>
        <v>44441</v>
      </c>
    </row>
    <row r="195" spans="19:20" x14ac:dyDescent="0.25">
      <c r="S195" s="21">
        <f t="shared" si="5"/>
        <v>178</v>
      </c>
      <c r="T195" s="12">
        <f t="shared" ca="1" si="4"/>
        <v>44442</v>
      </c>
    </row>
    <row r="196" spans="19:20" x14ac:dyDescent="0.25">
      <c r="S196" s="21">
        <f t="shared" si="5"/>
        <v>179</v>
      </c>
      <c r="T196" s="12">
        <f t="shared" ca="1" si="4"/>
        <v>44443</v>
      </c>
    </row>
    <row r="197" spans="19:20" x14ac:dyDescent="0.25">
      <c r="S197" s="21">
        <f t="shared" si="5"/>
        <v>180</v>
      </c>
      <c r="T197" s="12">
        <f t="shared" ca="1" si="4"/>
        <v>44444</v>
      </c>
    </row>
    <row r="198" spans="19:20" x14ac:dyDescent="0.25">
      <c r="S198" s="21">
        <f t="shared" si="5"/>
        <v>181</v>
      </c>
      <c r="T198" s="12">
        <f t="shared" ca="1" si="4"/>
        <v>44445</v>
      </c>
    </row>
    <row r="199" spans="19:20" x14ac:dyDescent="0.25">
      <c r="S199" s="21">
        <f t="shared" si="5"/>
        <v>182</v>
      </c>
      <c r="T199" s="12">
        <f t="shared" ca="1" si="4"/>
        <v>44446</v>
      </c>
    </row>
    <row r="200" spans="19:20" x14ac:dyDescent="0.25">
      <c r="S200" s="21">
        <f t="shared" si="5"/>
        <v>183</v>
      </c>
      <c r="T200" s="12">
        <f t="shared" ref="T200:T237" ca="1" si="6">$T$1+S200</f>
        <v>44447</v>
      </c>
    </row>
    <row r="201" spans="19:20" x14ac:dyDescent="0.25">
      <c r="S201" s="21">
        <f t="shared" ref="S201:S237" si="7">S200+1</f>
        <v>184</v>
      </c>
      <c r="T201" s="12">
        <f t="shared" ca="1" si="6"/>
        <v>44448</v>
      </c>
    </row>
    <row r="202" spans="19:20" x14ac:dyDescent="0.25">
      <c r="S202" s="21">
        <f t="shared" si="7"/>
        <v>185</v>
      </c>
      <c r="T202" s="12">
        <f t="shared" ca="1" si="6"/>
        <v>44449</v>
      </c>
    </row>
    <row r="203" spans="19:20" x14ac:dyDescent="0.25">
      <c r="S203" s="21">
        <f t="shared" si="7"/>
        <v>186</v>
      </c>
      <c r="T203" s="12">
        <f t="shared" ca="1" si="6"/>
        <v>44450</v>
      </c>
    </row>
    <row r="204" spans="19:20" x14ac:dyDescent="0.25">
      <c r="S204" s="21">
        <f t="shared" si="7"/>
        <v>187</v>
      </c>
      <c r="T204" s="12">
        <f t="shared" ca="1" si="6"/>
        <v>44451</v>
      </c>
    </row>
    <row r="205" spans="19:20" x14ac:dyDescent="0.25">
      <c r="S205" s="21">
        <f t="shared" si="7"/>
        <v>188</v>
      </c>
      <c r="T205" s="12">
        <f t="shared" ca="1" si="6"/>
        <v>44452</v>
      </c>
    </row>
    <row r="206" spans="19:20" x14ac:dyDescent="0.25">
      <c r="S206" s="21">
        <f t="shared" si="7"/>
        <v>189</v>
      </c>
      <c r="T206" s="12">
        <f t="shared" ca="1" si="6"/>
        <v>44453</v>
      </c>
    </row>
    <row r="207" spans="19:20" x14ac:dyDescent="0.25">
      <c r="S207" s="21">
        <f t="shared" si="7"/>
        <v>190</v>
      </c>
      <c r="T207" s="12">
        <f t="shared" ca="1" si="6"/>
        <v>44454</v>
      </c>
    </row>
    <row r="208" spans="19:20" x14ac:dyDescent="0.25">
      <c r="S208" s="21">
        <f t="shared" si="7"/>
        <v>191</v>
      </c>
      <c r="T208" s="12">
        <f t="shared" ca="1" si="6"/>
        <v>44455</v>
      </c>
    </row>
    <row r="209" spans="19:20" x14ac:dyDescent="0.25">
      <c r="S209" s="21">
        <f t="shared" si="7"/>
        <v>192</v>
      </c>
      <c r="T209" s="12">
        <f t="shared" ca="1" si="6"/>
        <v>44456</v>
      </c>
    </row>
    <row r="210" spans="19:20" x14ac:dyDescent="0.25">
      <c r="S210" s="21">
        <f t="shared" si="7"/>
        <v>193</v>
      </c>
      <c r="T210" s="12">
        <f t="shared" ca="1" si="6"/>
        <v>44457</v>
      </c>
    </row>
    <row r="211" spans="19:20" x14ac:dyDescent="0.25">
      <c r="S211" s="21">
        <f t="shared" si="7"/>
        <v>194</v>
      </c>
      <c r="T211" s="12">
        <f t="shared" ca="1" si="6"/>
        <v>44458</v>
      </c>
    </row>
    <row r="212" spans="19:20" x14ac:dyDescent="0.25">
      <c r="S212" s="21">
        <f t="shared" si="7"/>
        <v>195</v>
      </c>
      <c r="T212" s="12">
        <f t="shared" ca="1" si="6"/>
        <v>44459</v>
      </c>
    </row>
    <row r="213" spans="19:20" x14ac:dyDescent="0.25">
      <c r="S213" s="21">
        <f t="shared" si="7"/>
        <v>196</v>
      </c>
      <c r="T213" s="12">
        <f t="shared" ca="1" si="6"/>
        <v>44460</v>
      </c>
    </row>
    <row r="214" spans="19:20" x14ac:dyDescent="0.25">
      <c r="S214" s="21">
        <f t="shared" si="7"/>
        <v>197</v>
      </c>
      <c r="T214" s="12">
        <f t="shared" ca="1" si="6"/>
        <v>44461</v>
      </c>
    </row>
    <row r="215" spans="19:20" x14ac:dyDescent="0.25">
      <c r="S215" s="21">
        <f t="shared" si="7"/>
        <v>198</v>
      </c>
      <c r="T215" s="12">
        <f t="shared" ca="1" si="6"/>
        <v>44462</v>
      </c>
    </row>
    <row r="216" spans="19:20" x14ac:dyDescent="0.25">
      <c r="S216" s="21">
        <f t="shared" si="7"/>
        <v>199</v>
      </c>
      <c r="T216" s="12">
        <f t="shared" ca="1" si="6"/>
        <v>44463</v>
      </c>
    </row>
    <row r="217" spans="19:20" x14ac:dyDescent="0.25">
      <c r="S217" s="21">
        <f t="shared" si="7"/>
        <v>200</v>
      </c>
      <c r="T217" s="12">
        <f t="shared" ca="1" si="6"/>
        <v>44464</v>
      </c>
    </row>
    <row r="218" spans="19:20" x14ac:dyDescent="0.25">
      <c r="S218" s="21">
        <f t="shared" si="7"/>
        <v>201</v>
      </c>
      <c r="T218" s="12">
        <f t="shared" ca="1" si="6"/>
        <v>44465</v>
      </c>
    </row>
    <row r="219" spans="19:20" x14ac:dyDescent="0.25">
      <c r="S219" s="21">
        <f t="shared" si="7"/>
        <v>202</v>
      </c>
      <c r="T219" s="12">
        <f t="shared" ca="1" si="6"/>
        <v>44466</v>
      </c>
    </row>
    <row r="220" spans="19:20" x14ac:dyDescent="0.25">
      <c r="S220" s="21">
        <f t="shared" si="7"/>
        <v>203</v>
      </c>
      <c r="T220" s="12">
        <f t="shared" ca="1" si="6"/>
        <v>44467</v>
      </c>
    </row>
    <row r="221" spans="19:20" x14ac:dyDescent="0.25">
      <c r="S221" s="21">
        <f t="shared" si="7"/>
        <v>204</v>
      </c>
      <c r="T221" s="12">
        <f t="shared" ca="1" si="6"/>
        <v>44468</v>
      </c>
    </row>
    <row r="222" spans="19:20" x14ac:dyDescent="0.25">
      <c r="S222" s="21">
        <f t="shared" si="7"/>
        <v>205</v>
      </c>
      <c r="T222" s="12">
        <f t="shared" ca="1" si="6"/>
        <v>44469</v>
      </c>
    </row>
    <row r="223" spans="19:20" x14ac:dyDescent="0.25">
      <c r="S223" s="21">
        <f t="shared" si="7"/>
        <v>206</v>
      </c>
      <c r="T223" s="12">
        <f t="shared" ca="1" si="6"/>
        <v>44470</v>
      </c>
    </row>
    <row r="224" spans="19:20" x14ac:dyDescent="0.25">
      <c r="S224" s="21">
        <f t="shared" si="7"/>
        <v>207</v>
      </c>
      <c r="T224" s="12">
        <f t="shared" ca="1" si="6"/>
        <v>44471</v>
      </c>
    </row>
    <row r="225" spans="19:20" x14ac:dyDescent="0.25">
      <c r="S225" s="21">
        <f t="shared" si="7"/>
        <v>208</v>
      </c>
      <c r="T225" s="12">
        <f t="shared" ca="1" si="6"/>
        <v>44472</v>
      </c>
    </row>
    <row r="226" spans="19:20" x14ac:dyDescent="0.25">
      <c r="S226" s="21">
        <f t="shared" si="7"/>
        <v>209</v>
      </c>
      <c r="T226" s="12">
        <f t="shared" ca="1" si="6"/>
        <v>44473</v>
      </c>
    </row>
    <row r="227" spans="19:20" x14ac:dyDescent="0.25">
      <c r="S227" s="21">
        <f t="shared" si="7"/>
        <v>210</v>
      </c>
      <c r="T227" s="12">
        <f t="shared" ca="1" si="6"/>
        <v>44474</v>
      </c>
    </row>
    <row r="228" spans="19:20" x14ac:dyDescent="0.25">
      <c r="S228" s="21">
        <f t="shared" si="7"/>
        <v>211</v>
      </c>
      <c r="T228" s="12">
        <f t="shared" ca="1" si="6"/>
        <v>44475</v>
      </c>
    </row>
    <row r="229" spans="19:20" x14ac:dyDescent="0.25">
      <c r="S229" s="21">
        <f t="shared" si="7"/>
        <v>212</v>
      </c>
      <c r="T229" s="12">
        <f t="shared" ca="1" si="6"/>
        <v>44476</v>
      </c>
    </row>
    <row r="230" spans="19:20" x14ac:dyDescent="0.25">
      <c r="S230" s="21">
        <f t="shared" si="7"/>
        <v>213</v>
      </c>
      <c r="T230" s="12">
        <f t="shared" ca="1" si="6"/>
        <v>44477</v>
      </c>
    </row>
    <row r="231" spans="19:20" x14ac:dyDescent="0.25">
      <c r="S231" s="21">
        <f t="shared" si="7"/>
        <v>214</v>
      </c>
      <c r="T231" s="12">
        <f t="shared" ca="1" si="6"/>
        <v>44478</v>
      </c>
    </row>
    <row r="232" spans="19:20" x14ac:dyDescent="0.25">
      <c r="S232" s="21">
        <f t="shared" si="7"/>
        <v>215</v>
      </c>
      <c r="T232" s="12">
        <f t="shared" ca="1" si="6"/>
        <v>44479</v>
      </c>
    </row>
    <row r="233" spans="19:20" x14ac:dyDescent="0.25">
      <c r="S233" s="21">
        <f t="shared" si="7"/>
        <v>216</v>
      </c>
      <c r="T233" s="12">
        <f t="shared" ca="1" si="6"/>
        <v>44480</v>
      </c>
    </row>
    <row r="234" spans="19:20" x14ac:dyDescent="0.25">
      <c r="S234" s="21">
        <f t="shared" si="7"/>
        <v>217</v>
      </c>
      <c r="T234" s="12">
        <f t="shared" ca="1" si="6"/>
        <v>44481</v>
      </c>
    </row>
    <row r="235" spans="19:20" x14ac:dyDescent="0.25">
      <c r="S235" s="21">
        <f t="shared" si="7"/>
        <v>218</v>
      </c>
      <c r="T235" s="12">
        <f t="shared" ca="1" si="6"/>
        <v>44482</v>
      </c>
    </row>
    <row r="236" spans="19:20" x14ac:dyDescent="0.25">
      <c r="S236" s="21">
        <f t="shared" si="7"/>
        <v>219</v>
      </c>
      <c r="T236" s="12">
        <f t="shared" ca="1" si="6"/>
        <v>44483</v>
      </c>
    </row>
    <row r="237" spans="19:20" x14ac:dyDescent="0.25">
      <c r="S237" s="21">
        <f t="shared" si="7"/>
        <v>220</v>
      </c>
      <c r="T237" s="13">
        <f t="shared" ca="1" si="6"/>
        <v>44484</v>
      </c>
    </row>
    <row r="238" spans="19:20" x14ac:dyDescent="0.25">
      <c r="T238" s="10"/>
    </row>
    <row r="239" spans="19:20" x14ac:dyDescent="0.25">
      <c r="T239" s="10"/>
    </row>
    <row r="240" spans="19:20" x14ac:dyDescent="0.25">
      <c r="T240" s="10"/>
    </row>
    <row r="241" spans="20:20" x14ac:dyDescent="0.25">
      <c r="T241" s="10"/>
    </row>
  </sheetData>
  <sheetProtection sheet="1" objects="1" scenarios="1"/>
  <protectedRanges>
    <protectedRange sqref="B7:B18 D7:E12 G7:H10 J7:K10 M7:N10 P7:Q10 T3 T1" name="Bereich1"/>
  </protectedRanges>
  <conditionalFormatting sqref="H7">
    <cfRule type="expression" dxfId="79" priority="36">
      <formula>IF(H7=5,1,0)</formula>
    </cfRule>
    <cfRule type="expression" dxfId="78" priority="37">
      <formula>IF(H7=4,1,0)</formula>
    </cfRule>
    <cfRule type="expression" dxfId="77" priority="38">
      <formula>IF(H7=3,1,0)</formula>
    </cfRule>
    <cfRule type="expression" dxfId="76" priority="39">
      <formula>IF(H7=2,1,0)</formula>
    </cfRule>
    <cfRule type="expression" dxfId="75" priority="40">
      <formula>IF(H7=1,1,0)</formula>
    </cfRule>
  </conditionalFormatting>
  <conditionalFormatting sqref="Q8:Q10">
    <cfRule type="expression" dxfId="74" priority="1">
      <formula>IF(Q8=5,1,0)</formula>
    </cfRule>
    <cfRule type="expression" dxfId="73" priority="2">
      <formula>IF(Q8=4,1,0)</formula>
    </cfRule>
    <cfRule type="expression" dxfId="72" priority="3">
      <formula>IF(Q8=3,1,0)</formula>
    </cfRule>
    <cfRule type="expression" dxfId="71" priority="4">
      <formula>IF(Q8=2,1,0)</formula>
    </cfRule>
    <cfRule type="expression" dxfId="70" priority="5">
      <formula>IF(Q8=1,1,0)</formula>
    </cfRule>
  </conditionalFormatting>
  <conditionalFormatting sqref="H8:H10">
    <cfRule type="expression" dxfId="69" priority="31">
      <formula>IF(H8=5,1,0)</formula>
    </cfRule>
    <cfRule type="expression" dxfId="68" priority="32">
      <formula>IF(H8=4,1,0)</formula>
    </cfRule>
    <cfRule type="expression" dxfId="67" priority="33">
      <formula>IF(H8=3,1,0)</formula>
    </cfRule>
    <cfRule type="expression" dxfId="66" priority="34">
      <formula>IF(H8=2,1,0)</formula>
    </cfRule>
    <cfRule type="expression" dxfId="65" priority="35">
      <formula>IF(H8=1,1,0)</formula>
    </cfRule>
  </conditionalFormatting>
  <conditionalFormatting sqref="K7">
    <cfRule type="expression" dxfId="64" priority="26">
      <formula>IF(K7=5,1,0)</formula>
    </cfRule>
    <cfRule type="expression" dxfId="63" priority="27">
      <formula>IF(K7=4,1,0)</formula>
    </cfRule>
    <cfRule type="expression" dxfId="62" priority="28">
      <formula>IF(K7=3,1,0)</formula>
    </cfRule>
    <cfRule type="expression" dxfId="61" priority="29">
      <formula>IF(K7=2,1,0)</formula>
    </cfRule>
    <cfRule type="expression" dxfId="60" priority="30">
      <formula>IF(K7=1,1,0)</formula>
    </cfRule>
  </conditionalFormatting>
  <conditionalFormatting sqref="K8:K10">
    <cfRule type="expression" dxfId="59" priority="21">
      <formula>IF(K8=5,1,0)</formula>
    </cfRule>
    <cfRule type="expression" dxfId="58" priority="22">
      <formula>IF(K8=4,1,0)</formula>
    </cfRule>
    <cfRule type="expression" dxfId="57" priority="23">
      <formula>IF(K8=3,1,0)</formula>
    </cfRule>
    <cfRule type="expression" dxfId="56" priority="24">
      <formula>IF(K8=2,1,0)</formula>
    </cfRule>
    <cfRule type="expression" dxfId="55" priority="25">
      <formula>IF(K8=1,1,0)</formula>
    </cfRule>
  </conditionalFormatting>
  <conditionalFormatting sqref="N7">
    <cfRule type="expression" dxfId="54" priority="16">
      <formula>IF(N7=5,1,0)</formula>
    </cfRule>
    <cfRule type="expression" dxfId="53" priority="17">
      <formula>IF(N7=4,1,0)</formula>
    </cfRule>
    <cfRule type="expression" dxfId="52" priority="18">
      <formula>IF(N7=3,1,0)</formula>
    </cfRule>
    <cfRule type="expression" dxfId="51" priority="19">
      <formula>IF(N7=2,1,0)</formula>
    </cfRule>
    <cfRule type="expression" dxfId="50" priority="20">
      <formula>IF(N7=1,1,0)</formula>
    </cfRule>
  </conditionalFormatting>
  <conditionalFormatting sqref="N8:N10">
    <cfRule type="expression" dxfId="49" priority="11">
      <formula>IF(N8=5,1,0)</formula>
    </cfRule>
    <cfRule type="expression" dxfId="48" priority="12">
      <formula>IF(N8=4,1,0)</formula>
    </cfRule>
    <cfRule type="expression" dxfId="47" priority="13">
      <formula>IF(N8=3,1,0)</formula>
    </cfRule>
    <cfRule type="expression" dxfId="46" priority="14">
      <formula>IF(N8=2,1,0)</formula>
    </cfRule>
    <cfRule type="expression" dxfId="45" priority="15">
      <formula>IF(N8=1,1,0)</formula>
    </cfRule>
  </conditionalFormatting>
  <conditionalFormatting sqref="Q7">
    <cfRule type="expression" dxfId="44" priority="6">
      <formula>IF(Q7=5,1,0)</formula>
    </cfRule>
    <cfRule type="expression" dxfId="43" priority="7">
      <formula>IF(Q7=4,1,0)</formula>
    </cfRule>
    <cfRule type="expression" dxfId="42" priority="8">
      <formula>IF(Q7=3,1,0)</formula>
    </cfRule>
    <cfRule type="expression" dxfId="41" priority="9">
      <formula>IF(Q7=2,1,0)</formula>
    </cfRule>
    <cfRule type="expression" dxfId="40" priority="10">
      <formula>IF(Q7=1,1,0)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9CE99-C3F8-4057-BF93-3FC165233D43}">
  <sheetPr codeName="Tabelle2"/>
  <dimension ref="A1:C30"/>
  <sheetViews>
    <sheetView workbookViewId="0"/>
  </sheetViews>
  <sheetFormatPr baseColWidth="10" defaultRowHeight="15" x14ac:dyDescent="0.25"/>
  <cols>
    <col min="1" max="1" width="19.28515625" bestFit="1" customWidth="1"/>
    <col min="2" max="2" width="27.28515625" customWidth="1"/>
    <col min="3" max="3" width="19.7109375" customWidth="1"/>
    <col min="6" max="6" width="24.85546875" bestFit="1" customWidth="1"/>
  </cols>
  <sheetData>
    <row r="1" spans="1:3" x14ac:dyDescent="0.25">
      <c r="A1" s="1" t="s">
        <v>1</v>
      </c>
      <c r="B1" s="1" t="s">
        <v>12</v>
      </c>
      <c r="C1" s="1" t="s">
        <v>13</v>
      </c>
    </row>
    <row r="2" spans="1:3" x14ac:dyDescent="0.25">
      <c r="A2" s="2" t="s">
        <v>14</v>
      </c>
      <c r="B2" s="3" t="s">
        <v>15</v>
      </c>
      <c r="C2" s="2" t="s">
        <v>16</v>
      </c>
    </row>
    <row r="3" spans="1:3" x14ac:dyDescent="0.25">
      <c r="A3" s="2" t="s">
        <v>17</v>
      </c>
      <c r="B3" s="3" t="s">
        <v>18</v>
      </c>
      <c r="C3" s="2" t="s">
        <v>19</v>
      </c>
    </row>
    <row r="4" spans="1:3" x14ac:dyDescent="0.25">
      <c r="A4" s="2" t="s">
        <v>20</v>
      </c>
      <c r="B4" s="3" t="s">
        <v>21</v>
      </c>
      <c r="C4" s="2" t="s">
        <v>22</v>
      </c>
    </row>
    <row r="5" spans="1:3" x14ac:dyDescent="0.25">
      <c r="A5" s="2" t="s">
        <v>23</v>
      </c>
      <c r="B5" s="3" t="s">
        <v>49</v>
      </c>
      <c r="C5" s="2" t="s">
        <v>75</v>
      </c>
    </row>
    <row r="6" spans="1:3" x14ac:dyDescent="0.25">
      <c r="A6" s="2" t="s">
        <v>24</v>
      </c>
      <c r="B6" s="3" t="s">
        <v>50</v>
      </c>
      <c r="C6" s="2" t="s">
        <v>75</v>
      </c>
    </row>
    <row r="7" spans="1:3" x14ac:dyDescent="0.25">
      <c r="A7" s="2" t="s">
        <v>25</v>
      </c>
      <c r="B7" s="3" t="s">
        <v>51</v>
      </c>
      <c r="C7" s="2" t="s">
        <v>75</v>
      </c>
    </row>
    <row r="8" spans="1:3" x14ac:dyDescent="0.25">
      <c r="A8" s="2" t="s">
        <v>26</v>
      </c>
      <c r="B8" s="3" t="s">
        <v>52</v>
      </c>
      <c r="C8" s="2" t="s">
        <v>75</v>
      </c>
    </row>
    <row r="9" spans="1:3" x14ac:dyDescent="0.25">
      <c r="A9" s="2" t="s">
        <v>27</v>
      </c>
      <c r="B9" s="3" t="s">
        <v>53</v>
      </c>
      <c r="C9" s="2" t="s">
        <v>75</v>
      </c>
    </row>
    <row r="10" spans="1:3" x14ac:dyDescent="0.25">
      <c r="A10" s="2" t="s">
        <v>28</v>
      </c>
      <c r="B10" s="3" t="s">
        <v>54</v>
      </c>
      <c r="C10" s="2" t="s">
        <v>75</v>
      </c>
    </row>
    <row r="11" spans="1:3" x14ac:dyDescent="0.25">
      <c r="A11" s="2" t="s">
        <v>29</v>
      </c>
      <c r="B11" s="3" t="s">
        <v>55</v>
      </c>
      <c r="C11" s="2" t="s">
        <v>75</v>
      </c>
    </row>
    <row r="12" spans="1:3" x14ac:dyDescent="0.25">
      <c r="A12" s="2" t="s">
        <v>30</v>
      </c>
      <c r="B12" s="3" t="s">
        <v>56</v>
      </c>
      <c r="C12" s="2" t="s">
        <v>75</v>
      </c>
    </row>
    <row r="13" spans="1:3" x14ac:dyDescent="0.25">
      <c r="A13" s="2" t="s">
        <v>31</v>
      </c>
      <c r="B13" s="3" t="s">
        <v>57</v>
      </c>
      <c r="C13" s="2" t="s">
        <v>75</v>
      </c>
    </row>
    <row r="14" spans="1:3" x14ac:dyDescent="0.25">
      <c r="A14" s="2" t="s">
        <v>32</v>
      </c>
      <c r="B14" s="3" t="s">
        <v>58</v>
      </c>
      <c r="C14" s="2" t="s">
        <v>75</v>
      </c>
    </row>
    <row r="15" spans="1:3" x14ac:dyDescent="0.25">
      <c r="A15" s="2" t="s">
        <v>33</v>
      </c>
      <c r="B15" s="3" t="s">
        <v>59</v>
      </c>
      <c r="C15" s="2" t="s">
        <v>75</v>
      </c>
    </row>
    <row r="16" spans="1:3" x14ac:dyDescent="0.25">
      <c r="A16" s="2" t="s">
        <v>34</v>
      </c>
      <c r="B16" s="3" t="s">
        <v>60</v>
      </c>
      <c r="C16" s="2" t="s">
        <v>75</v>
      </c>
    </row>
    <row r="17" spans="1:3" x14ac:dyDescent="0.25">
      <c r="A17" s="2" t="s">
        <v>35</v>
      </c>
      <c r="B17" s="3" t="s">
        <v>61</v>
      </c>
      <c r="C17" s="2" t="s">
        <v>75</v>
      </c>
    </row>
    <row r="18" spans="1:3" x14ac:dyDescent="0.25">
      <c r="A18" s="2" t="s">
        <v>36</v>
      </c>
      <c r="B18" s="3" t="s">
        <v>62</v>
      </c>
      <c r="C18" s="2" t="s">
        <v>75</v>
      </c>
    </row>
    <row r="19" spans="1:3" x14ac:dyDescent="0.25">
      <c r="A19" s="2" t="s">
        <v>37</v>
      </c>
      <c r="B19" s="3" t="s">
        <v>63</v>
      </c>
      <c r="C19" s="2" t="s">
        <v>75</v>
      </c>
    </row>
    <row r="20" spans="1:3" x14ac:dyDescent="0.25">
      <c r="A20" s="2" t="s">
        <v>38</v>
      </c>
      <c r="B20" s="3" t="s">
        <v>64</v>
      </c>
      <c r="C20" s="2" t="s">
        <v>75</v>
      </c>
    </row>
    <row r="21" spans="1:3" x14ac:dyDescent="0.25">
      <c r="A21" s="2" t="s">
        <v>39</v>
      </c>
      <c r="B21" s="3" t="s">
        <v>65</v>
      </c>
      <c r="C21" s="2" t="s">
        <v>75</v>
      </c>
    </row>
    <row r="22" spans="1:3" x14ac:dyDescent="0.25">
      <c r="A22" s="2" t="s">
        <v>40</v>
      </c>
      <c r="B22" s="3" t="s">
        <v>66</v>
      </c>
      <c r="C22" s="2" t="s">
        <v>75</v>
      </c>
    </row>
    <row r="23" spans="1:3" x14ac:dyDescent="0.25">
      <c r="A23" s="2" t="s">
        <v>41</v>
      </c>
      <c r="B23" s="3" t="s">
        <v>67</v>
      </c>
      <c r="C23" s="2" t="s">
        <v>75</v>
      </c>
    </row>
    <row r="24" spans="1:3" x14ac:dyDescent="0.25">
      <c r="A24" s="2" t="s">
        <v>42</v>
      </c>
      <c r="B24" s="3" t="s">
        <v>68</v>
      </c>
      <c r="C24" s="2" t="s">
        <v>75</v>
      </c>
    </row>
    <row r="25" spans="1:3" x14ac:dyDescent="0.25">
      <c r="A25" s="2" t="s">
        <v>43</v>
      </c>
      <c r="B25" s="3" t="s">
        <v>69</v>
      </c>
      <c r="C25" s="2" t="s">
        <v>75</v>
      </c>
    </row>
    <row r="26" spans="1:3" x14ac:dyDescent="0.25">
      <c r="A26" s="2" t="s">
        <v>44</v>
      </c>
      <c r="B26" s="3" t="s">
        <v>70</v>
      </c>
      <c r="C26" s="2" t="s">
        <v>75</v>
      </c>
    </row>
    <row r="27" spans="1:3" x14ac:dyDescent="0.25">
      <c r="A27" s="2" t="s">
        <v>45</v>
      </c>
      <c r="B27" s="3" t="s">
        <v>71</v>
      </c>
      <c r="C27" s="2" t="s">
        <v>75</v>
      </c>
    </row>
    <row r="28" spans="1:3" x14ac:dyDescent="0.25">
      <c r="A28" s="2" t="s">
        <v>46</v>
      </c>
      <c r="B28" s="3" t="s">
        <v>72</v>
      </c>
      <c r="C28" s="2" t="s">
        <v>75</v>
      </c>
    </row>
    <row r="29" spans="1:3" x14ac:dyDescent="0.25">
      <c r="A29" s="2" t="s">
        <v>47</v>
      </c>
      <c r="B29" s="3" t="s">
        <v>73</v>
      </c>
      <c r="C29" s="2" t="s">
        <v>75</v>
      </c>
    </row>
    <row r="30" spans="1:3" x14ac:dyDescent="0.25">
      <c r="A30" s="2" t="s">
        <v>48</v>
      </c>
      <c r="B30" s="3" t="s">
        <v>74</v>
      </c>
      <c r="C30" s="2" t="s">
        <v>75</v>
      </c>
    </row>
  </sheetData>
  <hyperlinks>
    <hyperlink ref="B2" r:id="rId1" xr:uid="{A5F7D6E5-D1C7-4F6E-98B2-6F8756F59918}"/>
    <hyperlink ref="B3" r:id="rId2" xr:uid="{1FE9D26E-F729-4FC6-8965-8142C710B83B}"/>
    <hyperlink ref="B4" r:id="rId3" xr:uid="{DD9FC5A0-A0AB-4349-8B7E-F0A7063E8EF6}"/>
    <hyperlink ref="B5" r:id="rId4" xr:uid="{CFFD1A7D-EB20-4D08-BDEA-B7990D1AB03E}"/>
    <hyperlink ref="B6" r:id="rId5" xr:uid="{66D3A84A-88E9-47D6-B1F1-3CC01D9A3F26}"/>
    <hyperlink ref="B7" r:id="rId6" xr:uid="{F50B6B49-EFC9-4556-AE26-77F98124B50D}"/>
    <hyperlink ref="B8" r:id="rId7" xr:uid="{E4F2CAA6-2CEE-416A-8F35-6A31A908CE66}"/>
    <hyperlink ref="B9" r:id="rId8" xr:uid="{421A1635-80F6-4085-8AA0-6ACAA3FD0600}"/>
    <hyperlink ref="B10" r:id="rId9" xr:uid="{D6DF69E8-6780-4CC6-8227-1257157915A8}"/>
    <hyperlink ref="B11" r:id="rId10" xr:uid="{D7D27F32-C5C0-4953-98CA-48CE2AAC9EB0}"/>
    <hyperlink ref="B12" r:id="rId11" xr:uid="{16445CBF-045B-4234-BEA0-A624C9D0EA3A}"/>
    <hyperlink ref="B13" r:id="rId12" xr:uid="{5D3C030F-CFB8-4EC7-8A96-8D140B3FB9C7}"/>
    <hyperlink ref="B14" r:id="rId13" xr:uid="{C6329078-5ED3-478B-B890-C445AC82E0EE}"/>
    <hyperlink ref="B15" r:id="rId14" xr:uid="{BC99A348-9642-4E44-A302-57C5E40EDAAC}"/>
    <hyperlink ref="B16" r:id="rId15" xr:uid="{0C60CCE2-31FE-4115-B1C0-DCC180E235FA}"/>
    <hyperlink ref="B17" r:id="rId16" xr:uid="{F75450D3-5EC6-4973-8E8E-66E45EB7ADEC}"/>
    <hyperlink ref="B18" r:id="rId17" xr:uid="{18B884CF-FCE4-4C31-8C07-5BC3E54313C2}"/>
    <hyperlink ref="B19" r:id="rId18" xr:uid="{C22E79A0-C1C9-4491-B67D-5738C279D022}"/>
    <hyperlink ref="B20" r:id="rId19" xr:uid="{39EB2668-22E7-4467-B447-D1007CD75253}"/>
    <hyperlink ref="B21" r:id="rId20" xr:uid="{2E4B4C2A-E8D1-465F-AC89-606BA293BD42}"/>
    <hyperlink ref="B22" r:id="rId21" xr:uid="{F415F10C-D8E4-44DD-8815-78F262AFA410}"/>
    <hyperlink ref="B23" r:id="rId22" xr:uid="{405DB78A-3AA5-4D9B-BE4A-FFD6EB07C6AE}"/>
    <hyperlink ref="B24" r:id="rId23" xr:uid="{60560929-1EB4-46A6-81E5-13F6D1483FFA}"/>
    <hyperlink ref="B25" r:id="rId24" xr:uid="{D6B132F3-CC8E-4789-A5D9-F431140E809A}"/>
    <hyperlink ref="B26" r:id="rId25" xr:uid="{39F833AC-58DF-470A-B7C7-5F37BAC74D6D}"/>
    <hyperlink ref="B27" r:id="rId26" xr:uid="{EB89070E-50C8-4CE5-BC9C-E1E27D5F5C60}"/>
    <hyperlink ref="B28" r:id="rId27" xr:uid="{B850C894-1052-405C-9C66-4E52E105845E}"/>
    <hyperlink ref="B29" r:id="rId28" xr:uid="{6AABFD34-29C3-4B8A-B74B-A38E08A62D00}"/>
    <hyperlink ref="B30" r:id="rId29" xr:uid="{D0073A2A-C1A7-4F6A-8BA9-12C525D57183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0E4FB-B551-453A-BFDD-A9245A2A10F6}">
  <sheetPr codeName="Tabelle3">
    <tabColor rgb="FFFFFF00"/>
  </sheetPr>
  <dimension ref="A1:AG1001"/>
  <sheetViews>
    <sheetView showGridLines="0" tabSelected="1" zoomScale="90" zoomScaleNormal="9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A22" sqref="A22"/>
    </sheetView>
  </sheetViews>
  <sheetFormatPr baseColWidth="10" defaultRowHeight="15" outlineLevelCol="1" x14ac:dyDescent="0.25"/>
  <cols>
    <col min="2" max="2" width="19.28515625" bestFit="1" customWidth="1"/>
    <col min="3" max="3" width="9.42578125" customWidth="1"/>
    <col min="4" max="4" width="10.140625" hidden="1" customWidth="1"/>
    <col min="5" max="5" width="11.140625" bestFit="1" customWidth="1"/>
    <col min="6" max="6" width="27.85546875" customWidth="1"/>
    <col min="7" max="7" width="19.85546875" customWidth="1"/>
    <col min="8" max="8" width="12.42578125" hidden="1" customWidth="1"/>
    <col min="9" max="10" width="11.28515625" customWidth="1"/>
    <col min="11" max="11" width="12.140625" customWidth="1"/>
    <col min="12" max="12" width="25.5703125" customWidth="1"/>
    <col min="13" max="13" width="10.140625" hidden="1" customWidth="1"/>
    <col min="14" max="14" width="11.5703125" customWidth="1"/>
    <col min="15" max="15" width="12.28515625" customWidth="1"/>
    <col min="16" max="16" width="12.140625" customWidth="1"/>
    <col min="17" max="17" width="18" style="51" customWidth="1"/>
    <col min="18" max="18" width="10.140625" style="51" hidden="1" customWidth="1"/>
    <col min="19" max="19" width="10.7109375" style="51" customWidth="1"/>
    <col min="20" max="20" width="13.28515625" style="51" customWidth="1"/>
    <col min="21" max="21" width="12.140625" style="79" customWidth="1"/>
    <col min="22" max="22" width="12.42578125" style="70" hidden="1" customWidth="1" outlineLevel="1"/>
    <col min="23" max="26" width="12.42578125" style="44" hidden="1" customWidth="1" outlineLevel="1"/>
    <col min="27" max="27" width="17.85546875" style="44" hidden="1" customWidth="1" outlineLevel="1"/>
    <col min="28" max="28" width="9.28515625" style="44" hidden="1" customWidth="1" outlineLevel="1"/>
    <col min="29" max="29" width="25.5703125" style="44" hidden="1" customWidth="1" outlineLevel="1"/>
    <col min="30" max="30" width="25.85546875" style="44" hidden="1" customWidth="1" outlineLevel="1"/>
    <col min="31" max="31" width="6.5703125" style="44" hidden="1" customWidth="1" outlineLevel="1"/>
    <col min="32" max="32" width="11.42578125" hidden="1" customWidth="1" outlineLevel="1"/>
    <col min="33" max="33" width="11.42578125" collapsed="1"/>
  </cols>
  <sheetData>
    <row r="1" spans="1:32" s="74" customFormat="1" ht="104.25" customHeight="1" x14ac:dyDescent="0.25">
      <c r="A1" s="71" t="s">
        <v>136</v>
      </c>
      <c r="B1" s="72"/>
      <c r="C1" s="72"/>
      <c r="D1" s="72"/>
      <c r="E1" s="73"/>
      <c r="F1" s="71" t="s">
        <v>148</v>
      </c>
      <c r="G1" s="72"/>
      <c r="H1" s="72"/>
      <c r="I1" s="72"/>
      <c r="J1" s="72"/>
      <c r="K1" s="73"/>
      <c r="L1" s="71" t="s">
        <v>137</v>
      </c>
      <c r="M1" s="72"/>
      <c r="N1" s="72"/>
      <c r="O1" s="72"/>
      <c r="P1" s="73"/>
      <c r="Q1" s="71" t="s">
        <v>138</v>
      </c>
      <c r="R1" s="72"/>
      <c r="S1" s="72"/>
      <c r="T1" s="72"/>
      <c r="U1" s="73"/>
      <c r="V1" s="71" t="s">
        <v>139</v>
      </c>
      <c r="W1" s="72"/>
      <c r="X1" s="72"/>
      <c r="Y1" s="72"/>
      <c r="Z1" s="72"/>
      <c r="AA1" s="71" t="s">
        <v>140</v>
      </c>
      <c r="AB1" s="72"/>
      <c r="AC1" s="72"/>
      <c r="AD1" s="72"/>
      <c r="AE1" s="72"/>
    </row>
    <row r="2" spans="1:32" x14ac:dyDescent="0.25">
      <c r="A2" s="42" t="s">
        <v>141</v>
      </c>
      <c r="E2" s="80">
        <v>5</v>
      </c>
      <c r="F2" s="80">
        <v>6</v>
      </c>
      <c r="G2" s="80">
        <v>7</v>
      </c>
      <c r="H2" s="80">
        <v>8</v>
      </c>
      <c r="I2" s="80">
        <v>9</v>
      </c>
      <c r="J2" s="80">
        <v>10</v>
      </c>
      <c r="K2" s="80">
        <v>11</v>
      </c>
      <c r="L2" s="80">
        <v>12</v>
      </c>
      <c r="M2" s="80">
        <v>13</v>
      </c>
      <c r="N2" s="80">
        <v>14</v>
      </c>
      <c r="O2" s="80">
        <v>15</v>
      </c>
      <c r="P2" s="80">
        <v>16</v>
      </c>
      <c r="Q2" s="80">
        <v>17</v>
      </c>
      <c r="R2" s="80">
        <v>18</v>
      </c>
      <c r="S2" s="80">
        <v>19</v>
      </c>
      <c r="T2" s="80">
        <v>20</v>
      </c>
      <c r="U2" s="80">
        <v>21</v>
      </c>
      <c r="V2" s="57">
        <f>VLOOKUP(V4,configuration!$J$7:$K$10,2,FALSE)</f>
        <v>4</v>
      </c>
      <c r="W2" s="21">
        <f>VLOOKUP(W4,configuration!$J$7:$K$10,2,FALSE)</f>
        <v>5</v>
      </c>
      <c r="X2" s="21">
        <f>VLOOKUP(X4,configuration!$J$7:$K$10,2,FALSE)</f>
        <v>0</v>
      </c>
      <c r="Y2" s="21">
        <f>VLOOKUP(Y4,configuration!$J$7:$K$10,2,FALSE)</f>
        <v>1</v>
      </c>
      <c r="Z2" s="21"/>
      <c r="AA2" s="21">
        <f>VLOOKUP(AA4,configuration!$M$7:$N$10,2,FALSE)</f>
        <v>1</v>
      </c>
      <c r="AB2" s="21">
        <f>VLOOKUP(AB4,configuration!$M$7:$N$10,2,FALSE)</f>
        <v>4</v>
      </c>
      <c r="AC2" s="21">
        <f>VLOOKUP(AC4,configuration!$M$7:$N$10,2,FALSE)</f>
        <v>3</v>
      </c>
      <c r="AD2" s="21">
        <f>VLOOKUP(AD4,configuration!$M$7:$N$10,2,FALSE)</f>
        <v>4</v>
      </c>
      <c r="AE2" s="21"/>
      <c r="AF2" s="21"/>
    </row>
    <row r="3" spans="1:32" x14ac:dyDescent="0.25">
      <c r="A3" s="63" t="s">
        <v>114</v>
      </c>
      <c r="B3" s="63"/>
      <c r="C3" s="63"/>
      <c r="D3" s="63"/>
      <c r="E3" s="63"/>
      <c r="F3" s="60" t="s">
        <v>142</v>
      </c>
      <c r="G3" s="60"/>
      <c r="H3" s="60"/>
      <c r="I3" s="60"/>
      <c r="J3" s="60"/>
      <c r="K3" s="60"/>
      <c r="L3" s="58" t="s">
        <v>8</v>
      </c>
      <c r="M3" s="59"/>
      <c r="N3" s="59"/>
      <c r="O3" s="59"/>
      <c r="P3" s="59"/>
      <c r="Q3" s="61" t="s">
        <v>11</v>
      </c>
      <c r="R3" s="62"/>
      <c r="S3" s="62"/>
      <c r="T3" s="62"/>
      <c r="U3" s="62"/>
      <c r="V3" s="66" t="s">
        <v>142</v>
      </c>
      <c r="W3" s="66"/>
      <c r="X3" s="66"/>
      <c r="Y3" s="66"/>
      <c r="Z3" s="66"/>
      <c r="AA3" s="64" t="s">
        <v>8</v>
      </c>
      <c r="AB3" s="65"/>
      <c r="AC3" s="65"/>
      <c r="AD3" s="65"/>
      <c r="AE3" s="65"/>
    </row>
    <row r="4" spans="1:32" s="41" customFormat="1" ht="28.5" customHeight="1" x14ac:dyDescent="0.25">
      <c r="A4" s="37" t="s">
        <v>0</v>
      </c>
      <c r="B4" s="37" t="s">
        <v>1</v>
      </c>
      <c r="C4" s="37" t="s">
        <v>2</v>
      </c>
      <c r="D4" s="37" t="s">
        <v>96</v>
      </c>
      <c r="E4" s="37" t="s">
        <v>3</v>
      </c>
      <c r="F4" s="38" t="s">
        <v>9</v>
      </c>
      <c r="G4" s="38" t="s">
        <v>4</v>
      </c>
      <c r="H4" s="38" t="s">
        <v>96</v>
      </c>
      <c r="I4" s="38" t="s">
        <v>6</v>
      </c>
      <c r="J4" s="38" t="s">
        <v>7</v>
      </c>
      <c r="K4" s="39" t="s">
        <v>5</v>
      </c>
      <c r="L4" s="40" t="s">
        <v>4</v>
      </c>
      <c r="M4" s="38" t="s">
        <v>96</v>
      </c>
      <c r="N4" s="38" t="s">
        <v>6</v>
      </c>
      <c r="O4" s="38" t="s">
        <v>7</v>
      </c>
      <c r="P4" s="39" t="s">
        <v>5</v>
      </c>
      <c r="Q4" s="52" t="s">
        <v>4</v>
      </c>
      <c r="R4" s="53" t="s">
        <v>96</v>
      </c>
      <c r="S4" s="53" t="s">
        <v>6</v>
      </c>
      <c r="T4" s="53" t="s">
        <v>7</v>
      </c>
      <c r="U4" s="77" t="s">
        <v>5</v>
      </c>
      <c r="V4" s="75" t="str">
        <f>configuration!J7</f>
        <v>todo</v>
      </c>
      <c r="W4" s="45" t="str">
        <f>configuration!J8</f>
        <v>request sent</v>
      </c>
      <c r="X4" s="45" t="str">
        <f>configuration!J9</f>
        <v>confirmed</v>
      </c>
      <c r="Y4" s="45" t="str">
        <f>configuration!J10</f>
        <v>ok, received</v>
      </c>
      <c r="Z4" s="46" t="s">
        <v>134</v>
      </c>
      <c r="AA4" s="47" t="str">
        <f>configuration!M7</f>
        <v>ok, to be delivered</v>
      </c>
      <c r="AB4" s="45" t="str">
        <f>configuration!M8</f>
        <v xml:space="preserve">item nok </v>
      </c>
      <c r="AC4" s="45" t="str">
        <f>configuration!M9</f>
        <v>item nok - reclamation sent</v>
      </c>
      <c r="AD4" s="45" t="str">
        <f>configuration!M10</f>
        <v>further investiation needed</v>
      </c>
      <c r="AE4" s="45" t="s">
        <v>134</v>
      </c>
    </row>
    <row r="5" spans="1:32" x14ac:dyDescent="0.25">
      <c r="A5" s="2" t="s">
        <v>115</v>
      </c>
      <c r="B5" s="2" t="s">
        <v>14</v>
      </c>
      <c r="C5" s="2" t="s">
        <v>77</v>
      </c>
      <c r="D5" s="2">
        <f>IF(ISBLANK(C5),"",VLOOKUP(C5,configuration!$G$7:$H$10,2,FALSE))</f>
        <v>2</v>
      </c>
      <c r="E5" s="30">
        <v>44291</v>
      </c>
      <c r="F5" s="2" t="s">
        <v>104</v>
      </c>
      <c r="G5" s="2" t="s">
        <v>79</v>
      </c>
      <c r="H5" s="2">
        <f>IF(ISBLANK(G5),"",VLOOKUP(G5,configuration!$J$7:$K$10,2,FALSE))</f>
        <v>5</v>
      </c>
      <c r="I5" s="30">
        <v>44262</v>
      </c>
      <c r="J5" s="2" t="s">
        <v>88</v>
      </c>
      <c r="K5" s="31"/>
      <c r="L5" s="35"/>
      <c r="M5" s="2" t="str">
        <f>IF(ISBLANK(L5),"",VLOOKUP(L5,configuration!$M$7:$N$10,2,FALSE))</f>
        <v/>
      </c>
      <c r="N5" s="30"/>
      <c r="O5" s="2"/>
      <c r="P5" s="31"/>
      <c r="Q5" s="54"/>
      <c r="R5" s="55" t="str">
        <f>IF(ISBLANK(Q5),"",VLOOKUP(Q5,configuration!$P$7:$Q$10,2,FALSE))</f>
        <v/>
      </c>
      <c r="S5" s="56"/>
      <c r="T5" s="55"/>
      <c r="U5" s="78"/>
      <c r="V5" s="76" t="str">
        <f>IF($G5=V$4,1,"")</f>
        <v/>
      </c>
      <c r="W5" s="48">
        <f>IF($G5=W$4,1,"")</f>
        <v>1</v>
      </c>
      <c r="X5" s="48" t="str">
        <f>IF($G5=X$4,1,"")</f>
        <v/>
      </c>
      <c r="Y5" s="48" t="str">
        <f>IF($G5=Y$4,1,"")</f>
        <v/>
      </c>
      <c r="Z5" s="49" t="str">
        <f>IF(AND($G5="",A5&lt;&gt;""),1,"")</f>
        <v/>
      </c>
      <c r="AA5" s="50" t="str">
        <f>IF($L5=AA$4,1,"")</f>
        <v/>
      </c>
      <c r="AB5" s="48" t="str">
        <f>IF($L5=AB$4,1,"")</f>
        <v/>
      </c>
      <c r="AC5" s="48" t="str">
        <f>IF($L5=AC$4,1,"")</f>
        <v/>
      </c>
      <c r="AD5" s="48" t="str">
        <f>IF($L5=AD$4,1,"")</f>
        <v/>
      </c>
      <c r="AE5" s="48">
        <f>IF(AND($L5="",A5&lt;&gt;""),1,"")</f>
        <v>1</v>
      </c>
    </row>
    <row r="6" spans="1:32" x14ac:dyDescent="0.25">
      <c r="A6" s="2" t="s">
        <v>115</v>
      </c>
      <c r="B6" s="2" t="s">
        <v>14</v>
      </c>
      <c r="C6" s="2" t="s">
        <v>77</v>
      </c>
      <c r="D6" s="2">
        <f>IF(ISBLANK(C6),"",VLOOKUP(C6,configuration!$G$7:$H$10,2,FALSE))</f>
        <v>2</v>
      </c>
      <c r="E6" s="30">
        <v>44291</v>
      </c>
      <c r="F6" s="2" t="s">
        <v>105</v>
      </c>
      <c r="G6" s="2" t="s">
        <v>79</v>
      </c>
      <c r="H6" s="2">
        <f>IF(ISBLANK(G6),"",VLOOKUP(G6,configuration!$J$7:$K$10,2,FALSE))</f>
        <v>5</v>
      </c>
      <c r="I6" s="30">
        <v>44262</v>
      </c>
      <c r="J6" s="2" t="s">
        <v>88</v>
      </c>
      <c r="K6" s="31"/>
      <c r="L6" s="35" t="s">
        <v>131</v>
      </c>
      <c r="M6" s="2">
        <f>IF(ISBLANK(L6),"",VLOOKUP(L6,configuration!$M$7:$N$10,2,FALSE))</f>
        <v>1</v>
      </c>
      <c r="N6" s="30"/>
      <c r="O6" s="2"/>
      <c r="P6" s="31"/>
      <c r="Q6" s="54" t="s">
        <v>128</v>
      </c>
      <c r="R6" s="55">
        <f>IF(ISBLANK(Q6),"",VLOOKUP(Q6,configuration!$P$7:$Q$10,2,FALSE))</f>
        <v>4</v>
      </c>
      <c r="S6" s="56"/>
      <c r="T6" s="55"/>
      <c r="U6" s="78"/>
      <c r="V6" s="76" t="str">
        <f t="shared" ref="V6:Y21" si="0">IF($G6=V$4,1,"")</f>
        <v/>
      </c>
      <c r="W6" s="48">
        <f t="shared" si="0"/>
        <v>1</v>
      </c>
      <c r="X6" s="48" t="str">
        <f t="shared" si="0"/>
        <v/>
      </c>
      <c r="Y6" s="48" t="str">
        <f t="shared" si="0"/>
        <v/>
      </c>
      <c r="Z6" s="49" t="str">
        <f t="shared" ref="Z6:Z69" si="1">IF(AND($G6="",A6&lt;&gt;""),1,"")</f>
        <v/>
      </c>
      <c r="AA6" s="50">
        <f t="shared" ref="AA6:AD21" si="2">IF($L6=AA$4,1,"")</f>
        <v>1</v>
      </c>
      <c r="AB6" s="48" t="str">
        <f t="shared" si="2"/>
        <v/>
      </c>
      <c r="AC6" s="48" t="str">
        <f t="shared" si="2"/>
        <v/>
      </c>
      <c r="AD6" s="48" t="str">
        <f t="shared" si="2"/>
        <v/>
      </c>
      <c r="AE6" s="48" t="str">
        <f t="shared" ref="AE6:AE69" si="3">IF(AND($L6="",A6&lt;&gt;""),1,"")</f>
        <v/>
      </c>
    </row>
    <row r="7" spans="1:32" x14ac:dyDescent="0.25">
      <c r="A7" s="2" t="s">
        <v>115</v>
      </c>
      <c r="B7" s="2" t="s">
        <v>14</v>
      </c>
      <c r="C7" s="2" t="s">
        <v>77</v>
      </c>
      <c r="D7" s="2">
        <f>IF(ISBLANK(C7),"",VLOOKUP(C7,configuration!$G$7:$H$10,2,FALSE))</f>
        <v>2</v>
      </c>
      <c r="E7" s="30">
        <v>44291</v>
      </c>
      <c r="F7" s="2" t="s">
        <v>106</v>
      </c>
      <c r="G7" s="2" t="s">
        <v>80</v>
      </c>
      <c r="H7" s="2">
        <f>IF(ISBLANK(G7),"",VLOOKUP(G7,configuration!$J$7:$K$10,2,FALSE))</f>
        <v>0</v>
      </c>
      <c r="I7" s="30">
        <v>44271</v>
      </c>
      <c r="J7" s="2" t="s">
        <v>88</v>
      </c>
      <c r="K7" s="31"/>
      <c r="L7" s="35"/>
      <c r="M7" s="2" t="str">
        <f>IF(ISBLANK(L7),"",VLOOKUP(L7,configuration!$M$7:$N$10,2,FALSE))</f>
        <v/>
      </c>
      <c r="N7" s="30"/>
      <c r="O7" s="2"/>
      <c r="P7" s="31"/>
      <c r="Q7" s="54"/>
      <c r="R7" s="55" t="str">
        <f>IF(ISBLANK(Q7),"",VLOOKUP(Q7,configuration!$P$7:$Q$10,2,FALSE))</f>
        <v/>
      </c>
      <c r="S7" s="56"/>
      <c r="T7" s="55"/>
      <c r="U7" s="78"/>
      <c r="V7" s="76" t="str">
        <f t="shared" si="0"/>
        <v/>
      </c>
      <c r="W7" s="48" t="str">
        <f t="shared" si="0"/>
        <v/>
      </c>
      <c r="X7" s="48">
        <f t="shared" si="0"/>
        <v>1</v>
      </c>
      <c r="Y7" s="48" t="str">
        <f t="shared" si="0"/>
        <v/>
      </c>
      <c r="Z7" s="49" t="str">
        <f t="shared" si="1"/>
        <v/>
      </c>
      <c r="AA7" s="50" t="str">
        <f t="shared" si="2"/>
        <v/>
      </c>
      <c r="AB7" s="48" t="str">
        <f t="shared" si="2"/>
        <v/>
      </c>
      <c r="AC7" s="48" t="str">
        <f t="shared" si="2"/>
        <v/>
      </c>
      <c r="AD7" s="48" t="str">
        <f t="shared" si="2"/>
        <v/>
      </c>
      <c r="AE7" s="48">
        <f t="shared" si="3"/>
        <v>1</v>
      </c>
    </row>
    <row r="8" spans="1:32" x14ac:dyDescent="0.25">
      <c r="A8" s="2" t="s">
        <v>116</v>
      </c>
      <c r="B8" s="2" t="s">
        <v>14</v>
      </c>
      <c r="C8" s="2" t="s">
        <v>77</v>
      </c>
      <c r="D8" s="2">
        <f>IF(ISBLANK(C8),"",VLOOKUP(C8,configuration!$G$7:$H$10,2,FALSE))</f>
        <v>2</v>
      </c>
      <c r="E8" s="30">
        <v>44291</v>
      </c>
      <c r="F8" s="2" t="s">
        <v>107</v>
      </c>
      <c r="G8" s="2" t="s">
        <v>130</v>
      </c>
      <c r="H8" s="2">
        <f>IF(ISBLANK(G8),"",VLOOKUP(G8,configuration!$J$7:$K$10,2,FALSE))</f>
        <v>1</v>
      </c>
      <c r="I8" s="30">
        <v>44263</v>
      </c>
      <c r="J8" s="2" t="s">
        <v>88</v>
      </c>
      <c r="K8" s="31"/>
      <c r="L8" s="35" t="s">
        <v>131</v>
      </c>
      <c r="M8" s="2">
        <f>IF(ISBLANK(L8),"",VLOOKUP(L8,configuration!$M$7:$N$10,2,FALSE))</f>
        <v>1</v>
      </c>
      <c r="N8" s="30"/>
      <c r="O8" s="2" t="s">
        <v>93</v>
      </c>
      <c r="P8" s="31"/>
      <c r="Q8" s="54" t="s">
        <v>128</v>
      </c>
      <c r="R8" s="55">
        <f>IF(ISBLANK(Q8),"",VLOOKUP(Q8,configuration!$P$7:$Q$10,2,FALSE))</f>
        <v>4</v>
      </c>
      <c r="S8" s="56"/>
      <c r="T8" s="55"/>
      <c r="U8" s="78"/>
      <c r="V8" s="76" t="str">
        <f t="shared" si="0"/>
        <v/>
      </c>
      <c r="W8" s="48" t="str">
        <f t="shared" si="0"/>
        <v/>
      </c>
      <c r="X8" s="48" t="str">
        <f t="shared" si="0"/>
        <v/>
      </c>
      <c r="Y8" s="48">
        <f t="shared" si="0"/>
        <v>1</v>
      </c>
      <c r="Z8" s="49" t="str">
        <f t="shared" si="1"/>
        <v/>
      </c>
      <c r="AA8" s="50">
        <f t="shared" si="2"/>
        <v>1</v>
      </c>
      <c r="AB8" s="48" t="str">
        <f t="shared" si="2"/>
        <v/>
      </c>
      <c r="AC8" s="48" t="str">
        <f t="shared" si="2"/>
        <v/>
      </c>
      <c r="AD8" s="48" t="str">
        <f t="shared" si="2"/>
        <v/>
      </c>
      <c r="AE8" s="48" t="str">
        <f t="shared" si="3"/>
        <v/>
      </c>
    </row>
    <row r="9" spans="1:32" x14ac:dyDescent="0.25">
      <c r="A9" s="2" t="s">
        <v>116</v>
      </c>
      <c r="B9" s="2" t="s">
        <v>14</v>
      </c>
      <c r="C9" s="2" t="s">
        <v>77</v>
      </c>
      <c r="D9" s="2">
        <f>IF(ISBLANK(C9),"",VLOOKUP(C9,configuration!$G$7:$H$10,2,FALSE))</f>
        <v>2</v>
      </c>
      <c r="E9" s="30">
        <v>44291</v>
      </c>
      <c r="F9" s="2" t="s">
        <v>108</v>
      </c>
      <c r="G9" s="2" t="s">
        <v>130</v>
      </c>
      <c r="H9" s="2">
        <f>IF(ISBLANK(G9),"",VLOOKUP(G9,configuration!$J$7:$K$10,2,FALSE))</f>
        <v>1</v>
      </c>
      <c r="I9" s="30">
        <v>44263</v>
      </c>
      <c r="J9" s="2" t="s">
        <v>88</v>
      </c>
      <c r="K9" s="31"/>
      <c r="L9" s="35" t="s">
        <v>81</v>
      </c>
      <c r="M9" s="2">
        <f>IF(ISBLANK(L9),"",VLOOKUP(L9,configuration!$M$7:$N$10,2,FALSE))</f>
        <v>4</v>
      </c>
      <c r="N9" s="30"/>
      <c r="O9" s="2" t="s">
        <v>92</v>
      </c>
      <c r="P9" s="31" t="s">
        <v>149</v>
      </c>
      <c r="Q9" s="54"/>
      <c r="R9" s="55" t="str">
        <f>IF(ISBLANK(Q9),"",VLOOKUP(Q9,configuration!$P$7:$Q$10,2,FALSE))</f>
        <v/>
      </c>
      <c r="S9" s="56"/>
      <c r="T9" s="55"/>
      <c r="U9" s="78"/>
      <c r="V9" s="76" t="str">
        <f t="shared" si="0"/>
        <v/>
      </c>
      <c r="W9" s="48" t="str">
        <f t="shared" si="0"/>
        <v/>
      </c>
      <c r="X9" s="48" t="str">
        <f t="shared" si="0"/>
        <v/>
      </c>
      <c r="Y9" s="48">
        <f t="shared" si="0"/>
        <v>1</v>
      </c>
      <c r="Z9" s="49" t="str">
        <f t="shared" si="1"/>
        <v/>
      </c>
      <c r="AA9" s="50" t="str">
        <f t="shared" si="2"/>
        <v/>
      </c>
      <c r="AB9" s="48">
        <f t="shared" si="2"/>
        <v>1</v>
      </c>
      <c r="AC9" s="48" t="str">
        <f t="shared" si="2"/>
        <v/>
      </c>
      <c r="AD9" s="48" t="str">
        <f t="shared" si="2"/>
        <v/>
      </c>
      <c r="AE9" s="48" t="str">
        <f t="shared" si="3"/>
        <v/>
      </c>
    </row>
    <row r="10" spans="1:32" x14ac:dyDescent="0.25">
      <c r="A10" s="2" t="s">
        <v>116</v>
      </c>
      <c r="B10" s="2" t="s">
        <v>14</v>
      </c>
      <c r="C10" s="2" t="s">
        <v>77</v>
      </c>
      <c r="D10" s="2">
        <f>IF(ISBLANK(C10),"",VLOOKUP(C10,configuration!$G$7:$H$10,2,FALSE))</f>
        <v>2</v>
      </c>
      <c r="E10" s="30">
        <v>44291</v>
      </c>
      <c r="F10" s="2" t="s">
        <v>109</v>
      </c>
      <c r="G10" s="2" t="s">
        <v>130</v>
      </c>
      <c r="H10" s="2">
        <f>IF(ISBLANK(G10),"",VLOOKUP(G10,configuration!$J$7:$K$10,2,FALSE))</f>
        <v>1</v>
      </c>
      <c r="I10" s="30">
        <v>44263</v>
      </c>
      <c r="J10" s="2" t="s">
        <v>88</v>
      </c>
      <c r="K10" s="31"/>
      <c r="L10" s="35" t="s">
        <v>82</v>
      </c>
      <c r="M10" s="2">
        <f>IF(ISBLANK(L10),"",VLOOKUP(L10,configuration!$M$7:$N$10,2,FALSE))</f>
        <v>3</v>
      </c>
      <c r="N10" s="30"/>
      <c r="O10" s="2" t="s">
        <v>92</v>
      </c>
      <c r="P10" s="31" t="s">
        <v>150</v>
      </c>
      <c r="Q10" s="54"/>
      <c r="R10" s="55" t="str">
        <f>IF(ISBLANK(Q10),"",VLOOKUP(Q10,configuration!$P$7:$Q$10,2,FALSE))</f>
        <v/>
      </c>
      <c r="S10" s="56"/>
      <c r="T10" s="55"/>
      <c r="U10" s="78"/>
      <c r="V10" s="76" t="str">
        <f t="shared" si="0"/>
        <v/>
      </c>
      <c r="W10" s="48" t="str">
        <f t="shared" si="0"/>
        <v/>
      </c>
      <c r="X10" s="48" t="str">
        <f t="shared" si="0"/>
        <v/>
      </c>
      <c r="Y10" s="48">
        <f t="shared" si="0"/>
        <v>1</v>
      </c>
      <c r="Z10" s="49" t="str">
        <f t="shared" si="1"/>
        <v/>
      </c>
      <c r="AA10" s="50" t="str">
        <f t="shared" si="2"/>
        <v/>
      </c>
      <c r="AB10" s="48" t="str">
        <f t="shared" si="2"/>
        <v/>
      </c>
      <c r="AC10" s="48">
        <f t="shared" si="2"/>
        <v>1</v>
      </c>
      <c r="AD10" s="48" t="str">
        <f t="shared" si="2"/>
        <v/>
      </c>
      <c r="AE10" s="48" t="str">
        <f t="shared" si="3"/>
        <v/>
      </c>
    </row>
    <row r="11" spans="1:32" x14ac:dyDescent="0.25">
      <c r="A11" s="2" t="s">
        <v>116</v>
      </c>
      <c r="B11" s="2" t="s">
        <v>14</v>
      </c>
      <c r="C11" s="2" t="s">
        <v>77</v>
      </c>
      <c r="D11" s="2">
        <f>IF(ISBLANK(C11),"",VLOOKUP(C11,configuration!$G$7:$H$10,2,FALSE))</f>
        <v>2</v>
      </c>
      <c r="E11" s="30">
        <v>44291</v>
      </c>
      <c r="F11" s="2" t="s">
        <v>110</v>
      </c>
      <c r="G11" s="2" t="s">
        <v>80</v>
      </c>
      <c r="H11" s="2">
        <f>IF(ISBLANK(G11),"",VLOOKUP(G11,configuration!$J$7:$K$10,2,FALSE))</f>
        <v>0</v>
      </c>
      <c r="I11" s="30">
        <v>44265</v>
      </c>
      <c r="J11" s="2" t="s">
        <v>88</v>
      </c>
      <c r="K11" s="31"/>
      <c r="L11" s="35"/>
      <c r="M11" s="2" t="str">
        <f>IF(ISBLANK(L11),"",VLOOKUP(L11,configuration!$M$7:$N$10,2,FALSE))</f>
        <v/>
      </c>
      <c r="N11" s="30"/>
      <c r="O11" s="2"/>
      <c r="P11" s="31"/>
      <c r="Q11" s="54"/>
      <c r="R11" s="55" t="str">
        <f>IF(ISBLANK(Q11),"",VLOOKUP(Q11,configuration!$P$7:$Q$10,2,FALSE))</f>
        <v/>
      </c>
      <c r="S11" s="56"/>
      <c r="T11" s="55"/>
      <c r="U11" s="78"/>
      <c r="V11" s="76" t="str">
        <f t="shared" si="0"/>
        <v/>
      </c>
      <c r="W11" s="48" t="str">
        <f t="shared" si="0"/>
        <v/>
      </c>
      <c r="X11" s="48">
        <f t="shared" si="0"/>
        <v>1</v>
      </c>
      <c r="Y11" s="48" t="str">
        <f t="shared" si="0"/>
        <v/>
      </c>
      <c r="Z11" s="49" t="str">
        <f t="shared" si="1"/>
        <v/>
      </c>
      <c r="AA11" s="50" t="str">
        <f t="shared" si="2"/>
        <v/>
      </c>
      <c r="AB11" s="48" t="str">
        <f t="shared" si="2"/>
        <v/>
      </c>
      <c r="AC11" s="48" t="str">
        <f t="shared" si="2"/>
        <v/>
      </c>
      <c r="AD11" s="48" t="str">
        <f t="shared" si="2"/>
        <v/>
      </c>
      <c r="AE11" s="48">
        <f t="shared" si="3"/>
        <v>1</v>
      </c>
    </row>
    <row r="12" spans="1:32" x14ac:dyDescent="0.25">
      <c r="A12" s="2" t="s">
        <v>117</v>
      </c>
      <c r="B12" s="2" t="s">
        <v>14</v>
      </c>
      <c r="C12" s="2" t="s">
        <v>77</v>
      </c>
      <c r="D12" s="2">
        <f>IF(ISBLANK(C12),"",VLOOKUP(C12,configuration!$G$7:$H$10,2,FALSE))</f>
        <v>2</v>
      </c>
      <c r="E12" s="30">
        <v>44291</v>
      </c>
      <c r="F12" s="2" t="s">
        <v>111</v>
      </c>
      <c r="G12" s="2" t="s">
        <v>128</v>
      </c>
      <c r="H12" s="2">
        <f>IF(ISBLANK(G12),"",VLOOKUP(G12,configuration!$J$7:$K$10,2,FALSE))</f>
        <v>4</v>
      </c>
      <c r="I12" s="30"/>
      <c r="J12" s="2" t="s">
        <v>88</v>
      </c>
      <c r="K12" s="31" t="s">
        <v>153</v>
      </c>
      <c r="L12" s="35"/>
      <c r="M12" s="2" t="str">
        <f>IF(ISBLANK(L12),"",VLOOKUP(L12,configuration!$M$7:$N$10,2,FALSE))</f>
        <v/>
      </c>
      <c r="N12" s="30"/>
      <c r="O12" s="2"/>
      <c r="P12" s="31"/>
      <c r="Q12" s="54"/>
      <c r="R12" s="55" t="str">
        <f>IF(ISBLANK(Q12),"",VLOOKUP(Q12,configuration!$P$7:$Q$10,2,FALSE))</f>
        <v/>
      </c>
      <c r="S12" s="56"/>
      <c r="T12" s="55"/>
      <c r="U12" s="78"/>
      <c r="V12" s="76">
        <f t="shared" si="0"/>
        <v>1</v>
      </c>
      <c r="W12" s="48" t="str">
        <f t="shared" si="0"/>
        <v/>
      </c>
      <c r="X12" s="48" t="str">
        <f t="shared" si="0"/>
        <v/>
      </c>
      <c r="Y12" s="48" t="str">
        <f t="shared" si="0"/>
        <v/>
      </c>
      <c r="Z12" s="49" t="str">
        <f t="shared" si="1"/>
        <v/>
      </c>
      <c r="AA12" s="50" t="str">
        <f t="shared" si="2"/>
        <v/>
      </c>
      <c r="AB12" s="48" t="str">
        <f t="shared" si="2"/>
        <v/>
      </c>
      <c r="AC12" s="48" t="str">
        <f t="shared" si="2"/>
        <v/>
      </c>
      <c r="AD12" s="48" t="str">
        <f t="shared" si="2"/>
        <v/>
      </c>
      <c r="AE12" s="48">
        <f t="shared" si="3"/>
        <v>1</v>
      </c>
    </row>
    <row r="13" spans="1:32" x14ac:dyDescent="0.25">
      <c r="A13" s="2" t="s">
        <v>117</v>
      </c>
      <c r="B13" s="2" t="s">
        <v>14</v>
      </c>
      <c r="C13" s="2" t="s">
        <v>77</v>
      </c>
      <c r="D13" s="2">
        <f>IF(ISBLANK(C13),"",VLOOKUP(C13,configuration!$G$7:$H$10,2,FALSE))</f>
        <v>2</v>
      </c>
      <c r="E13" s="30">
        <v>44291</v>
      </c>
      <c r="F13" s="2" t="s">
        <v>112</v>
      </c>
      <c r="G13" s="2" t="s">
        <v>128</v>
      </c>
      <c r="H13" s="2">
        <f>IF(ISBLANK(G13),"",VLOOKUP(G13,configuration!$J$7:$K$10,2,FALSE))</f>
        <v>4</v>
      </c>
      <c r="I13" s="30"/>
      <c r="J13" s="2" t="s">
        <v>88</v>
      </c>
      <c r="K13" s="31" t="s">
        <v>153</v>
      </c>
      <c r="L13" s="35"/>
      <c r="M13" s="2" t="str">
        <f>IF(ISBLANK(L13),"",VLOOKUP(L13,configuration!$M$7:$N$10,2,FALSE))</f>
        <v/>
      </c>
      <c r="N13" s="30"/>
      <c r="O13" s="2"/>
      <c r="P13" s="31"/>
      <c r="Q13" s="54"/>
      <c r="R13" s="55" t="str">
        <f>IF(ISBLANK(Q13),"",VLOOKUP(Q13,configuration!$P$7:$Q$10,2,FALSE))</f>
        <v/>
      </c>
      <c r="S13" s="56"/>
      <c r="T13" s="55"/>
      <c r="U13" s="78"/>
      <c r="V13" s="76">
        <f t="shared" si="0"/>
        <v>1</v>
      </c>
      <c r="W13" s="48" t="str">
        <f t="shared" si="0"/>
        <v/>
      </c>
      <c r="X13" s="48" t="str">
        <f t="shared" si="0"/>
        <v/>
      </c>
      <c r="Y13" s="48" t="str">
        <f t="shared" si="0"/>
        <v/>
      </c>
      <c r="Z13" s="49" t="str">
        <f t="shared" si="1"/>
        <v/>
      </c>
      <c r="AA13" s="50" t="str">
        <f t="shared" si="2"/>
        <v/>
      </c>
      <c r="AB13" s="48" t="str">
        <f t="shared" si="2"/>
        <v/>
      </c>
      <c r="AC13" s="48" t="str">
        <f t="shared" si="2"/>
        <v/>
      </c>
      <c r="AD13" s="48" t="str">
        <f t="shared" si="2"/>
        <v/>
      </c>
      <c r="AE13" s="48">
        <f t="shared" si="3"/>
        <v>1</v>
      </c>
    </row>
    <row r="14" spans="1:32" x14ac:dyDescent="0.25">
      <c r="A14" s="2" t="s">
        <v>117</v>
      </c>
      <c r="B14" s="2" t="s">
        <v>14</v>
      </c>
      <c r="C14" s="2" t="s">
        <v>77</v>
      </c>
      <c r="D14" s="2">
        <f>IF(ISBLANK(C14),"",VLOOKUP(C14,configuration!$G$7:$H$10,2,FALSE))</f>
        <v>2</v>
      </c>
      <c r="E14" s="30">
        <v>44291</v>
      </c>
      <c r="F14" s="2" t="s">
        <v>113</v>
      </c>
      <c r="G14" s="2" t="s">
        <v>80</v>
      </c>
      <c r="H14" s="2">
        <f>IF(ISBLANK(G14),"",VLOOKUP(G14,configuration!$J$7:$K$10,2,FALSE))</f>
        <v>0</v>
      </c>
      <c r="I14" s="30">
        <v>44265</v>
      </c>
      <c r="J14" s="2" t="s">
        <v>88</v>
      </c>
      <c r="K14" s="31"/>
      <c r="L14" s="35"/>
      <c r="M14" s="2" t="str">
        <f>IF(ISBLANK(L14),"",VLOOKUP(L14,configuration!$M$7:$N$10,2,FALSE))</f>
        <v/>
      </c>
      <c r="N14" s="30"/>
      <c r="O14" s="2"/>
      <c r="P14" s="31"/>
      <c r="Q14" s="54"/>
      <c r="R14" s="55" t="str">
        <f>IF(ISBLANK(Q14),"",VLOOKUP(Q14,configuration!$P$7:$Q$10,2,FALSE))</f>
        <v/>
      </c>
      <c r="S14" s="56"/>
      <c r="T14" s="55"/>
      <c r="U14" s="78"/>
      <c r="V14" s="76" t="str">
        <f t="shared" si="0"/>
        <v/>
      </c>
      <c r="W14" s="48" t="str">
        <f t="shared" si="0"/>
        <v/>
      </c>
      <c r="X14" s="48">
        <f t="shared" si="0"/>
        <v>1</v>
      </c>
      <c r="Y14" s="48" t="str">
        <f t="shared" si="0"/>
        <v/>
      </c>
      <c r="Z14" s="49" t="str">
        <f t="shared" si="1"/>
        <v/>
      </c>
      <c r="AA14" s="50" t="str">
        <f t="shared" si="2"/>
        <v/>
      </c>
      <c r="AB14" s="48" t="str">
        <f t="shared" si="2"/>
        <v/>
      </c>
      <c r="AC14" s="48" t="str">
        <f t="shared" si="2"/>
        <v/>
      </c>
      <c r="AD14" s="48" t="str">
        <f t="shared" si="2"/>
        <v/>
      </c>
      <c r="AE14" s="48">
        <f t="shared" si="3"/>
        <v>1</v>
      </c>
    </row>
    <row r="15" spans="1:32" x14ac:dyDescent="0.25">
      <c r="A15" s="2" t="s">
        <v>118</v>
      </c>
      <c r="B15" s="2" t="s">
        <v>17</v>
      </c>
      <c r="C15" s="2" t="s">
        <v>78</v>
      </c>
      <c r="D15" s="2">
        <f>IF(ISBLANK(C15),"",VLOOKUP(C15,configuration!$G$7:$H$10,2,FALSE))</f>
        <v>4</v>
      </c>
      <c r="E15" s="30">
        <v>44293</v>
      </c>
      <c r="F15" s="2" t="s">
        <v>107</v>
      </c>
      <c r="G15" s="2" t="s">
        <v>79</v>
      </c>
      <c r="H15" s="2">
        <f>IF(ISBLANK(G15),"",VLOOKUP(G15,configuration!$J$7:$K$10,2,FALSE))</f>
        <v>5</v>
      </c>
      <c r="I15" s="30">
        <v>44262</v>
      </c>
      <c r="J15" s="2" t="s">
        <v>88</v>
      </c>
      <c r="K15" s="31"/>
      <c r="L15" s="35"/>
      <c r="M15" s="2" t="str">
        <f>IF(ISBLANK(L15),"",VLOOKUP(L15,configuration!$M$7:$N$10,2,FALSE))</f>
        <v/>
      </c>
      <c r="N15" s="30"/>
      <c r="O15" s="2"/>
      <c r="P15" s="31"/>
      <c r="Q15" s="54"/>
      <c r="R15" s="55" t="str">
        <f>IF(ISBLANK(Q15),"",VLOOKUP(Q15,configuration!$P$7:$Q$10,2,FALSE))</f>
        <v/>
      </c>
      <c r="S15" s="56"/>
      <c r="T15" s="55"/>
      <c r="U15" s="78"/>
      <c r="V15" s="76" t="str">
        <f t="shared" si="0"/>
        <v/>
      </c>
      <c r="W15" s="48">
        <f t="shared" si="0"/>
        <v>1</v>
      </c>
      <c r="X15" s="48" t="str">
        <f t="shared" si="0"/>
        <v/>
      </c>
      <c r="Y15" s="48" t="str">
        <f t="shared" si="0"/>
        <v/>
      </c>
      <c r="Z15" s="49" t="str">
        <f t="shared" si="1"/>
        <v/>
      </c>
      <c r="AA15" s="50" t="str">
        <f t="shared" si="2"/>
        <v/>
      </c>
      <c r="AB15" s="48" t="str">
        <f t="shared" si="2"/>
        <v/>
      </c>
      <c r="AC15" s="48" t="str">
        <f t="shared" si="2"/>
        <v/>
      </c>
      <c r="AD15" s="48" t="str">
        <f t="shared" si="2"/>
        <v/>
      </c>
      <c r="AE15" s="48">
        <f t="shared" si="3"/>
        <v>1</v>
      </c>
    </row>
    <row r="16" spans="1:32" x14ac:dyDescent="0.25">
      <c r="A16" s="2" t="s">
        <v>118</v>
      </c>
      <c r="B16" s="2" t="s">
        <v>17</v>
      </c>
      <c r="C16" s="2" t="s">
        <v>78</v>
      </c>
      <c r="D16" s="2">
        <f>IF(ISBLANK(C16),"",VLOOKUP(C16,configuration!$G$7:$H$10,2,FALSE))</f>
        <v>4</v>
      </c>
      <c r="E16" s="30">
        <v>44293</v>
      </c>
      <c r="F16" s="2" t="s">
        <v>108</v>
      </c>
      <c r="G16" s="2" t="s">
        <v>130</v>
      </c>
      <c r="H16" s="2">
        <f>IF(ISBLANK(G16),"",VLOOKUP(G16,configuration!$J$7:$K$10,2,FALSE))</f>
        <v>1</v>
      </c>
      <c r="I16" s="30">
        <v>44262</v>
      </c>
      <c r="J16" s="2" t="s">
        <v>88</v>
      </c>
      <c r="K16" s="31"/>
      <c r="L16" s="35" t="s">
        <v>131</v>
      </c>
      <c r="M16" s="2">
        <f>IF(ISBLANK(L16),"",VLOOKUP(L16,configuration!$M$7:$N$10,2,FALSE))</f>
        <v>1</v>
      </c>
      <c r="N16" s="30">
        <v>44263</v>
      </c>
      <c r="O16" s="2" t="s">
        <v>92</v>
      </c>
      <c r="P16" s="31"/>
      <c r="Q16" s="54" t="s">
        <v>83</v>
      </c>
      <c r="R16" s="55">
        <f>IF(ISBLANK(Q16),"",VLOOKUP(Q16,configuration!$P$7:$Q$10,2,FALSE))</f>
        <v>1</v>
      </c>
      <c r="S16" s="56">
        <v>44263</v>
      </c>
      <c r="T16" s="55" t="s">
        <v>91</v>
      </c>
      <c r="U16" s="78"/>
      <c r="V16" s="76" t="str">
        <f t="shared" si="0"/>
        <v/>
      </c>
      <c r="W16" s="48" t="str">
        <f t="shared" si="0"/>
        <v/>
      </c>
      <c r="X16" s="48" t="str">
        <f t="shared" si="0"/>
        <v/>
      </c>
      <c r="Y16" s="48">
        <f t="shared" si="0"/>
        <v>1</v>
      </c>
      <c r="Z16" s="49" t="str">
        <f t="shared" si="1"/>
        <v/>
      </c>
      <c r="AA16" s="50">
        <f t="shared" si="2"/>
        <v>1</v>
      </c>
      <c r="AB16" s="48" t="str">
        <f t="shared" si="2"/>
        <v/>
      </c>
      <c r="AC16" s="48" t="str">
        <f t="shared" si="2"/>
        <v/>
      </c>
      <c r="AD16" s="48" t="str">
        <f t="shared" si="2"/>
        <v/>
      </c>
      <c r="AE16" s="48" t="str">
        <f t="shared" si="3"/>
        <v/>
      </c>
    </row>
    <row r="17" spans="1:31" x14ac:dyDescent="0.25">
      <c r="A17" s="2" t="s">
        <v>118</v>
      </c>
      <c r="B17" s="2" t="s">
        <v>17</v>
      </c>
      <c r="C17" s="2" t="s">
        <v>78</v>
      </c>
      <c r="D17" s="2">
        <f>IF(ISBLANK(C17),"",VLOOKUP(C17,configuration!$G$7:$H$10,2,FALSE))</f>
        <v>4</v>
      </c>
      <c r="E17" s="30">
        <v>44293</v>
      </c>
      <c r="F17" s="2" t="s">
        <v>109</v>
      </c>
      <c r="G17" s="2" t="s">
        <v>130</v>
      </c>
      <c r="H17" s="2">
        <f>IF(ISBLANK(G17),"",VLOOKUP(G17,configuration!$J$7:$K$10,2,FALSE))</f>
        <v>1</v>
      </c>
      <c r="I17" s="30"/>
      <c r="J17" s="2" t="s">
        <v>88</v>
      </c>
      <c r="K17" s="31"/>
      <c r="L17" s="35" t="s">
        <v>81</v>
      </c>
      <c r="M17" s="2">
        <f>IF(ISBLANK(L17),"",VLOOKUP(L17,configuration!$M$7:$N$10,2,FALSE))</f>
        <v>4</v>
      </c>
      <c r="N17" s="30">
        <v>44263</v>
      </c>
      <c r="O17" s="2" t="s">
        <v>92</v>
      </c>
      <c r="P17" s="31" t="s">
        <v>151</v>
      </c>
      <c r="Q17" s="54"/>
      <c r="R17" s="55" t="str">
        <f>IF(ISBLANK(Q17),"",VLOOKUP(Q17,configuration!$P$7:$Q$10,2,FALSE))</f>
        <v/>
      </c>
      <c r="S17" s="56"/>
      <c r="T17" s="55"/>
      <c r="U17" s="78"/>
      <c r="V17" s="76" t="str">
        <f t="shared" si="0"/>
        <v/>
      </c>
      <c r="W17" s="48" t="str">
        <f t="shared" si="0"/>
        <v/>
      </c>
      <c r="X17" s="48" t="str">
        <f t="shared" si="0"/>
        <v/>
      </c>
      <c r="Y17" s="48">
        <f t="shared" si="0"/>
        <v>1</v>
      </c>
      <c r="Z17" s="49" t="str">
        <f t="shared" si="1"/>
        <v/>
      </c>
      <c r="AA17" s="50" t="str">
        <f t="shared" si="2"/>
        <v/>
      </c>
      <c r="AB17" s="48">
        <f t="shared" si="2"/>
        <v>1</v>
      </c>
      <c r="AC17" s="48" t="str">
        <f t="shared" si="2"/>
        <v/>
      </c>
      <c r="AD17" s="48" t="str">
        <f t="shared" si="2"/>
        <v/>
      </c>
      <c r="AE17" s="48" t="str">
        <f t="shared" si="3"/>
        <v/>
      </c>
    </row>
    <row r="18" spans="1:31" x14ac:dyDescent="0.25">
      <c r="A18" s="2" t="s">
        <v>119</v>
      </c>
      <c r="B18" s="2" t="s">
        <v>23</v>
      </c>
      <c r="C18" s="2" t="s">
        <v>76</v>
      </c>
      <c r="D18" s="2">
        <f>IF(ISBLANK(C18),"",VLOOKUP(C18,configuration!$G$7:$H$10,2,FALSE))</f>
        <v>5</v>
      </c>
      <c r="E18" s="30">
        <v>44286</v>
      </c>
      <c r="F18" s="2" t="s">
        <v>104</v>
      </c>
      <c r="G18" s="2" t="s">
        <v>130</v>
      </c>
      <c r="H18" s="2">
        <f>IF(ISBLANK(G18),"",VLOOKUP(G18,configuration!$J$7:$K$10,2,FALSE))</f>
        <v>1</v>
      </c>
      <c r="I18" s="30">
        <v>44263</v>
      </c>
      <c r="J18" s="2" t="s">
        <v>88</v>
      </c>
      <c r="K18" s="31"/>
      <c r="L18" s="35" t="s">
        <v>131</v>
      </c>
      <c r="M18" s="2">
        <f>IF(ISBLANK(L18),"",VLOOKUP(L18,configuration!$M$7:$N$10,2,FALSE))</f>
        <v>1</v>
      </c>
      <c r="N18" s="30">
        <v>44263</v>
      </c>
      <c r="O18" s="2" t="s">
        <v>88</v>
      </c>
      <c r="P18" s="31"/>
      <c r="Q18" s="54" t="s">
        <v>85</v>
      </c>
      <c r="R18" s="55">
        <f>IF(ISBLANK(Q18),"",VLOOKUP(Q18,configuration!$P$7:$Q$10,2,FALSE))</f>
        <v>5</v>
      </c>
      <c r="S18" s="56">
        <v>44264</v>
      </c>
      <c r="T18" s="55" t="s">
        <v>91</v>
      </c>
      <c r="U18" s="78"/>
      <c r="V18" s="76" t="str">
        <f t="shared" si="0"/>
        <v/>
      </c>
      <c r="W18" s="48" t="str">
        <f t="shared" si="0"/>
        <v/>
      </c>
      <c r="X18" s="48" t="str">
        <f t="shared" si="0"/>
        <v/>
      </c>
      <c r="Y18" s="48">
        <f t="shared" si="0"/>
        <v>1</v>
      </c>
      <c r="Z18" s="49" t="str">
        <f t="shared" si="1"/>
        <v/>
      </c>
      <c r="AA18" s="50">
        <f t="shared" si="2"/>
        <v>1</v>
      </c>
      <c r="AB18" s="48" t="str">
        <f t="shared" si="2"/>
        <v/>
      </c>
      <c r="AC18" s="48" t="str">
        <f t="shared" si="2"/>
        <v/>
      </c>
      <c r="AD18" s="48" t="str">
        <f t="shared" si="2"/>
        <v/>
      </c>
      <c r="AE18" s="48" t="str">
        <f t="shared" si="3"/>
        <v/>
      </c>
    </row>
    <row r="19" spans="1:31" x14ac:dyDescent="0.25">
      <c r="A19" s="2" t="s">
        <v>120</v>
      </c>
      <c r="B19" s="2" t="s">
        <v>24</v>
      </c>
      <c r="C19" s="2" t="s">
        <v>77</v>
      </c>
      <c r="D19" s="2">
        <f>IF(ISBLANK(C19),"",VLOOKUP(C19,configuration!$G$7:$H$10,2,FALSE))</f>
        <v>2</v>
      </c>
      <c r="E19" s="30">
        <v>44287</v>
      </c>
      <c r="F19" s="2" t="s">
        <v>111</v>
      </c>
      <c r="G19" s="2" t="s">
        <v>130</v>
      </c>
      <c r="H19" s="2">
        <f>IF(ISBLANK(G19),"",VLOOKUP(G19,configuration!$J$7:$K$10,2,FALSE))</f>
        <v>1</v>
      </c>
      <c r="I19" s="30">
        <v>44263</v>
      </c>
      <c r="J19" s="2" t="s">
        <v>89</v>
      </c>
      <c r="K19" s="31"/>
      <c r="L19" s="35" t="s">
        <v>131</v>
      </c>
      <c r="M19" s="2">
        <f>IF(ISBLANK(L19),"",VLOOKUP(L19,configuration!$M$7:$N$10,2,FALSE))</f>
        <v>1</v>
      </c>
      <c r="N19" s="30"/>
      <c r="O19" s="2" t="s">
        <v>88</v>
      </c>
      <c r="P19" s="31"/>
      <c r="Q19" s="54" t="s">
        <v>85</v>
      </c>
      <c r="R19" s="55">
        <f>IF(ISBLANK(Q19),"",VLOOKUP(Q19,configuration!$P$7:$Q$10,2,FALSE))</f>
        <v>5</v>
      </c>
      <c r="S19" s="56">
        <v>44264</v>
      </c>
      <c r="T19" s="55" t="s">
        <v>91</v>
      </c>
      <c r="U19" s="78"/>
      <c r="V19" s="76" t="str">
        <f t="shared" si="0"/>
        <v/>
      </c>
      <c r="W19" s="48" t="str">
        <f t="shared" si="0"/>
        <v/>
      </c>
      <c r="X19" s="48" t="str">
        <f t="shared" si="0"/>
        <v/>
      </c>
      <c r="Y19" s="48">
        <f t="shared" si="0"/>
        <v>1</v>
      </c>
      <c r="Z19" s="49" t="str">
        <f t="shared" si="1"/>
        <v/>
      </c>
      <c r="AA19" s="50">
        <f t="shared" si="2"/>
        <v>1</v>
      </c>
      <c r="AB19" s="48" t="str">
        <f t="shared" si="2"/>
        <v/>
      </c>
      <c r="AC19" s="48" t="str">
        <f t="shared" si="2"/>
        <v/>
      </c>
      <c r="AD19" s="48" t="str">
        <f t="shared" si="2"/>
        <v/>
      </c>
      <c r="AE19" s="48" t="str">
        <f t="shared" si="3"/>
        <v/>
      </c>
    </row>
    <row r="20" spans="1:31" x14ac:dyDescent="0.25">
      <c r="A20" s="2" t="s">
        <v>120</v>
      </c>
      <c r="B20" s="2" t="s">
        <v>24</v>
      </c>
      <c r="C20" s="2" t="s">
        <v>77</v>
      </c>
      <c r="D20" s="2">
        <f>IF(ISBLANK(C20),"",VLOOKUP(C20,configuration!$G$7:$H$10,2,FALSE))</f>
        <v>2</v>
      </c>
      <c r="E20" s="30">
        <v>44287</v>
      </c>
      <c r="F20" s="2" t="s">
        <v>109</v>
      </c>
      <c r="G20" s="2" t="s">
        <v>130</v>
      </c>
      <c r="H20" s="2">
        <f>IF(ISBLANK(G20),"",VLOOKUP(G20,configuration!$J$7:$K$10,2,FALSE))</f>
        <v>1</v>
      </c>
      <c r="I20" s="30">
        <v>44263</v>
      </c>
      <c r="J20" s="2" t="s">
        <v>89</v>
      </c>
      <c r="K20" s="31"/>
      <c r="L20" s="35" t="s">
        <v>81</v>
      </c>
      <c r="M20" s="2">
        <f>IF(ISBLANK(L20),"",VLOOKUP(L20,configuration!$M$7:$N$10,2,FALSE))</f>
        <v>4</v>
      </c>
      <c r="N20" s="30"/>
      <c r="O20" s="2" t="s">
        <v>92</v>
      </c>
      <c r="P20" s="31" t="s">
        <v>152</v>
      </c>
      <c r="Q20" s="54"/>
      <c r="R20" s="55" t="str">
        <f>IF(ISBLANK(Q20),"",VLOOKUP(Q20,configuration!$P$7:$Q$10,2,FALSE))</f>
        <v/>
      </c>
      <c r="S20" s="56"/>
      <c r="T20" s="55"/>
      <c r="U20" s="78"/>
      <c r="V20" s="76" t="str">
        <f t="shared" si="0"/>
        <v/>
      </c>
      <c r="W20" s="48" t="str">
        <f t="shared" si="0"/>
        <v/>
      </c>
      <c r="X20" s="48" t="str">
        <f t="shared" si="0"/>
        <v/>
      </c>
      <c r="Y20" s="48">
        <f t="shared" si="0"/>
        <v>1</v>
      </c>
      <c r="Z20" s="49" t="str">
        <f t="shared" si="1"/>
        <v/>
      </c>
      <c r="AA20" s="50" t="str">
        <f t="shared" si="2"/>
        <v/>
      </c>
      <c r="AB20" s="48">
        <f t="shared" si="2"/>
        <v>1</v>
      </c>
      <c r="AC20" s="48" t="str">
        <f t="shared" si="2"/>
        <v/>
      </c>
      <c r="AD20" s="48" t="str">
        <f t="shared" si="2"/>
        <v/>
      </c>
      <c r="AE20" s="48" t="str">
        <f t="shared" si="3"/>
        <v/>
      </c>
    </row>
    <row r="21" spans="1:31" x14ac:dyDescent="0.25">
      <c r="A21" s="2" t="s">
        <v>146</v>
      </c>
      <c r="B21" s="2" t="s">
        <v>27</v>
      </c>
      <c r="C21" s="2" t="s">
        <v>78</v>
      </c>
      <c r="D21" s="2">
        <f>IF(ISBLANK(C21),"",VLOOKUP(C21,configuration!$G$7:$H$10,2,FALSE))</f>
        <v>4</v>
      </c>
      <c r="E21" s="30">
        <v>44291</v>
      </c>
      <c r="F21" s="2" t="s">
        <v>111</v>
      </c>
      <c r="G21" s="2" t="s">
        <v>128</v>
      </c>
      <c r="H21" s="2">
        <f>IF(ISBLANK(G21),"",VLOOKUP(G21,configuration!$J$7:$K$10,2,FALSE))</f>
        <v>4</v>
      </c>
      <c r="I21" s="30"/>
      <c r="J21" s="2" t="s">
        <v>89</v>
      </c>
      <c r="K21" s="31"/>
      <c r="L21" s="35"/>
      <c r="M21" s="2" t="str">
        <f>IF(ISBLANK(L21),"",VLOOKUP(L21,configuration!$M$7:$N$10,2,FALSE))</f>
        <v/>
      </c>
      <c r="N21" s="30"/>
      <c r="O21" s="2"/>
      <c r="P21" s="31"/>
      <c r="Q21" s="54"/>
      <c r="R21" s="55" t="str">
        <f>IF(ISBLANK(Q21),"",VLOOKUP(Q21,configuration!$P$7:$Q$10,2,FALSE))</f>
        <v/>
      </c>
      <c r="S21" s="56"/>
      <c r="T21" s="55"/>
      <c r="U21" s="78"/>
      <c r="V21" s="76">
        <f t="shared" si="0"/>
        <v>1</v>
      </c>
      <c r="W21" s="48" t="str">
        <f t="shared" si="0"/>
        <v/>
      </c>
      <c r="X21" s="48" t="str">
        <f t="shared" si="0"/>
        <v/>
      </c>
      <c r="Y21" s="48" t="str">
        <f t="shared" si="0"/>
        <v/>
      </c>
      <c r="Z21" s="49" t="str">
        <f t="shared" si="1"/>
        <v/>
      </c>
      <c r="AA21" s="50" t="str">
        <f t="shared" si="2"/>
        <v/>
      </c>
      <c r="AB21" s="48" t="str">
        <f t="shared" si="2"/>
        <v/>
      </c>
      <c r="AC21" s="48" t="str">
        <f t="shared" si="2"/>
        <v/>
      </c>
      <c r="AD21" s="48" t="str">
        <f t="shared" si="2"/>
        <v/>
      </c>
      <c r="AE21" s="48">
        <f t="shared" si="3"/>
        <v>1</v>
      </c>
    </row>
    <row r="22" spans="1:31" x14ac:dyDescent="0.25">
      <c r="A22" s="2"/>
      <c r="B22" s="2"/>
      <c r="C22" s="2"/>
      <c r="D22" s="2" t="str">
        <f>IF(ISBLANK(C22),"",VLOOKUP(C22,configuration!$G$7:$H$10,2,FALSE))</f>
        <v/>
      </c>
      <c r="E22" s="2"/>
      <c r="F22" s="2"/>
      <c r="G22" s="2"/>
      <c r="H22" s="2" t="str">
        <f>IF(ISBLANK(G22),"",VLOOKUP(G22,configuration!$J$7:$K$10,2,FALSE))</f>
        <v/>
      </c>
      <c r="I22" s="30"/>
      <c r="J22" s="2"/>
      <c r="K22" s="31"/>
      <c r="L22" s="35"/>
      <c r="M22" s="2" t="str">
        <f>IF(ISBLANK(L22),"",VLOOKUP(L22,configuration!$M$7:$N$10,2,FALSE))</f>
        <v/>
      </c>
      <c r="N22" s="30"/>
      <c r="O22" s="2"/>
      <c r="P22" s="31"/>
      <c r="Q22" s="54"/>
      <c r="R22" s="55" t="str">
        <f>IF(ISBLANK(Q22),"",VLOOKUP(Q22,configuration!$P$7:$Q$10,2,FALSE))</f>
        <v/>
      </c>
      <c r="S22" s="56"/>
      <c r="T22" s="55"/>
      <c r="U22" s="78"/>
      <c r="V22" s="76" t="str">
        <f t="shared" ref="V22:Y85" si="4">IF($G22=V$4,1,"")</f>
        <v/>
      </c>
      <c r="W22" s="48" t="str">
        <f t="shared" si="4"/>
        <v/>
      </c>
      <c r="X22" s="48" t="str">
        <f t="shared" si="4"/>
        <v/>
      </c>
      <c r="Y22" s="48" t="str">
        <f t="shared" si="4"/>
        <v/>
      </c>
      <c r="Z22" s="49" t="str">
        <f t="shared" si="1"/>
        <v/>
      </c>
      <c r="AA22" s="50" t="str">
        <f t="shared" ref="AA22:AD85" si="5">IF($L22=AA$4,1,"")</f>
        <v/>
      </c>
      <c r="AB22" s="48" t="str">
        <f t="shared" si="5"/>
        <v/>
      </c>
      <c r="AC22" s="48" t="str">
        <f t="shared" si="5"/>
        <v/>
      </c>
      <c r="AD22" s="48" t="str">
        <f t="shared" si="5"/>
        <v/>
      </c>
      <c r="AE22" s="48" t="str">
        <f t="shared" si="3"/>
        <v/>
      </c>
    </row>
    <row r="23" spans="1:31" x14ac:dyDescent="0.25">
      <c r="A23" s="2"/>
      <c r="B23" s="2"/>
      <c r="C23" s="2"/>
      <c r="D23" s="2" t="str">
        <f>IF(ISBLANK(C23),"",VLOOKUP(C23,configuration!$G$7:$H$10,2,FALSE))</f>
        <v/>
      </c>
      <c r="E23" s="2"/>
      <c r="F23" s="2"/>
      <c r="G23" s="2"/>
      <c r="H23" s="2" t="str">
        <f>IF(ISBLANK(G23),"",VLOOKUP(G23,configuration!$J$7:$K$10,2,FALSE))</f>
        <v/>
      </c>
      <c r="I23" s="30"/>
      <c r="J23" s="2"/>
      <c r="K23" s="31"/>
      <c r="L23" s="35"/>
      <c r="M23" s="2" t="str">
        <f>IF(ISBLANK(L23),"",VLOOKUP(L23,configuration!$M$7:$N$10,2,FALSE))</f>
        <v/>
      </c>
      <c r="N23" s="30"/>
      <c r="O23" s="2"/>
      <c r="P23" s="31"/>
      <c r="Q23" s="54"/>
      <c r="R23" s="55" t="str">
        <f>IF(ISBLANK(Q23),"",VLOOKUP(Q23,configuration!$P$7:$Q$10,2,FALSE))</f>
        <v/>
      </c>
      <c r="S23" s="56"/>
      <c r="T23" s="55"/>
      <c r="U23" s="78"/>
      <c r="V23" s="76" t="str">
        <f t="shared" si="4"/>
        <v/>
      </c>
      <c r="W23" s="48" t="str">
        <f t="shared" si="4"/>
        <v/>
      </c>
      <c r="X23" s="48" t="str">
        <f t="shared" si="4"/>
        <v/>
      </c>
      <c r="Y23" s="48" t="str">
        <f t="shared" si="4"/>
        <v/>
      </c>
      <c r="Z23" s="49" t="str">
        <f t="shared" si="1"/>
        <v/>
      </c>
      <c r="AA23" s="50" t="str">
        <f t="shared" si="5"/>
        <v/>
      </c>
      <c r="AB23" s="48" t="str">
        <f t="shared" si="5"/>
        <v/>
      </c>
      <c r="AC23" s="48" t="str">
        <f t="shared" si="5"/>
        <v/>
      </c>
      <c r="AD23" s="48" t="str">
        <f t="shared" si="5"/>
        <v/>
      </c>
      <c r="AE23" s="48" t="str">
        <f t="shared" si="3"/>
        <v/>
      </c>
    </row>
    <row r="24" spans="1:31" x14ac:dyDescent="0.25">
      <c r="A24" s="2"/>
      <c r="B24" s="2"/>
      <c r="C24" s="2"/>
      <c r="D24" s="2" t="str">
        <f>IF(ISBLANK(C24),"",VLOOKUP(C24,configuration!$G$7:$H$10,2,FALSE))</f>
        <v/>
      </c>
      <c r="E24" s="2"/>
      <c r="F24" s="2"/>
      <c r="G24" s="2"/>
      <c r="H24" s="2" t="str">
        <f>IF(ISBLANK(G24),"",VLOOKUP(G24,configuration!$J$7:$K$10,2,FALSE))</f>
        <v/>
      </c>
      <c r="I24" s="30"/>
      <c r="J24" s="2"/>
      <c r="K24" s="31"/>
      <c r="L24" s="35"/>
      <c r="M24" s="2" t="str">
        <f>IF(ISBLANK(L24),"",VLOOKUP(L24,configuration!$M$7:$N$10,2,FALSE))</f>
        <v/>
      </c>
      <c r="N24" s="30"/>
      <c r="O24" s="2"/>
      <c r="P24" s="31"/>
      <c r="Q24" s="54"/>
      <c r="R24" s="55" t="str">
        <f>IF(ISBLANK(Q24),"",VLOOKUP(Q24,configuration!$P$7:$Q$10,2,FALSE))</f>
        <v/>
      </c>
      <c r="S24" s="56"/>
      <c r="T24" s="55"/>
      <c r="U24" s="78"/>
      <c r="V24" s="76" t="str">
        <f t="shared" si="4"/>
        <v/>
      </c>
      <c r="W24" s="48" t="str">
        <f t="shared" si="4"/>
        <v/>
      </c>
      <c r="X24" s="48" t="str">
        <f t="shared" si="4"/>
        <v/>
      </c>
      <c r="Y24" s="48" t="str">
        <f t="shared" si="4"/>
        <v/>
      </c>
      <c r="Z24" s="49" t="str">
        <f t="shared" si="1"/>
        <v/>
      </c>
      <c r="AA24" s="50" t="str">
        <f t="shared" si="5"/>
        <v/>
      </c>
      <c r="AB24" s="48" t="str">
        <f t="shared" si="5"/>
        <v/>
      </c>
      <c r="AC24" s="48" t="str">
        <f t="shared" si="5"/>
        <v/>
      </c>
      <c r="AD24" s="48" t="str">
        <f t="shared" si="5"/>
        <v/>
      </c>
      <c r="AE24" s="48" t="str">
        <f t="shared" si="3"/>
        <v/>
      </c>
    </row>
    <row r="25" spans="1:31" x14ac:dyDescent="0.25">
      <c r="A25" s="2"/>
      <c r="B25" s="2"/>
      <c r="C25" s="2"/>
      <c r="D25" s="2" t="str">
        <f>IF(ISBLANK(C25),"",VLOOKUP(C25,configuration!$G$7:$H$10,2,FALSE))</f>
        <v/>
      </c>
      <c r="E25" s="2"/>
      <c r="F25" s="2"/>
      <c r="G25" s="2"/>
      <c r="H25" s="2" t="str">
        <f>IF(ISBLANK(G25),"",VLOOKUP(G25,configuration!$J$7:$K$10,2,FALSE))</f>
        <v/>
      </c>
      <c r="I25" s="30"/>
      <c r="J25" s="2"/>
      <c r="K25" s="31"/>
      <c r="L25" s="35"/>
      <c r="M25" s="2" t="str">
        <f>IF(ISBLANK(L25),"",VLOOKUP(L25,configuration!$M$7:$N$10,2,FALSE))</f>
        <v/>
      </c>
      <c r="N25" s="30"/>
      <c r="O25" s="2"/>
      <c r="P25" s="31"/>
      <c r="Q25" s="54"/>
      <c r="R25" s="55" t="str">
        <f>IF(ISBLANK(Q25),"",VLOOKUP(Q25,configuration!$P$7:$Q$10,2,FALSE))</f>
        <v/>
      </c>
      <c r="S25" s="56"/>
      <c r="T25" s="55"/>
      <c r="U25" s="78"/>
      <c r="V25" s="76" t="str">
        <f t="shared" si="4"/>
        <v/>
      </c>
      <c r="W25" s="48" t="str">
        <f t="shared" si="4"/>
        <v/>
      </c>
      <c r="X25" s="48" t="str">
        <f t="shared" si="4"/>
        <v/>
      </c>
      <c r="Y25" s="48" t="str">
        <f t="shared" si="4"/>
        <v/>
      </c>
      <c r="Z25" s="49" t="str">
        <f t="shared" si="1"/>
        <v/>
      </c>
      <c r="AA25" s="50" t="str">
        <f t="shared" si="5"/>
        <v/>
      </c>
      <c r="AB25" s="48" t="str">
        <f t="shared" si="5"/>
        <v/>
      </c>
      <c r="AC25" s="48" t="str">
        <f t="shared" si="5"/>
        <v/>
      </c>
      <c r="AD25" s="48" t="str">
        <f t="shared" si="5"/>
        <v/>
      </c>
      <c r="AE25" s="48" t="str">
        <f t="shared" si="3"/>
        <v/>
      </c>
    </row>
    <row r="26" spans="1:31" x14ac:dyDescent="0.25">
      <c r="A26" s="2"/>
      <c r="B26" s="2"/>
      <c r="C26" s="2"/>
      <c r="D26" s="2" t="str">
        <f>IF(ISBLANK(C26),"",VLOOKUP(C26,configuration!$G$7:$H$10,2,FALSE))</f>
        <v/>
      </c>
      <c r="E26" s="2"/>
      <c r="F26" s="2"/>
      <c r="G26" s="2"/>
      <c r="H26" s="2" t="str">
        <f>IF(ISBLANK(G26),"",VLOOKUP(G26,configuration!$J$7:$K$10,2,FALSE))</f>
        <v/>
      </c>
      <c r="I26" s="30"/>
      <c r="J26" s="2"/>
      <c r="K26" s="31"/>
      <c r="L26" s="35"/>
      <c r="M26" s="2" t="str">
        <f>IF(ISBLANK(L26),"",VLOOKUP(L26,configuration!$M$7:$N$10,2,FALSE))</f>
        <v/>
      </c>
      <c r="N26" s="30"/>
      <c r="O26" s="2"/>
      <c r="P26" s="31"/>
      <c r="Q26" s="54"/>
      <c r="R26" s="55" t="str">
        <f>IF(ISBLANK(Q26),"",VLOOKUP(Q26,configuration!$P$7:$Q$10,2,FALSE))</f>
        <v/>
      </c>
      <c r="S26" s="56"/>
      <c r="T26" s="55"/>
      <c r="U26" s="78"/>
      <c r="V26" s="76" t="str">
        <f t="shared" si="4"/>
        <v/>
      </c>
      <c r="W26" s="48" t="str">
        <f t="shared" si="4"/>
        <v/>
      </c>
      <c r="X26" s="48" t="str">
        <f t="shared" si="4"/>
        <v/>
      </c>
      <c r="Y26" s="48" t="str">
        <f t="shared" si="4"/>
        <v/>
      </c>
      <c r="Z26" s="49" t="str">
        <f t="shared" si="1"/>
        <v/>
      </c>
      <c r="AA26" s="50" t="str">
        <f t="shared" si="5"/>
        <v/>
      </c>
      <c r="AB26" s="48" t="str">
        <f t="shared" si="5"/>
        <v/>
      </c>
      <c r="AC26" s="48" t="str">
        <f t="shared" si="5"/>
        <v/>
      </c>
      <c r="AD26" s="48" t="str">
        <f t="shared" si="5"/>
        <v/>
      </c>
      <c r="AE26" s="48" t="str">
        <f t="shared" si="3"/>
        <v/>
      </c>
    </row>
    <row r="27" spans="1:31" x14ac:dyDescent="0.25">
      <c r="A27" s="2"/>
      <c r="B27" s="2"/>
      <c r="C27" s="2"/>
      <c r="D27" s="2" t="str">
        <f>IF(ISBLANK(C27),"",VLOOKUP(C27,configuration!$G$7:$H$10,2,FALSE))</f>
        <v/>
      </c>
      <c r="E27" s="2"/>
      <c r="F27" s="2"/>
      <c r="G27" s="2"/>
      <c r="H27" s="2" t="str">
        <f>IF(ISBLANK(G27),"",VLOOKUP(G27,configuration!$J$7:$K$10,2,FALSE))</f>
        <v/>
      </c>
      <c r="I27" s="30"/>
      <c r="J27" s="2"/>
      <c r="K27" s="31"/>
      <c r="L27" s="35"/>
      <c r="M27" s="2" t="str">
        <f>IF(ISBLANK(L27),"",VLOOKUP(L27,configuration!$M$7:$N$10,2,FALSE))</f>
        <v/>
      </c>
      <c r="N27" s="30"/>
      <c r="O27" s="2"/>
      <c r="P27" s="31"/>
      <c r="Q27" s="54"/>
      <c r="R27" s="55" t="str">
        <f>IF(ISBLANK(Q27),"",VLOOKUP(Q27,configuration!$P$7:$Q$10,2,FALSE))</f>
        <v/>
      </c>
      <c r="S27" s="56"/>
      <c r="T27" s="55"/>
      <c r="U27" s="78"/>
      <c r="V27" s="76" t="str">
        <f t="shared" si="4"/>
        <v/>
      </c>
      <c r="W27" s="48" t="str">
        <f t="shared" si="4"/>
        <v/>
      </c>
      <c r="X27" s="48" t="str">
        <f t="shared" si="4"/>
        <v/>
      </c>
      <c r="Y27" s="48" t="str">
        <f t="shared" si="4"/>
        <v/>
      </c>
      <c r="Z27" s="49" t="str">
        <f t="shared" si="1"/>
        <v/>
      </c>
      <c r="AA27" s="50" t="str">
        <f t="shared" si="5"/>
        <v/>
      </c>
      <c r="AB27" s="48" t="str">
        <f t="shared" si="5"/>
        <v/>
      </c>
      <c r="AC27" s="48" t="str">
        <f t="shared" si="5"/>
        <v/>
      </c>
      <c r="AD27" s="48" t="str">
        <f t="shared" si="5"/>
        <v/>
      </c>
      <c r="AE27" s="48" t="str">
        <f t="shared" si="3"/>
        <v/>
      </c>
    </row>
    <row r="28" spans="1:31" x14ac:dyDescent="0.25">
      <c r="A28" s="2"/>
      <c r="B28" s="2"/>
      <c r="C28" s="2"/>
      <c r="D28" s="2" t="str">
        <f>IF(ISBLANK(C28),"",VLOOKUP(C28,configuration!$G$7:$H$10,2,FALSE))</f>
        <v/>
      </c>
      <c r="E28" s="2"/>
      <c r="F28" s="2"/>
      <c r="G28" s="2"/>
      <c r="H28" s="2" t="str">
        <f>IF(ISBLANK(G28),"",VLOOKUP(G28,configuration!$J$7:$K$10,2,FALSE))</f>
        <v/>
      </c>
      <c r="I28" s="30"/>
      <c r="J28" s="2"/>
      <c r="K28" s="31"/>
      <c r="L28" s="35"/>
      <c r="M28" s="2" t="str">
        <f>IF(ISBLANK(L28),"",VLOOKUP(L28,configuration!$M$7:$N$10,2,FALSE))</f>
        <v/>
      </c>
      <c r="N28" s="30"/>
      <c r="O28" s="2"/>
      <c r="P28" s="31"/>
      <c r="Q28" s="54"/>
      <c r="R28" s="55" t="str">
        <f>IF(ISBLANK(Q28),"",VLOOKUP(Q28,configuration!$P$7:$Q$10,2,FALSE))</f>
        <v/>
      </c>
      <c r="S28" s="56"/>
      <c r="T28" s="55"/>
      <c r="U28" s="78"/>
      <c r="V28" s="76" t="str">
        <f t="shared" si="4"/>
        <v/>
      </c>
      <c r="W28" s="48" t="str">
        <f t="shared" si="4"/>
        <v/>
      </c>
      <c r="X28" s="48" t="str">
        <f t="shared" si="4"/>
        <v/>
      </c>
      <c r="Y28" s="48" t="str">
        <f t="shared" si="4"/>
        <v/>
      </c>
      <c r="Z28" s="49" t="str">
        <f t="shared" si="1"/>
        <v/>
      </c>
      <c r="AA28" s="50" t="str">
        <f t="shared" si="5"/>
        <v/>
      </c>
      <c r="AB28" s="48" t="str">
        <f t="shared" si="5"/>
        <v/>
      </c>
      <c r="AC28" s="48" t="str">
        <f t="shared" si="5"/>
        <v/>
      </c>
      <c r="AD28" s="48" t="str">
        <f t="shared" si="5"/>
        <v/>
      </c>
      <c r="AE28" s="48" t="str">
        <f t="shared" si="3"/>
        <v/>
      </c>
    </row>
    <row r="29" spans="1:31" x14ac:dyDescent="0.25">
      <c r="A29" s="2"/>
      <c r="B29" s="2"/>
      <c r="C29" s="2"/>
      <c r="D29" s="2" t="str">
        <f>IF(ISBLANK(C29),"",VLOOKUP(C29,configuration!$G$7:$H$10,2,FALSE))</f>
        <v/>
      </c>
      <c r="E29" s="2"/>
      <c r="F29" s="2"/>
      <c r="G29" s="2"/>
      <c r="H29" s="2" t="str">
        <f>IF(ISBLANK(G29),"",VLOOKUP(G29,configuration!$J$7:$K$10,2,FALSE))</f>
        <v/>
      </c>
      <c r="I29" s="30"/>
      <c r="J29" s="2"/>
      <c r="K29" s="31"/>
      <c r="L29" s="35"/>
      <c r="M29" s="2" t="str">
        <f>IF(ISBLANK(L29),"",VLOOKUP(L29,configuration!$M$7:$N$10,2,FALSE))</f>
        <v/>
      </c>
      <c r="N29" s="30"/>
      <c r="O29" s="2"/>
      <c r="P29" s="31"/>
      <c r="Q29" s="54"/>
      <c r="R29" s="55" t="str">
        <f>IF(ISBLANK(Q29),"",VLOOKUP(Q29,configuration!$P$7:$Q$10,2,FALSE))</f>
        <v/>
      </c>
      <c r="S29" s="56"/>
      <c r="T29" s="55"/>
      <c r="U29" s="78"/>
      <c r="V29" s="76" t="str">
        <f t="shared" si="4"/>
        <v/>
      </c>
      <c r="W29" s="48" t="str">
        <f t="shared" si="4"/>
        <v/>
      </c>
      <c r="X29" s="48" t="str">
        <f t="shared" si="4"/>
        <v/>
      </c>
      <c r="Y29" s="48" t="str">
        <f t="shared" si="4"/>
        <v/>
      </c>
      <c r="Z29" s="49" t="str">
        <f t="shared" si="1"/>
        <v/>
      </c>
      <c r="AA29" s="50" t="str">
        <f t="shared" si="5"/>
        <v/>
      </c>
      <c r="AB29" s="48" t="str">
        <f t="shared" si="5"/>
        <v/>
      </c>
      <c r="AC29" s="48" t="str">
        <f t="shared" si="5"/>
        <v/>
      </c>
      <c r="AD29" s="48" t="str">
        <f t="shared" si="5"/>
        <v/>
      </c>
      <c r="AE29" s="48" t="str">
        <f t="shared" si="3"/>
        <v/>
      </c>
    </row>
    <row r="30" spans="1:31" x14ac:dyDescent="0.25">
      <c r="A30" s="2"/>
      <c r="B30" s="2"/>
      <c r="C30" s="2"/>
      <c r="D30" s="2" t="str">
        <f>IF(ISBLANK(C30),"",VLOOKUP(C30,configuration!$G$7:$H$10,2,FALSE))</f>
        <v/>
      </c>
      <c r="E30" s="2"/>
      <c r="F30" s="2"/>
      <c r="G30" s="2"/>
      <c r="H30" s="2" t="str">
        <f>IF(ISBLANK(G30),"",VLOOKUP(G30,configuration!$J$7:$K$10,2,FALSE))</f>
        <v/>
      </c>
      <c r="I30" s="30"/>
      <c r="J30" s="2"/>
      <c r="K30" s="31"/>
      <c r="L30" s="35"/>
      <c r="M30" s="2" t="str">
        <f>IF(ISBLANK(L30),"",VLOOKUP(L30,configuration!$M$7:$N$10,2,FALSE))</f>
        <v/>
      </c>
      <c r="N30" s="30"/>
      <c r="O30" s="2"/>
      <c r="P30" s="31"/>
      <c r="Q30" s="54"/>
      <c r="R30" s="55" t="str">
        <f>IF(ISBLANK(Q30),"",VLOOKUP(Q30,configuration!$P$7:$Q$10,2,FALSE))</f>
        <v/>
      </c>
      <c r="S30" s="56"/>
      <c r="T30" s="55"/>
      <c r="U30" s="78"/>
      <c r="V30" s="76" t="str">
        <f t="shared" si="4"/>
        <v/>
      </c>
      <c r="W30" s="48" t="str">
        <f t="shared" si="4"/>
        <v/>
      </c>
      <c r="X30" s="48" t="str">
        <f t="shared" si="4"/>
        <v/>
      </c>
      <c r="Y30" s="48" t="str">
        <f t="shared" si="4"/>
        <v/>
      </c>
      <c r="Z30" s="49" t="str">
        <f t="shared" si="1"/>
        <v/>
      </c>
      <c r="AA30" s="50" t="str">
        <f t="shared" si="5"/>
        <v/>
      </c>
      <c r="AB30" s="48" t="str">
        <f t="shared" si="5"/>
        <v/>
      </c>
      <c r="AC30" s="48" t="str">
        <f t="shared" si="5"/>
        <v/>
      </c>
      <c r="AD30" s="48" t="str">
        <f t="shared" si="5"/>
        <v/>
      </c>
      <c r="AE30" s="48" t="str">
        <f t="shared" si="3"/>
        <v/>
      </c>
    </row>
    <row r="31" spans="1:31" x14ac:dyDescent="0.25">
      <c r="A31" s="2"/>
      <c r="B31" s="2"/>
      <c r="C31" s="2"/>
      <c r="D31" s="2" t="str">
        <f>IF(ISBLANK(C31),"",VLOOKUP(C31,configuration!$G$7:$H$10,2,FALSE))</f>
        <v/>
      </c>
      <c r="E31" s="2"/>
      <c r="F31" s="2"/>
      <c r="G31" s="2"/>
      <c r="H31" s="2" t="str">
        <f>IF(ISBLANK(G31),"",VLOOKUP(G31,configuration!$J$7:$K$10,2,FALSE))</f>
        <v/>
      </c>
      <c r="I31" s="30"/>
      <c r="J31" s="2"/>
      <c r="K31" s="31"/>
      <c r="L31" s="35"/>
      <c r="M31" s="2" t="str">
        <f>IF(ISBLANK(L31),"",VLOOKUP(L31,configuration!$M$7:$N$10,2,FALSE))</f>
        <v/>
      </c>
      <c r="N31" s="30"/>
      <c r="O31" s="2"/>
      <c r="P31" s="31"/>
      <c r="Q31" s="54"/>
      <c r="R31" s="55" t="str">
        <f>IF(ISBLANK(Q31),"",VLOOKUP(Q31,configuration!$P$7:$Q$10,2,FALSE))</f>
        <v/>
      </c>
      <c r="S31" s="56"/>
      <c r="T31" s="55"/>
      <c r="U31" s="78"/>
      <c r="V31" s="76" t="str">
        <f t="shared" si="4"/>
        <v/>
      </c>
      <c r="W31" s="48" t="str">
        <f t="shared" si="4"/>
        <v/>
      </c>
      <c r="X31" s="48" t="str">
        <f t="shared" si="4"/>
        <v/>
      </c>
      <c r="Y31" s="48" t="str">
        <f t="shared" si="4"/>
        <v/>
      </c>
      <c r="Z31" s="49" t="str">
        <f t="shared" si="1"/>
        <v/>
      </c>
      <c r="AA31" s="50" t="str">
        <f t="shared" si="5"/>
        <v/>
      </c>
      <c r="AB31" s="48" t="str">
        <f t="shared" si="5"/>
        <v/>
      </c>
      <c r="AC31" s="48" t="str">
        <f t="shared" si="5"/>
        <v/>
      </c>
      <c r="AD31" s="48" t="str">
        <f t="shared" si="5"/>
        <v/>
      </c>
      <c r="AE31" s="48" t="str">
        <f t="shared" si="3"/>
        <v/>
      </c>
    </row>
    <row r="32" spans="1:31" x14ac:dyDescent="0.25">
      <c r="A32" s="2"/>
      <c r="B32" s="2"/>
      <c r="C32" s="2"/>
      <c r="D32" s="2" t="str">
        <f>IF(ISBLANK(C32),"",VLOOKUP(C32,configuration!$G$7:$H$10,2,FALSE))</f>
        <v/>
      </c>
      <c r="E32" s="2"/>
      <c r="F32" s="2"/>
      <c r="G32" s="2"/>
      <c r="H32" s="2" t="str">
        <f>IF(ISBLANK(G32),"",VLOOKUP(G32,configuration!$J$7:$K$10,2,FALSE))</f>
        <v/>
      </c>
      <c r="I32" s="30"/>
      <c r="J32" s="2"/>
      <c r="K32" s="31"/>
      <c r="L32" s="35"/>
      <c r="M32" s="2" t="str">
        <f>IF(ISBLANK(L32),"",VLOOKUP(L32,configuration!$M$7:$N$10,2,FALSE))</f>
        <v/>
      </c>
      <c r="N32" s="30"/>
      <c r="O32" s="2"/>
      <c r="P32" s="31"/>
      <c r="Q32" s="54"/>
      <c r="R32" s="55" t="str">
        <f>IF(ISBLANK(Q32),"",VLOOKUP(Q32,configuration!$P$7:$Q$10,2,FALSE))</f>
        <v/>
      </c>
      <c r="S32" s="56"/>
      <c r="T32" s="55"/>
      <c r="U32" s="78"/>
      <c r="V32" s="76" t="str">
        <f t="shared" si="4"/>
        <v/>
      </c>
      <c r="W32" s="48" t="str">
        <f t="shared" si="4"/>
        <v/>
      </c>
      <c r="X32" s="48" t="str">
        <f t="shared" si="4"/>
        <v/>
      </c>
      <c r="Y32" s="48" t="str">
        <f t="shared" si="4"/>
        <v/>
      </c>
      <c r="Z32" s="49" t="str">
        <f t="shared" si="1"/>
        <v/>
      </c>
      <c r="AA32" s="50" t="str">
        <f t="shared" si="5"/>
        <v/>
      </c>
      <c r="AB32" s="48" t="str">
        <f t="shared" si="5"/>
        <v/>
      </c>
      <c r="AC32" s="48" t="str">
        <f t="shared" si="5"/>
        <v/>
      </c>
      <c r="AD32" s="48" t="str">
        <f t="shared" si="5"/>
        <v/>
      </c>
      <c r="AE32" s="48" t="str">
        <f t="shared" si="3"/>
        <v/>
      </c>
    </row>
    <row r="33" spans="1:31" x14ac:dyDescent="0.25">
      <c r="A33" s="2"/>
      <c r="B33" s="2"/>
      <c r="C33" s="2"/>
      <c r="D33" s="2" t="str">
        <f>IF(ISBLANK(C33),"",VLOOKUP(C33,configuration!$G$7:$H$10,2,FALSE))</f>
        <v/>
      </c>
      <c r="E33" s="2"/>
      <c r="F33" s="2"/>
      <c r="G33" s="2"/>
      <c r="H33" s="2" t="str">
        <f>IF(ISBLANK(G33),"",VLOOKUP(G33,configuration!$J$7:$K$10,2,FALSE))</f>
        <v/>
      </c>
      <c r="I33" s="30"/>
      <c r="J33" s="2"/>
      <c r="K33" s="31"/>
      <c r="L33" s="35"/>
      <c r="M33" s="2" t="str">
        <f>IF(ISBLANK(L33),"",VLOOKUP(L33,configuration!$M$7:$N$10,2,FALSE))</f>
        <v/>
      </c>
      <c r="N33" s="30"/>
      <c r="O33" s="2"/>
      <c r="P33" s="31"/>
      <c r="Q33" s="54"/>
      <c r="R33" s="55" t="str">
        <f>IF(ISBLANK(Q33),"",VLOOKUP(Q33,configuration!$P$7:$Q$10,2,FALSE))</f>
        <v/>
      </c>
      <c r="S33" s="56"/>
      <c r="T33" s="55"/>
      <c r="U33" s="78"/>
      <c r="V33" s="76" t="str">
        <f t="shared" si="4"/>
        <v/>
      </c>
      <c r="W33" s="48" t="str">
        <f t="shared" si="4"/>
        <v/>
      </c>
      <c r="X33" s="48" t="str">
        <f t="shared" si="4"/>
        <v/>
      </c>
      <c r="Y33" s="48" t="str">
        <f t="shared" si="4"/>
        <v/>
      </c>
      <c r="Z33" s="49" t="str">
        <f t="shared" si="1"/>
        <v/>
      </c>
      <c r="AA33" s="50" t="str">
        <f t="shared" si="5"/>
        <v/>
      </c>
      <c r="AB33" s="48" t="str">
        <f t="shared" si="5"/>
        <v/>
      </c>
      <c r="AC33" s="48" t="str">
        <f t="shared" si="5"/>
        <v/>
      </c>
      <c r="AD33" s="48" t="str">
        <f t="shared" si="5"/>
        <v/>
      </c>
      <c r="AE33" s="48" t="str">
        <f t="shared" si="3"/>
        <v/>
      </c>
    </row>
    <row r="34" spans="1:31" x14ac:dyDescent="0.25">
      <c r="A34" s="2"/>
      <c r="B34" s="2"/>
      <c r="C34" s="2"/>
      <c r="D34" s="2" t="str">
        <f>IF(ISBLANK(C34),"",VLOOKUP(C34,configuration!$G$7:$H$10,2,FALSE))</f>
        <v/>
      </c>
      <c r="E34" s="2"/>
      <c r="F34" s="2"/>
      <c r="G34" s="2"/>
      <c r="H34" s="2" t="str">
        <f>IF(ISBLANK(G34),"",VLOOKUP(G34,configuration!$J$7:$K$10,2,FALSE))</f>
        <v/>
      </c>
      <c r="I34" s="30"/>
      <c r="J34" s="2"/>
      <c r="K34" s="31"/>
      <c r="L34" s="35"/>
      <c r="M34" s="2" t="str">
        <f>IF(ISBLANK(L34),"",VLOOKUP(L34,configuration!$M$7:$N$10,2,FALSE))</f>
        <v/>
      </c>
      <c r="N34" s="30"/>
      <c r="O34" s="2"/>
      <c r="P34" s="31"/>
      <c r="Q34" s="54"/>
      <c r="R34" s="55" t="str">
        <f>IF(ISBLANK(Q34),"",VLOOKUP(Q34,configuration!$P$7:$Q$10,2,FALSE))</f>
        <v/>
      </c>
      <c r="S34" s="56"/>
      <c r="T34" s="55"/>
      <c r="U34" s="78"/>
      <c r="V34" s="76" t="str">
        <f t="shared" si="4"/>
        <v/>
      </c>
      <c r="W34" s="48" t="str">
        <f t="shared" si="4"/>
        <v/>
      </c>
      <c r="X34" s="48" t="str">
        <f t="shared" si="4"/>
        <v/>
      </c>
      <c r="Y34" s="48" t="str">
        <f t="shared" si="4"/>
        <v/>
      </c>
      <c r="Z34" s="49" t="str">
        <f t="shared" si="1"/>
        <v/>
      </c>
      <c r="AA34" s="50" t="str">
        <f t="shared" si="5"/>
        <v/>
      </c>
      <c r="AB34" s="48" t="str">
        <f t="shared" si="5"/>
        <v/>
      </c>
      <c r="AC34" s="48" t="str">
        <f t="shared" si="5"/>
        <v/>
      </c>
      <c r="AD34" s="48" t="str">
        <f t="shared" si="5"/>
        <v/>
      </c>
      <c r="AE34" s="48" t="str">
        <f t="shared" si="3"/>
        <v/>
      </c>
    </row>
    <row r="35" spans="1:31" x14ac:dyDescent="0.25">
      <c r="A35" s="2"/>
      <c r="B35" s="2"/>
      <c r="C35" s="2"/>
      <c r="D35" s="2" t="str">
        <f>IF(ISBLANK(C35),"",VLOOKUP(C35,configuration!$G$7:$H$10,2,FALSE))</f>
        <v/>
      </c>
      <c r="E35" s="2"/>
      <c r="F35" s="2"/>
      <c r="G35" s="2"/>
      <c r="H35" s="2" t="str">
        <f>IF(ISBLANK(G35),"",VLOOKUP(G35,configuration!$J$7:$K$10,2,FALSE))</f>
        <v/>
      </c>
      <c r="I35" s="30"/>
      <c r="J35" s="2"/>
      <c r="K35" s="31"/>
      <c r="L35" s="35"/>
      <c r="M35" s="2" t="str">
        <f>IF(ISBLANK(L35),"",VLOOKUP(L35,configuration!$M$7:$N$10,2,FALSE))</f>
        <v/>
      </c>
      <c r="N35" s="30"/>
      <c r="O35" s="2"/>
      <c r="P35" s="31"/>
      <c r="Q35" s="54"/>
      <c r="R35" s="55" t="str">
        <f>IF(ISBLANK(Q35),"",VLOOKUP(Q35,configuration!$P$7:$Q$10,2,FALSE))</f>
        <v/>
      </c>
      <c r="S35" s="56"/>
      <c r="T35" s="55"/>
      <c r="U35" s="78"/>
      <c r="V35" s="76" t="str">
        <f t="shared" si="4"/>
        <v/>
      </c>
      <c r="W35" s="48" t="str">
        <f t="shared" si="4"/>
        <v/>
      </c>
      <c r="X35" s="48" t="str">
        <f t="shared" si="4"/>
        <v/>
      </c>
      <c r="Y35" s="48" t="str">
        <f t="shared" si="4"/>
        <v/>
      </c>
      <c r="Z35" s="49" t="str">
        <f t="shared" si="1"/>
        <v/>
      </c>
      <c r="AA35" s="50" t="str">
        <f t="shared" si="5"/>
        <v/>
      </c>
      <c r="AB35" s="48" t="str">
        <f t="shared" si="5"/>
        <v/>
      </c>
      <c r="AC35" s="48" t="str">
        <f t="shared" si="5"/>
        <v/>
      </c>
      <c r="AD35" s="48" t="str">
        <f t="shared" si="5"/>
        <v/>
      </c>
      <c r="AE35" s="48" t="str">
        <f t="shared" si="3"/>
        <v/>
      </c>
    </row>
    <row r="36" spans="1:31" x14ac:dyDescent="0.25">
      <c r="A36" s="2"/>
      <c r="B36" s="2"/>
      <c r="C36" s="2"/>
      <c r="D36" s="2" t="str">
        <f>IF(ISBLANK(C36),"",VLOOKUP(C36,configuration!$G$7:$H$10,2,FALSE))</f>
        <v/>
      </c>
      <c r="E36" s="2"/>
      <c r="F36" s="2"/>
      <c r="G36" s="2"/>
      <c r="H36" s="2" t="str">
        <f>IF(ISBLANK(G36),"",VLOOKUP(G36,configuration!$J$7:$K$10,2,FALSE))</f>
        <v/>
      </c>
      <c r="I36" s="30"/>
      <c r="J36" s="2"/>
      <c r="K36" s="31"/>
      <c r="L36" s="35"/>
      <c r="M36" s="2" t="str">
        <f>IF(ISBLANK(L36),"",VLOOKUP(L36,configuration!$M$7:$N$10,2,FALSE))</f>
        <v/>
      </c>
      <c r="N36" s="30"/>
      <c r="O36" s="2"/>
      <c r="P36" s="31"/>
      <c r="Q36" s="54"/>
      <c r="R36" s="55" t="str">
        <f>IF(ISBLANK(Q36),"",VLOOKUP(Q36,configuration!$P$7:$Q$10,2,FALSE))</f>
        <v/>
      </c>
      <c r="S36" s="56"/>
      <c r="T36" s="55"/>
      <c r="U36" s="78"/>
      <c r="V36" s="76" t="str">
        <f t="shared" si="4"/>
        <v/>
      </c>
      <c r="W36" s="48" t="str">
        <f t="shared" si="4"/>
        <v/>
      </c>
      <c r="X36" s="48" t="str">
        <f t="shared" si="4"/>
        <v/>
      </c>
      <c r="Y36" s="48" t="str">
        <f t="shared" si="4"/>
        <v/>
      </c>
      <c r="Z36" s="49" t="str">
        <f t="shared" si="1"/>
        <v/>
      </c>
      <c r="AA36" s="50" t="str">
        <f t="shared" si="5"/>
        <v/>
      </c>
      <c r="AB36" s="48" t="str">
        <f t="shared" si="5"/>
        <v/>
      </c>
      <c r="AC36" s="48" t="str">
        <f t="shared" si="5"/>
        <v/>
      </c>
      <c r="AD36" s="48" t="str">
        <f t="shared" si="5"/>
        <v/>
      </c>
      <c r="AE36" s="48" t="str">
        <f t="shared" si="3"/>
        <v/>
      </c>
    </row>
    <row r="37" spans="1:31" x14ac:dyDescent="0.25">
      <c r="A37" s="2"/>
      <c r="B37" s="2"/>
      <c r="C37" s="2"/>
      <c r="D37" s="2" t="str">
        <f>IF(ISBLANK(C37),"",VLOOKUP(C37,configuration!$G$7:$H$10,2,FALSE))</f>
        <v/>
      </c>
      <c r="E37" s="2"/>
      <c r="F37" s="2"/>
      <c r="G37" s="2"/>
      <c r="H37" s="2" t="str">
        <f>IF(ISBLANK(G37),"",VLOOKUP(G37,configuration!$J$7:$K$10,2,FALSE))</f>
        <v/>
      </c>
      <c r="I37" s="30"/>
      <c r="J37" s="2"/>
      <c r="K37" s="31"/>
      <c r="L37" s="35"/>
      <c r="M37" s="2" t="str">
        <f>IF(ISBLANK(L37),"",VLOOKUP(L37,configuration!$M$7:$N$10,2,FALSE))</f>
        <v/>
      </c>
      <c r="N37" s="30"/>
      <c r="O37" s="2"/>
      <c r="P37" s="31"/>
      <c r="Q37" s="54"/>
      <c r="R37" s="55" t="str">
        <f>IF(ISBLANK(Q37),"",VLOOKUP(Q37,configuration!$P$7:$Q$10,2,FALSE))</f>
        <v/>
      </c>
      <c r="S37" s="56"/>
      <c r="T37" s="55"/>
      <c r="U37" s="78"/>
      <c r="V37" s="76" t="str">
        <f t="shared" si="4"/>
        <v/>
      </c>
      <c r="W37" s="48" t="str">
        <f t="shared" si="4"/>
        <v/>
      </c>
      <c r="X37" s="48" t="str">
        <f t="shared" si="4"/>
        <v/>
      </c>
      <c r="Y37" s="48" t="str">
        <f t="shared" si="4"/>
        <v/>
      </c>
      <c r="Z37" s="49" t="str">
        <f t="shared" si="1"/>
        <v/>
      </c>
      <c r="AA37" s="50" t="str">
        <f t="shared" si="5"/>
        <v/>
      </c>
      <c r="AB37" s="48" t="str">
        <f t="shared" si="5"/>
        <v/>
      </c>
      <c r="AC37" s="48" t="str">
        <f t="shared" si="5"/>
        <v/>
      </c>
      <c r="AD37" s="48" t="str">
        <f t="shared" si="5"/>
        <v/>
      </c>
      <c r="AE37" s="48" t="str">
        <f t="shared" si="3"/>
        <v/>
      </c>
    </row>
    <row r="38" spans="1:31" x14ac:dyDescent="0.25">
      <c r="A38" s="2"/>
      <c r="B38" s="2"/>
      <c r="C38" s="2"/>
      <c r="D38" s="2" t="str">
        <f>IF(ISBLANK(C38),"",VLOOKUP(C38,configuration!$G$7:$H$10,2,FALSE))</f>
        <v/>
      </c>
      <c r="E38" s="2"/>
      <c r="F38" s="2"/>
      <c r="G38" s="2"/>
      <c r="H38" s="2" t="str">
        <f>IF(ISBLANK(G38),"",VLOOKUP(G38,configuration!$J$7:$K$10,2,FALSE))</f>
        <v/>
      </c>
      <c r="I38" s="30"/>
      <c r="J38" s="2"/>
      <c r="K38" s="31"/>
      <c r="L38" s="35"/>
      <c r="M38" s="2" t="str">
        <f>IF(ISBLANK(L38),"",VLOOKUP(L38,configuration!$M$7:$N$10,2,FALSE))</f>
        <v/>
      </c>
      <c r="N38" s="30"/>
      <c r="O38" s="2"/>
      <c r="P38" s="31"/>
      <c r="Q38" s="54"/>
      <c r="R38" s="55" t="str">
        <f>IF(ISBLANK(Q38),"",VLOOKUP(Q38,configuration!$P$7:$Q$10,2,FALSE))</f>
        <v/>
      </c>
      <c r="S38" s="56"/>
      <c r="T38" s="55"/>
      <c r="U38" s="78"/>
      <c r="V38" s="76" t="str">
        <f t="shared" si="4"/>
        <v/>
      </c>
      <c r="W38" s="48" t="str">
        <f t="shared" si="4"/>
        <v/>
      </c>
      <c r="X38" s="48" t="str">
        <f t="shared" si="4"/>
        <v/>
      </c>
      <c r="Y38" s="48" t="str">
        <f t="shared" si="4"/>
        <v/>
      </c>
      <c r="Z38" s="49" t="str">
        <f t="shared" si="1"/>
        <v/>
      </c>
      <c r="AA38" s="50" t="str">
        <f t="shared" si="5"/>
        <v/>
      </c>
      <c r="AB38" s="48" t="str">
        <f t="shared" si="5"/>
        <v/>
      </c>
      <c r="AC38" s="48" t="str">
        <f t="shared" si="5"/>
        <v/>
      </c>
      <c r="AD38" s="48" t="str">
        <f t="shared" si="5"/>
        <v/>
      </c>
      <c r="AE38" s="48" t="str">
        <f t="shared" si="3"/>
        <v/>
      </c>
    </row>
    <row r="39" spans="1:31" x14ac:dyDescent="0.25">
      <c r="A39" s="2"/>
      <c r="B39" s="2"/>
      <c r="C39" s="2"/>
      <c r="D39" s="2" t="str">
        <f>IF(ISBLANK(C39),"",VLOOKUP(C39,configuration!$G$7:$H$10,2,FALSE))</f>
        <v/>
      </c>
      <c r="E39" s="2"/>
      <c r="F39" s="2"/>
      <c r="G39" s="2"/>
      <c r="H39" s="2" t="str">
        <f>IF(ISBLANK(G39),"",VLOOKUP(G39,configuration!$J$7:$K$10,2,FALSE))</f>
        <v/>
      </c>
      <c r="I39" s="30"/>
      <c r="J39" s="2"/>
      <c r="K39" s="31"/>
      <c r="L39" s="35"/>
      <c r="M39" s="2" t="str">
        <f>IF(ISBLANK(L39),"",VLOOKUP(L39,configuration!$M$7:$N$10,2,FALSE))</f>
        <v/>
      </c>
      <c r="N39" s="30"/>
      <c r="O39" s="2"/>
      <c r="P39" s="31"/>
      <c r="Q39" s="54"/>
      <c r="R39" s="55" t="str">
        <f>IF(ISBLANK(Q39),"",VLOOKUP(Q39,configuration!$P$7:$Q$10,2,FALSE))</f>
        <v/>
      </c>
      <c r="S39" s="56"/>
      <c r="T39" s="55"/>
      <c r="U39" s="78"/>
      <c r="V39" s="76" t="str">
        <f t="shared" si="4"/>
        <v/>
      </c>
      <c r="W39" s="48" t="str">
        <f t="shared" si="4"/>
        <v/>
      </c>
      <c r="X39" s="48" t="str">
        <f t="shared" si="4"/>
        <v/>
      </c>
      <c r="Y39" s="48" t="str">
        <f t="shared" si="4"/>
        <v/>
      </c>
      <c r="Z39" s="49" t="str">
        <f t="shared" si="1"/>
        <v/>
      </c>
      <c r="AA39" s="50" t="str">
        <f t="shared" si="5"/>
        <v/>
      </c>
      <c r="AB39" s="48" t="str">
        <f t="shared" si="5"/>
        <v/>
      </c>
      <c r="AC39" s="48" t="str">
        <f t="shared" si="5"/>
        <v/>
      </c>
      <c r="AD39" s="48" t="str">
        <f t="shared" si="5"/>
        <v/>
      </c>
      <c r="AE39" s="48" t="str">
        <f t="shared" si="3"/>
        <v/>
      </c>
    </row>
    <row r="40" spans="1:31" x14ac:dyDescent="0.25">
      <c r="A40" s="2"/>
      <c r="B40" s="2"/>
      <c r="C40" s="2"/>
      <c r="D40" s="2" t="str">
        <f>IF(ISBLANK(C40),"",VLOOKUP(C40,configuration!$G$7:$H$10,2,FALSE))</f>
        <v/>
      </c>
      <c r="E40" s="2"/>
      <c r="F40" s="2"/>
      <c r="G40" s="2"/>
      <c r="H40" s="2" t="str">
        <f>IF(ISBLANK(G40),"",VLOOKUP(G40,configuration!$J$7:$K$10,2,FALSE))</f>
        <v/>
      </c>
      <c r="I40" s="30"/>
      <c r="J40" s="2"/>
      <c r="K40" s="31"/>
      <c r="L40" s="35"/>
      <c r="M40" s="2" t="str">
        <f>IF(ISBLANK(L40),"",VLOOKUP(L40,configuration!$M$7:$N$10,2,FALSE))</f>
        <v/>
      </c>
      <c r="N40" s="30"/>
      <c r="O40" s="2"/>
      <c r="P40" s="31"/>
      <c r="Q40" s="54"/>
      <c r="R40" s="55" t="str">
        <f>IF(ISBLANK(Q40),"",VLOOKUP(Q40,configuration!$P$7:$Q$10,2,FALSE))</f>
        <v/>
      </c>
      <c r="S40" s="56"/>
      <c r="T40" s="55"/>
      <c r="U40" s="78"/>
      <c r="V40" s="76" t="str">
        <f t="shared" si="4"/>
        <v/>
      </c>
      <c r="W40" s="48" t="str">
        <f t="shared" si="4"/>
        <v/>
      </c>
      <c r="X40" s="48" t="str">
        <f t="shared" si="4"/>
        <v/>
      </c>
      <c r="Y40" s="48" t="str">
        <f t="shared" si="4"/>
        <v/>
      </c>
      <c r="Z40" s="49" t="str">
        <f t="shared" si="1"/>
        <v/>
      </c>
      <c r="AA40" s="50" t="str">
        <f t="shared" si="5"/>
        <v/>
      </c>
      <c r="AB40" s="48" t="str">
        <f t="shared" si="5"/>
        <v/>
      </c>
      <c r="AC40" s="48" t="str">
        <f t="shared" si="5"/>
        <v/>
      </c>
      <c r="AD40" s="48" t="str">
        <f t="shared" si="5"/>
        <v/>
      </c>
      <c r="AE40" s="48" t="str">
        <f t="shared" si="3"/>
        <v/>
      </c>
    </row>
    <row r="41" spans="1:31" x14ac:dyDescent="0.25">
      <c r="A41" s="2"/>
      <c r="B41" s="2"/>
      <c r="C41" s="2"/>
      <c r="D41" s="2" t="str">
        <f>IF(ISBLANK(C41),"",VLOOKUP(C41,configuration!$G$7:$H$10,2,FALSE))</f>
        <v/>
      </c>
      <c r="E41" s="2"/>
      <c r="F41" s="2"/>
      <c r="G41" s="2"/>
      <c r="H41" s="2" t="str">
        <f>IF(ISBLANK(G41),"",VLOOKUP(G41,configuration!$J$7:$K$10,2,FALSE))</f>
        <v/>
      </c>
      <c r="I41" s="30"/>
      <c r="J41" s="2"/>
      <c r="K41" s="31"/>
      <c r="L41" s="35"/>
      <c r="M41" s="2" t="str">
        <f>IF(ISBLANK(L41),"",VLOOKUP(L41,configuration!$M$7:$N$10,2,FALSE))</f>
        <v/>
      </c>
      <c r="N41" s="30"/>
      <c r="O41" s="2"/>
      <c r="P41" s="31"/>
      <c r="Q41" s="54"/>
      <c r="R41" s="55" t="str">
        <f>IF(ISBLANK(Q41),"",VLOOKUP(Q41,configuration!$P$7:$Q$10,2,FALSE))</f>
        <v/>
      </c>
      <c r="S41" s="56"/>
      <c r="T41" s="55"/>
      <c r="U41" s="78"/>
      <c r="V41" s="76" t="str">
        <f t="shared" si="4"/>
        <v/>
      </c>
      <c r="W41" s="48" t="str">
        <f t="shared" si="4"/>
        <v/>
      </c>
      <c r="X41" s="48" t="str">
        <f t="shared" si="4"/>
        <v/>
      </c>
      <c r="Y41" s="48" t="str">
        <f t="shared" si="4"/>
        <v/>
      </c>
      <c r="Z41" s="49" t="str">
        <f t="shared" si="1"/>
        <v/>
      </c>
      <c r="AA41" s="50" t="str">
        <f t="shared" si="5"/>
        <v/>
      </c>
      <c r="AB41" s="48" t="str">
        <f t="shared" si="5"/>
        <v/>
      </c>
      <c r="AC41" s="48" t="str">
        <f t="shared" si="5"/>
        <v/>
      </c>
      <c r="AD41" s="48" t="str">
        <f t="shared" si="5"/>
        <v/>
      </c>
      <c r="AE41" s="48" t="str">
        <f t="shared" si="3"/>
        <v/>
      </c>
    </row>
    <row r="42" spans="1:31" x14ac:dyDescent="0.25">
      <c r="A42" s="2"/>
      <c r="B42" s="2"/>
      <c r="C42" s="2"/>
      <c r="D42" s="2" t="str">
        <f>IF(ISBLANK(C42),"",VLOOKUP(C42,configuration!$G$7:$H$10,2,FALSE))</f>
        <v/>
      </c>
      <c r="E42" s="2"/>
      <c r="F42" s="2"/>
      <c r="G42" s="2"/>
      <c r="H42" s="2" t="str">
        <f>IF(ISBLANK(G42),"",VLOOKUP(G42,configuration!$J$7:$K$10,2,FALSE))</f>
        <v/>
      </c>
      <c r="I42" s="30"/>
      <c r="J42" s="2"/>
      <c r="K42" s="31"/>
      <c r="L42" s="35"/>
      <c r="M42" s="2" t="str">
        <f>IF(ISBLANK(L42),"",VLOOKUP(L42,configuration!$M$7:$N$10,2,FALSE))</f>
        <v/>
      </c>
      <c r="N42" s="30"/>
      <c r="O42" s="2"/>
      <c r="P42" s="31"/>
      <c r="Q42" s="54"/>
      <c r="R42" s="55" t="str">
        <f>IF(ISBLANK(Q42),"",VLOOKUP(Q42,configuration!$P$7:$Q$10,2,FALSE))</f>
        <v/>
      </c>
      <c r="S42" s="56"/>
      <c r="T42" s="55"/>
      <c r="U42" s="78"/>
      <c r="V42" s="76" t="str">
        <f t="shared" si="4"/>
        <v/>
      </c>
      <c r="W42" s="48" t="str">
        <f t="shared" si="4"/>
        <v/>
      </c>
      <c r="X42" s="48" t="str">
        <f t="shared" si="4"/>
        <v/>
      </c>
      <c r="Y42" s="48" t="str">
        <f t="shared" si="4"/>
        <v/>
      </c>
      <c r="Z42" s="49" t="str">
        <f t="shared" si="1"/>
        <v/>
      </c>
      <c r="AA42" s="50" t="str">
        <f t="shared" si="5"/>
        <v/>
      </c>
      <c r="AB42" s="48" t="str">
        <f t="shared" si="5"/>
        <v/>
      </c>
      <c r="AC42" s="48" t="str">
        <f t="shared" si="5"/>
        <v/>
      </c>
      <c r="AD42" s="48" t="str">
        <f t="shared" si="5"/>
        <v/>
      </c>
      <c r="AE42" s="48" t="str">
        <f t="shared" si="3"/>
        <v/>
      </c>
    </row>
    <row r="43" spans="1:31" x14ac:dyDescent="0.25">
      <c r="A43" s="2"/>
      <c r="B43" s="2"/>
      <c r="C43" s="2"/>
      <c r="D43" s="2" t="str">
        <f>IF(ISBLANK(C43),"",VLOOKUP(C43,configuration!$G$7:$H$10,2,FALSE))</f>
        <v/>
      </c>
      <c r="E43" s="2"/>
      <c r="F43" s="2"/>
      <c r="G43" s="2"/>
      <c r="H43" s="2" t="str">
        <f>IF(ISBLANK(G43),"",VLOOKUP(G43,configuration!$J$7:$K$10,2,FALSE))</f>
        <v/>
      </c>
      <c r="I43" s="30"/>
      <c r="J43" s="2"/>
      <c r="K43" s="31"/>
      <c r="L43" s="35"/>
      <c r="M43" s="2" t="str">
        <f>IF(ISBLANK(L43),"",VLOOKUP(L43,configuration!$M$7:$N$10,2,FALSE))</f>
        <v/>
      </c>
      <c r="N43" s="30"/>
      <c r="O43" s="2"/>
      <c r="P43" s="31"/>
      <c r="Q43" s="54"/>
      <c r="R43" s="55" t="str">
        <f>IF(ISBLANK(Q43),"",VLOOKUP(Q43,configuration!$P$7:$Q$10,2,FALSE))</f>
        <v/>
      </c>
      <c r="S43" s="56"/>
      <c r="T43" s="55"/>
      <c r="U43" s="78"/>
      <c r="V43" s="76" t="str">
        <f t="shared" si="4"/>
        <v/>
      </c>
      <c r="W43" s="48" t="str">
        <f t="shared" si="4"/>
        <v/>
      </c>
      <c r="X43" s="48" t="str">
        <f t="shared" si="4"/>
        <v/>
      </c>
      <c r="Y43" s="48" t="str">
        <f t="shared" si="4"/>
        <v/>
      </c>
      <c r="Z43" s="49" t="str">
        <f t="shared" si="1"/>
        <v/>
      </c>
      <c r="AA43" s="50" t="str">
        <f t="shared" si="5"/>
        <v/>
      </c>
      <c r="AB43" s="48" t="str">
        <f t="shared" si="5"/>
        <v/>
      </c>
      <c r="AC43" s="48" t="str">
        <f t="shared" si="5"/>
        <v/>
      </c>
      <c r="AD43" s="48" t="str">
        <f t="shared" si="5"/>
        <v/>
      </c>
      <c r="AE43" s="48" t="str">
        <f t="shared" si="3"/>
        <v/>
      </c>
    </row>
    <row r="44" spans="1:31" x14ac:dyDescent="0.25">
      <c r="A44" s="2"/>
      <c r="B44" s="2"/>
      <c r="C44" s="2"/>
      <c r="D44" s="2" t="str">
        <f>IF(ISBLANK(C44),"",VLOOKUP(C44,configuration!$G$7:$H$10,2,FALSE))</f>
        <v/>
      </c>
      <c r="E44" s="2"/>
      <c r="F44" s="2"/>
      <c r="G44" s="2"/>
      <c r="H44" s="2" t="str">
        <f>IF(ISBLANK(G44),"",VLOOKUP(G44,configuration!$J$7:$K$10,2,FALSE))</f>
        <v/>
      </c>
      <c r="I44" s="30"/>
      <c r="J44" s="2"/>
      <c r="K44" s="31"/>
      <c r="L44" s="35"/>
      <c r="M44" s="2" t="str">
        <f>IF(ISBLANK(L44),"",VLOOKUP(L44,configuration!$M$7:$N$10,2,FALSE))</f>
        <v/>
      </c>
      <c r="N44" s="30"/>
      <c r="O44" s="2"/>
      <c r="P44" s="31"/>
      <c r="Q44" s="54"/>
      <c r="R44" s="55" t="str">
        <f>IF(ISBLANK(Q44),"",VLOOKUP(Q44,configuration!$P$7:$Q$10,2,FALSE))</f>
        <v/>
      </c>
      <c r="S44" s="56"/>
      <c r="T44" s="55"/>
      <c r="U44" s="78"/>
      <c r="V44" s="76" t="str">
        <f t="shared" si="4"/>
        <v/>
      </c>
      <c r="W44" s="48" t="str">
        <f t="shared" si="4"/>
        <v/>
      </c>
      <c r="X44" s="48" t="str">
        <f t="shared" si="4"/>
        <v/>
      </c>
      <c r="Y44" s="48" t="str">
        <f t="shared" si="4"/>
        <v/>
      </c>
      <c r="Z44" s="49" t="str">
        <f t="shared" si="1"/>
        <v/>
      </c>
      <c r="AA44" s="50" t="str">
        <f t="shared" si="5"/>
        <v/>
      </c>
      <c r="AB44" s="48" t="str">
        <f t="shared" si="5"/>
        <v/>
      </c>
      <c r="AC44" s="48" t="str">
        <f t="shared" si="5"/>
        <v/>
      </c>
      <c r="AD44" s="48" t="str">
        <f t="shared" si="5"/>
        <v/>
      </c>
      <c r="AE44" s="48" t="str">
        <f t="shared" si="3"/>
        <v/>
      </c>
    </row>
    <row r="45" spans="1:31" x14ac:dyDescent="0.25">
      <c r="A45" s="2"/>
      <c r="B45" s="2"/>
      <c r="C45" s="2"/>
      <c r="D45" s="2" t="str">
        <f>IF(ISBLANK(C45),"",VLOOKUP(C45,configuration!$G$7:$H$10,2,FALSE))</f>
        <v/>
      </c>
      <c r="E45" s="2"/>
      <c r="F45" s="2"/>
      <c r="G45" s="2"/>
      <c r="H45" s="2" t="str">
        <f>IF(ISBLANK(G45),"",VLOOKUP(G45,configuration!$J$7:$K$10,2,FALSE))</f>
        <v/>
      </c>
      <c r="I45" s="30"/>
      <c r="J45" s="2"/>
      <c r="K45" s="31"/>
      <c r="L45" s="35"/>
      <c r="M45" s="2" t="str">
        <f>IF(ISBLANK(L45),"",VLOOKUP(L45,configuration!$M$7:$N$10,2,FALSE))</f>
        <v/>
      </c>
      <c r="N45" s="30"/>
      <c r="O45" s="2"/>
      <c r="P45" s="31"/>
      <c r="Q45" s="54"/>
      <c r="R45" s="55" t="str">
        <f>IF(ISBLANK(Q45),"",VLOOKUP(Q45,configuration!$P$7:$Q$10,2,FALSE))</f>
        <v/>
      </c>
      <c r="S45" s="56"/>
      <c r="T45" s="55"/>
      <c r="U45" s="78"/>
      <c r="V45" s="76" t="str">
        <f t="shared" si="4"/>
        <v/>
      </c>
      <c r="W45" s="48" t="str">
        <f t="shared" si="4"/>
        <v/>
      </c>
      <c r="X45" s="48" t="str">
        <f t="shared" si="4"/>
        <v/>
      </c>
      <c r="Y45" s="48" t="str">
        <f t="shared" si="4"/>
        <v/>
      </c>
      <c r="Z45" s="49" t="str">
        <f t="shared" si="1"/>
        <v/>
      </c>
      <c r="AA45" s="50" t="str">
        <f t="shared" si="5"/>
        <v/>
      </c>
      <c r="AB45" s="48" t="str">
        <f t="shared" si="5"/>
        <v/>
      </c>
      <c r="AC45" s="48" t="str">
        <f t="shared" si="5"/>
        <v/>
      </c>
      <c r="AD45" s="48" t="str">
        <f t="shared" si="5"/>
        <v/>
      </c>
      <c r="AE45" s="48" t="str">
        <f t="shared" si="3"/>
        <v/>
      </c>
    </row>
    <row r="46" spans="1:31" x14ac:dyDescent="0.25">
      <c r="A46" s="2"/>
      <c r="B46" s="2"/>
      <c r="C46" s="2"/>
      <c r="D46" s="2" t="str">
        <f>IF(ISBLANK(C46),"",VLOOKUP(C46,configuration!$G$7:$H$10,2,FALSE))</f>
        <v/>
      </c>
      <c r="E46" s="2"/>
      <c r="F46" s="2"/>
      <c r="G46" s="2"/>
      <c r="H46" s="2" t="str">
        <f>IF(ISBLANK(G46),"",VLOOKUP(G46,configuration!$J$7:$K$10,2,FALSE))</f>
        <v/>
      </c>
      <c r="I46" s="30"/>
      <c r="J46" s="2"/>
      <c r="K46" s="31"/>
      <c r="L46" s="35"/>
      <c r="M46" s="2" t="str">
        <f>IF(ISBLANK(L46),"",VLOOKUP(L46,configuration!$M$7:$N$10,2,FALSE))</f>
        <v/>
      </c>
      <c r="N46" s="30"/>
      <c r="O46" s="2"/>
      <c r="P46" s="31"/>
      <c r="Q46" s="54"/>
      <c r="R46" s="55" t="str">
        <f>IF(ISBLANK(Q46),"",VLOOKUP(Q46,configuration!$P$7:$Q$10,2,FALSE))</f>
        <v/>
      </c>
      <c r="S46" s="56"/>
      <c r="T46" s="55"/>
      <c r="U46" s="78"/>
      <c r="V46" s="76" t="str">
        <f t="shared" si="4"/>
        <v/>
      </c>
      <c r="W46" s="48" t="str">
        <f t="shared" si="4"/>
        <v/>
      </c>
      <c r="X46" s="48" t="str">
        <f t="shared" si="4"/>
        <v/>
      </c>
      <c r="Y46" s="48" t="str">
        <f t="shared" si="4"/>
        <v/>
      </c>
      <c r="Z46" s="49" t="str">
        <f t="shared" si="1"/>
        <v/>
      </c>
      <c r="AA46" s="50" t="str">
        <f t="shared" si="5"/>
        <v/>
      </c>
      <c r="AB46" s="48" t="str">
        <f t="shared" si="5"/>
        <v/>
      </c>
      <c r="AC46" s="48" t="str">
        <f t="shared" si="5"/>
        <v/>
      </c>
      <c r="AD46" s="48" t="str">
        <f t="shared" si="5"/>
        <v/>
      </c>
      <c r="AE46" s="48" t="str">
        <f t="shared" si="3"/>
        <v/>
      </c>
    </row>
    <row r="47" spans="1:31" x14ac:dyDescent="0.25">
      <c r="A47" s="2"/>
      <c r="B47" s="2"/>
      <c r="C47" s="2"/>
      <c r="D47" s="2" t="str">
        <f>IF(ISBLANK(C47),"",VLOOKUP(C47,configuration!$G$7:$H$10,2,FALSE))</f>
        <v/>
      </c>
      <c r="E47" s="2"/>
      <c r="F47" s="2"/>
      <c r="G47" s="2"/>
      <c r="H47" s="2" t="str">
        <f>IF(ISBLANK(G47),"",VLOOKUP(G47,configuration!$J$7:$K$10,2,FALSE))</f>
        <v/>
      </c>
      <c r="I47" s="30"/>
      <c r="J47" s="2"/>
      <c r="K47" s="31"/>
      <c r="L47" s="35"/>
      <c r="M47" s="2" t="str">
        <f>IF(ISBLANK(L47),"",VLOOKUP(L47,configuration!$M$7:$N$10,2,FALSE))</f>
        <v/>
      </c>
      <c r="N47" s="30"/>
      <c r="O47" s="2"/>
      <c r="P47" s="31"/>
      <c r="Q47" s="54"/>
      <c r="R47" s="55" t="str">
        <f>IF(ISBLANK(Q47),"",VLOOKUP(Q47,configuration!$P$7:$Q$10,2,FALSE))</f>
        <v/>
      </c>
      <c r="S47" s="56"/>
      <c r="T47" s="55"/>
      <c r="U47" s="78"/>
      <c r="V47" s="76" t="str">
        <f t="shared" si="4"/>
        <v/>
      </c>
      <c r="W47" s="48" t="str">
        <f t="shared" si="4"/>
        <v/>
      </c>
      <c r="X47" s="48" t="str">
        <f t="shared" si="4"/>
        <v/>
      </c>
      <c r="Y47" s="48" t="str">
        <f t="shared" si="4"/>
        <v/>
      </c>
      <c r="Z47" s="49" t="str">
        <f t="shared" si="1"/>
        <v/>
      </c>
      <c r="AA47" s="50" t="str">
        <f t="shared" si="5"/>
        <v/>
      </c>
      <c r="AB47" s="48" t="str">
        <f t="shared" si="5"/>
        <v/>
      </c>
      <c r="AC47" s="48" t="str">
        <f t="shared" si="5"/>
        <v/>
      </c>
      <c r="AD47" s="48" t="str">
        <f t="shared" si="5"/>
        <v/>
      </c>
      <c r="AE47" s="48" t="str">
        <f t="shared" si="3"/>
        <v/>
      </c>
    </row>
    <row r="48" spans="1:31" x14ac:dyDescent="0.25">
      <c r="A48" s="2"/>
      <c r="B48" s="2"/>
      <c r="C48" s="2"/>
      <c r="D48" s="2" t="str">
        <f>IF(ISBLANK(C48),"",VLOOKUP(C48,configuration!$G$7:$H$10,2,FALSE))</f>
        <v/>
      </c>
      <c r="E48" s="2"/>
      <c r="F48" s="2"/>
      <c r="G48" s="2"/>
      <c r="H48" s="2" t="str">
        <f>IF(ISBLANK(G48),"",VLOOKUP(G48,configuration!$J$7:$K$10,2,FALSE))</f>
        <v/>
      </c>
      <c r="I48" s="30"/>
      <c r="J48" s="2"/>
      <c r="K48" s="31"/>
      <c r="L48" s="35"/>
      <c r="M48" s="2" t="str">
        <f>IF(ISBLANK(L48),"",VLOOKUP(L48,configuration!$M$7:$N$10,2,FALSE))</f>
        <v/>
      </c>
      <c r="N48" s="30"/>
      <c r="O48" s="2"/>
      <c r="P48" s="31"/>
      <c r="Q48" s="54"/>
      <c r="R48" s="55" t="str">
        <f>IF(ISBLANK(Q48),"",VLOOKUP(Q48,configuration!$P$7:$Q$10,2,FALSE))</f>
        <v/>
      </c>
      <c r="S48" s="56"/>
      <c r="T48" s="55"/>
      <c r="U48" s="78"/>
      <c r="V48" s="76" t="str">
        <f t="shared" si="4"/>
        <v/>
      </c>
      <c r="W48" s="48" t="str">
        <f t="shared" si="4"/>
        <v/>
      </c>
      <c r="X48" s="48" t="str">
        <f t="shared" si="4"/>
        <v/>
      </c>
      <c r="Y48" s="48" t="str">
        <f t="shared" si="4"/>
        <v/>
      </c>
      <c r="Z48" s="49" t="str">
        <f t="shared" si="1"/>
        <v/>
      </c>
      <c r="AA48" s="50" t="str">
        <f t="shared" si="5"/>
        <v/>
      </c>
      <c r="AB48" s="48" t="str">
        <f t="shared" si="5"/>
        <v/>
      </c>
      <c r="AC48" s="48" t="str">
        <f t="shared" si="5"/>
        <v/>
      </c>
      <c r="AD48" s="48" t="str">
        <f t="shared" si="5"/>
        <v/>
      </c>
      <c r="AE48" s="48" t="str">
        <f t="shared" si="3"/>
        <v/>
      </c>
    </row>
    <row r="49" spans="1:31" x14ac:dyDescent="0.25">
      <c r="A49" s="2"/>
      <c r="B49" s="2"/>
      <c r="C49" s="2"/>
      <c r="D49" s="2" t="str">
        <f>IF(ISBLANK(C49),"",VLOOKUP(C49,configuration!$G$7:$H$10,2,FALSE))</f>
        <v/>
      </c>
      <c r="E49" s="2"/>
      <c r="F49" s="2"/>
      <c r="G49" s="2"/>
      <c r="H49" s="2" t="str">
        <f>IF(ISBLANK(G49),"",VLOOKUP(G49,configuration!$J$7:$K$10,2,FALSE))</f>
        <v/>
      </c>
      <c r="I49" s="30"/>
      <c r="J49" s="2"/>
      <c r="K49" s="31"/>
      <c r="L49" s="35"/>
      <c r="M49" s="2" t="str">
        <f>IF(ISBLANK(L49),"",VLOOKUP(L49,configuration!$M$7:$N$10,2,FALSE))</f>
        <v/>
      </c>
      <c r="N49" s="30"/>
      <c r="O49" s="2"/>
      <c r="P49" s="31"/>
      <c r="Q49" s="54"/>
      <c r="R49" s="55" t="str">
        <f>IF(ISBLANK(Q49),"",VLOOKUP(Q49,configuration!$P$7:$Q$10,2,FALSE))</f>
        <v/>
      </c>
      <c r="S49" s="56"/>
      <c r="T49" s="55"/>
      <c r="U49" s="78"/>
      <c r="V49" s="76" t="str">
        <f t="shared" si="4"/>
        <v/>
      </c>
      <c r="W49" s="48" t="str">
        <f t="shared" si="4"/>
        <v/>
      </c>
      <c r="X49" s="48" t="str">
        <f t="shared" si="4"/>
        <v/>
      </c>
      <c r="Y49" s="48" t="str">
        <f t="shared" si="4"/>
        <v/>
      </c>
      <c r="Z49" s="49" t="str">
        <f t="shared" si="1"/>
        <v/>
      </c>
      <c r="AA49" s="50" t="str">
        <f t="shared" si="5"/>
        <v/>
      </c>
      <c r="AB49" s="48" t="str">
        <f t="shared" si="5"/>
        <v/>
      </c>
      <c r="AC49" s="48" t="str">
        <f t="shared" si="5"/>
        <v/>
      </c>
      <c r="AD49" s="48" t="str">
        <f t="shared" si="5"/>
        <v/>
      </c>
      <c r="AE49" s="48" t="str">
        <f t="shared" si="3"/>
        <v/>
      </c>
    </row>
    <row r="50" spans="1:31" x14ac:dyDescent="0.25">
      <c r="A50" s="2"/>
      <c r="B50" s="2"/>
      <c r="C50" s="2"/>
      <c r="D50" s="2" t="str">
        <f>IF(ISBLANK(C50),"",VLOOKUP(C50,configuration!$G$7:$H$10,2,FALSE))</f>
        <v/>
      </c>
      <c r="E50" s="2"/>
      <c r="F50" s="2"/>
      <c r="G50" s="2"/>
      <c r="H50" s="2" t="str">
        <f>IF(ISBLANK(G50),"",VLOOKUP(G50,configuration!$J$7:$K$10,2,FALSE))</f>
        <v/>
      </c>
      <c r="I50" s="30"/>
      <c r="J50" s="2"/>
      <c r="K50" s="31"/>
      <c r="L50" s="35"/>
      <c r="M50" s="2" t="str">
        <f>IF(ISBLANK(L50),"",VLOOKUP(L50,configuration!$M$7:$N$10,2,FALSE))</f>
        <v/>
      </c>
      <c r="N50" s="30"/>
      <c r="O50" s="2"/>
      <c r="P50" s="31"/>
      <c r="Q50" s="54"/>
      <c r="R50" s="55" t="str">
        <f>IF(ISBLANK(Q50),"",VLOOKUP(Q50,configuration!$P$7:$Q$10,2,FALSE))</f>
        <v/>
      </c>
      <c r="S50" s="56"/>
      <c r="T50" s="55"/>
      <c r="U50" s="78"/>
      <c r="V50" s="76" t="str">
        <f t="shared" si="4"/>
        <v/>
      </c>
      <c r="W50" s="48" t="str">
        <f t="shared" si="4"/>
        <v/>
      </c>
      <c r="X50" s="48" t="str">
        <f t="shared" si="4"/>
        <v/>
      </c>
      <c r="Y50" s="48" t="str">
        <f t="shared" si="4"/>
        <v/>
      </c>
      <c r="Z50" s="49" t="str">
        <f t="shared" si="1"/>
        <v/>
      </c>
      <c r="AA50" s="50" t="str">
        <f t="shared" si="5"/>
        <v/>
      </c>
      <c r="AB50" s="48" t="str">
        <f t="shared" si="5"/>
        <v/>
      </c>
      <c r="AC50" s="48" t="str">
        <f t="shared" si="5"/>
        <v/>
      </c>
      <c r="AD50" s="48" t="str">
        <f t="shared" si="5"/>
        <v/>
      </c>
      <c r="AE50" s="48" t="str">
        <f t="shared" si="3"/>
        <v/>
      </c>
    </row>
    <row r="51" spans="1:31" x14ac:dyDescent="0.25">
      <c r="A51" s="2"/>
      <c r="B51" s="2"/>
      <c r="C51" s="2"/>
      <c r="D51" s="2" t="str">
        <f>IF(ISBLANK(C51),"",VLOOKUP(C51,configuration!$G$7:$H$10,2,FALSE))</f>
        <v/>
      </c>
      <c r="E51" s="2"/>
      <c r="F51" s="2"/>
      <c r="G51" s="2"/>
      <c r="H51" s="2" t="str">
        <f>IF(ISBLANK(G51),"",VLOOKUP(G51,configuration!$J$7:$K$10,2,FALSE))</f>
        <v/>
      </c>
      <c r="I51" s="30"/>
      <c r="J51" s="2"/>
      <c r="K51" s="31"/>
      <c r="L51" s="35"/>
      <c r="M51" s="2" t="str">
        <f>IF(ISBLANK(L51),"",VLOOKUP(L51,configuration!$M$7:$N$10,2,FALSE))</f>
        <v/>
      </c>
      <c r="N51" s="30"/>
      <c r="O51" s="2"/>
      <c r="P51" s="31"/>
      <c r="Q51" s="54"/>
      <c r="R51" s="55" t="str">
        <f>IF(ISBLANK(Q51),"",VLOOKUP(Q51,configuration!$P$7:$Q$10,2,FALSE))</f>
        <v/>
      </c>
      <c r="S51" s="56"/>
      <c r="T51" s="55"/>
      <c r="U51" s="78"/>
      <c r="V51" s="76" t="str">
        <f t="shared" si="4"/>
        <v/>
      </c>
      <c r="W51" s="48" t="str">
        <f t="shared" si="4"/>
        <v/>
      </c>
      <c r="X51" s="48" t="str">
        <f t="shared" si="4"/>
        <v/>
      </c>
      <c r="Y51" s="48" t="str">
        <f t="shared" si="4"/>
        <v/>
      </c>
      <c r="Z51" s="49" t="str">
        <f t="shared" si="1"/>
        <v/>
      </c>
      <c r="AA51" s="50" t="str">
        <f t="shared" si="5"/>
        <v/>
      </c>
      <c r="AB51" s="48" t="str">
        <f t="shared" si="5"/>
        <v/>
      </c>
      <c r="AC51" s="48" t="str">
        <f t="shared" si="5"/>
        <v/>
      </c>
      <c r="AD51" s="48" t="str">
        <f t="shared" si="5"/>
        <v/>
      </c>
      <c r="AE51" s="48" t="str">
        <f t="shared" si="3"/>
        <v/>
      </c>
    </row>
    <row r="52" spans="1:31" x14ac:dyDescent="0.25">
      <c r="A52" s="2"/>
      <c r="B52" s="2"/>
      <c r="C52" s="2"/>
      <c r="D52" s="2" t="str">
        <f>IF(ISBLANK(C52),"",VLOOKUP(C52,configuration!$G$7:$H$10,2,FALSE))</f>
        <v/>
      </c>
      <c r="E52" s="2"/>
      <c r="F52" s="2"/>
      <c r="G52" s="2"/>
      <c r="H52" s="2" t="str">
        <f>IF(ISBLANK(G52),"",VLOOKUP(G52,configuration!$J$7:$K$10,2,FALSE))</f>
        <v/>
      </c>
      <c r="I52" s="30"/>
      <c r="J52" s="2"/>
      <c r="K52" s="31"/>
      <c r="L52" s="35"/>
      <c r="M52" s="2" t="str">
        <f>IF(ISBLANK(L52),"",VLOOKUP(L52,configuration!$M$7:$N$10,2,FALSE))</f>
        <v/>
      </c>
      <c r="N52" s="30"/>
      <c r="O52" s="2"/>
      <c r="P52" s="31"/>
      <c r="Q52" s="54"/>
      <c r="R52" s="55" t="str">
        <f>IF(ISBLANK(Q52),"",VLOOKUP(Q52,configuration!$P$7:$Q$10,2,FALSE))</f>
        <v/>
      </c>
      <c r="S52" s="56"/>
      <c r="T52" s="55"/>
      <c r="U52" s="78"/>
      <c r="V52" s="76" t="str">
        <f t="shared" si="4"/>
        <v/>
      </c>
      <c r="W52" s="48" t="str">
        <f t="shared" si="4"/>
        <v/>
      </c>
      <c r="X52" s="48" t="str">
        <f t="shared" si="4"/>
        <v/>
      </c>
      <c r="Y52" s="48" t="str">
        <f t="shared" si="4"/>
        <v/>
      </c>
      <c r="Z52" s="49" t="str">
        <f t="shared" si="1"/>
        <v/>
      </c>
      <c r="AA52" s="50" t="str">
        <f t="shared" si="5"/>
        <v/>
      </c>
      <c r="AB52" s="48" t="str">
        <f t="shared" si="5"/>
        <v/>
      </c>
      <c r="AC52" s="48" t="str">
        <f t="shared" si="5"/>
        <v/>
      </c>
      <c r="AD52" s="48" t="str">
        <f t="shared" si="5"/>
        <v/>
      </c>
      <c r="AE52" s="48" t="str">
        <f t="shared" si="3"/>
        <v/>
      </c>
    </row>
    <row r="53" spans="1:31" x14ac:dyDescent="0.25">
      <c r="A53" s="2"/>
      <c r="B53" s="2"/>
      <c r="C53" s="2"/>
      <c r="D53" s="2" t="str">
        <f>IF(ISBLANK(C53),"",VLOOKUP(C53,configuration!$G$7:$H$10,2,FALSE))</f>
        <v/>
      </c>
      <c r="E53" s="2"/>
      <c r="F53" s="2"/>
      <c r="G53" s="2"/>
      <c r="H53" s="2" t="str">
        <f>IF(ISBLANK(G53),"",VLOOKUP(G53,configuration!$J$7:$K$10,2,FALSE))</f>
        <v/>
      </c>
      <c r="I53" s="30"/>
      <c r="J53" s="2"/>
      <c r="K53" s="31"/>
      <c r="L53" s="35"/>
      <c r="M53" s="2" t="str">
        <f>IF(ISBLANK(L53),"",VLOOKUP(L53,configuration!$M$7:$N$10,2,FALSE))</f>
        <v/>
      </c>
      <c r="N53" s="30"/>
      <c r="O53" s="2"/>
      <c r="P53" s="31"/>
      <c r="Q53" s="54"/>
      <c r="R53" s="55" t="str">
        <f>IF(ISBLANK(Q53),"",VLOOKUP(Q53,configuration!$P$7:$Q$10,2,FALSE))</f>
        <v/>
      </c>
      <c r="S53" s="56"/>
      <c r="T53" s="55"/>
      <c r="U53" s="78"/>
      <c r="V53" s="76" t="str">
        <f t="shared" si="4"/>
        <v/>
      </c>
      <c r="W53" s="48" t="str">
        <f t="shared" si="4"/>
        <v/>
      </c>
      <c r="X53" s="48" t="str">
        <f t="shared" si="4"/>
        <v/>
      </c>
      <c r="Y53" s="48" t="str">
        <f t="shared" si="4"/>
        <v/>
      </c>
      <c r="Z53" s="49" t="str">
        <f t="shared" si="1"/>
        <v/>
      </c>
      <c r="AA53" s="50" t="str">
        <f t="shared" si="5"/>
        <v/>
      </c>
      <c r="AB53" s="48" t="str">
        <f t="shared" si="5"/>
        <v/>
      </c>
      <c r="AC53" s="48" t="str">
        <f t="shared" si="5"/>
        <v/>
      </c>
      <c r="AD53" s="48" t="str">
        <f t="shared" si="5"/>
        <v/>
      </c>
      <c r="AE53" s="48" t="str">
        <f t="shared" si="3"/>
        <v/>
      </c>
    </row>
    <row r="54" spans="1:31" x14ac:dyDescent="0.25">
      <c r="A54" s="2"/>
      <c r="B54" s="2"/>
      <c r="C54" s="2"/>
      <c r="D54" s="2" t="str">
        <f>IF(ISBLANK(C54),"",VLOOKUP(C54,configuration!$G$7:$H$10,2,FALSE))</f>
        <v/>
      </c>
      <c r="E54" s="2"/>
      <c r="F54" s="2"/>
      <c r="G54" s="2"/>
      <c r="H54" s="2" t="str">
        <f>IF(ISBLANK(G54),"",VLOOKUP(G54,configuration!$J$7:$K$10,2,FALSE))</f>
        <v/>
      </c>
      <c r="I54" s="30"/>
      <c r="J54" s="2"/>
      <c r="K54" s="31"/>
      <c r="L54" s="35"/>
      <c r="M54" s="2" t="str">
        <f>IF(ISBLANK(L54),"",VLOOKUP(L54,configuration!$M$7:$N$10,2,FALSE))</f>
        <v/>
      </c>
      <c r="N54" s="30"/>
      <c r="O54" s="2"/>
      <c r="P54" s="31"/>
      <c r="Q54" s="54"/>
      <c r="R54" s="55" t="str">
        <f>IF(ISBLANK(Q54),"",VLOOKUP(Q54,configuration!$P$7:$Q$10,2,FALSE))</f>
        <v/>
      </c>
      <c r="S54" s="56"/>
      <c r="T54" s="55"/>
      <c r="U54" s="78"/>
      <c r="V54" s="76" t="str">
        <f t="shared" si="4"/>
        <v/>
      </c>
      <c r="W54" s="48" t="str">
        <f t="shared" si="4"/>
        <v/>
      </c>
      <c r="X54" s="48" t="str">
        <f t="shared" si="4"/>
        <v/>
      </c>
      <c r="Y54" s="48" t="str">
        <f t="shared" si="4"/>
        <v/>
      </c>
      <c r="Z54" s="49" t="str">
        <f t="shared" si="1"/>
        <v/>
      </c>
      <c r="AA54" s="50" t="str">
        <f t="shared" si="5"/>
        <v/>
      </c>
      <c r="AB54" s="48" t="str">
        <f t="shared" si="5"/>
        <v/>
      </c>
      <c r="AC54" s="48" t="str">
        <f t="shared" si="5"/>
        <v/>
      </c>
      <c r="AD54" s="48" t="str">
        <f t="shared" si="5"/>
        <v/>
      </c>
      <c r="AE54" s="48" t="str">
        <f t="shared" si="3"/>
        <v/>
      </c>
    </row>
    <row r="55" spans="1:31" x14ac:dyDescent="0.25">
      <c r="A55" s="2"/>
      <c r="B55" s="2"/>
      <c r="C55" s="2"/>
      <c r="D55" s="2" t="str">
        <f>IF(ISBLANK(C55),"",VLOOKUP(C55,configuration!$G$7:$H$10,2,FALSE))</f>
        <v/>
      </c>
      <c r="E55" s="2"/>
      <c r="F55" s="2"/>
      <c r="G55" s="2"/>
      <c r="H55" s="2" t="str">
        <f>IF(ISBLANK(G55),"",VLOOKUP(G55,configuration!$J$7:$K$10,2,FALSE))</f>
        <v/>
      </c>
      <c r="I55" s="30"/>
      <c r="J55" s="2"/>
      <c r="K55" s="31"/>
      <c r="L55" s="35"/>
      <c r="M55" s="2" t="str">
        <f>IF(ISBLANK(L55),"",VLOOKUP(L55,configuration!$M$7:$N$10,2,FALSE))</f>
        <v/>
      </c>
      <c r="N55" s="30"/>
      <c r="O55" s="2"/>
      <c r="P55" s="31"/>
      <c r="Q55" s="54"/>
      <c r="R55" s="55" t="str">
        <f>IF(ISBLANK(Q55),"",VLOOKUP(Q55,configuration!$P$7:$Q$10,2,FALSE))</f>
        <v/>
      </c>
      <c r="S55" s="56"/>
      <c r="T55" s="55"/>
      <c r="U55" s="78"/>
      <c r="V55" s="76" t="str">
        <f t="shared" si="4"/>
        <v/>
      </c>
      <c r="W55" s="48" t="str">
        <f t="shared" si="4"/>
        <v/>
      </c>
      <c r="X55" s="48" t="str">
        <f t="shared" si="4"/>
        <v/>
      </c>
      <c r="Y55" s="48" t="str">
        <f t="shared" si="4"/>
        <v/>
      </c>
      <c r="Z55" s="49" t="str">
        <f t="shared" si="1"/>
        <v/>
      </c>
      <c r="AA55" s="50" t="str">
        <f t="shared" si="5"/>
        <v/>
      </c>
      <c r="AB55" s="48" t="str">
        <f t="shared" si="5"/>
        <v/>
      </c>
      <c r="AC55" s="48" t="str">
        <f t="shared" si="5"/>
        <v/>
      </c>
      <c r="AD55" s="48" t="str">
        <f t="shared" si="5"/>
        <v/>
      </c>
      <c r="AE55" s="48" t="str">
        <f t="shared" si="3"/>
        <v/>
      </c>
    </row>
    <row r="56" spans="1:31" x14ac:dyDescent="0.25">
      <c r="A56" s="2"/>
      <c r="B56" s="2"/>
      <c r="C56" s="2"/>
      <c r="D56" s="2" t="str">
        <f>IF(ISBLANK(C56),"",VLOOKUP(C56,configuration!$G$7:$H$10,2,FALSE))</f>
        <v/>
      </c>
      <c r="E56" s="2"/>
      <c r="F56" s="2"/>
      <c r="G56" s="2"/>
      <c r="H56" s="2" t="str">
        <f>IF(ISBLANK(G56),"",VLOOKUP(G56,configuration!$J$7:$K$10,2,FALSE))</f>
        <v/>
      </c>
      <c r="I56" s="30"/>
      <c r="J56" s="2"/>
      <c r="K56" s="31"/>
      <c r="L56" s="35"/>
      <c r="M56" s="2" t="str">
        <f>IF(ISBLANK(L56),"",VLOOKUP(L56,configuration!$M$7:$N$10,2,FALSE))</f>
        <v/>
      </c>
      <c r="N56" s="30"/>
      <c r="O56" s="2"/>
      <c r="P56" s="31"/>
      <c r="Q56" s="54"/>
      <c r="R56" s="55" t="str">
        <f>IF(ISBLANK(Q56),"",VLOOKUP(Q56,configuration!$P$7:$Q$10,2,FALSE))</f>
        <v/>
      </c>
      <c r="S56" s="56"/>
      <c r="T56" s="55"/>
      <c r="U56" s="78"/>
      <c r="V56" s="76" t="str">
        <f t="shared" si="4"/>
        <v/>
      </c>
      <c r="W56" s="48" t="str">
        <f t="shared" si="4"/>
        <v/>
      </c>
      <c r="X56" s="48" t="str">
        <f t="shared" si="4"/>
        <v/>
      </c>
      <c r="Y56" s="48" t="str">
        <f t="shared" si="4"/>
        <v/>
      </c>
      <c r="Z56" s="49" t="str">
        <f t="shared" si="1"/>
        <v/>
      </c>
      <c r="AA56" s="50" t="str">
        <f t="shared" si="5"/>
        <v/>
      </c>
      <c r="AB56" s="48" t="str">
        <f t="shared" si="5"/>
        <v/>
      </c>
      <c r="AC56" s="48" t="str">
        <f t="shared" si="5"/>
        <v/>
      </c>
      <c r="AD56" s="48" t="str">
        <f t="shared" si="5"/>
        <v/>
      </c>
      <c r="AE56" s="48" t="str">
        <f t="shared" si="3"/>
        <v/>
      </c>
    </row>
    <row r="57" spans="1:31" x14ac:dyDescent="0.25">
      <c r="A57" s="2"/>
      <c r="B57" s="2"/>
      <c r="C57" s="2"/>
      <c r="D57" s="2" t="str">
        <f>IF(ISBLANK(C57),"",VLOOKUP(C57,configuration!$G$7:$H$10,2,FALSE))</f>
        <v/>
      </c>
      <c r="E57" s="2"/>
      <c r="F57" s="2"/>
      <c r="G57" s="2"/>
      <c r="H57" s="2" t="str">
        <f>IF(ISBLANK(G57),"",VLOOKUP(G57,configuration!$J$7:$K$10,2,FALSE))</f>
        <v/>
      </c>
      <c r="I57" s="30"/>
      <c r="J57" s="2"/>
      <c r="K57" s="31"/>
      <c r="L57" s="35"/>
      <c r="M57" s="2" t="str">
        <f>IF(ISBLANK(L57),"",VLOOKUP(L57,configuration!$M$7:$N$10,2,FALSE))</f>
        <v/>
      </c>
      <c r="N57" s="30"/>
      <c r="O57" s="2"/>
      <c r="P57" s="31"/>
      <c r="Q57" s="54"/>
      <c r="R57" s="55" t="str">
        <f>IF(ISBLANK(Q57),"",VLOOKUP(Q57,configuration!$P$7:$Q$10,2,FALSE))</f>
        <v/>
      </c>
      <c r="S57" s="56"/>
      <c r="T57" s="55"/>
      <c r="U57" s="78"/>
      <c r="V57" s="76" t="str">
        <f t="shared" si="4"/>
        <v/>
      </c>
      <c r="W57" s="48" t="str">
        <f t="shared" si="4"/>
        <v/>
      </c>
      <c r="X57" s="48" t="str">
        <f t="shared" si="4"/>
        <v/>
      </c>
      <c r="Y57" s="48" t="str">
        <f t="shared" si="4"/>
        <v/>
      </c>
      <c r="Z57" s="49" t="str">
        <f t="shared" si="1"/>
        <v/>
      </c>
      <c r="AA57" s="50" t="str">
        <f t="shared" si="5"/>
        <v/>
      </c>
      <c r="AB57" s="48" t="str">
        <f t="shared" si="5"/>
        <v/>
      </c>
      <c r="AC57" s="48" t="str">
        <f t="shared" si="5"/>
        <v/>
      </c>
      <c r="AD57" s="48" t="str">
        <f t="shared" si="5"/>
        <v/>
      </c>
      <c r="AE57" s="48" t="str">
        <f t="shared" si="3"/>
        <v/>
      </c>
    </row>
    <row r="58" spans="1:31" x14ac:dyDescent="0.25">
      <c r="A58" s="2"/>
      <c r="B58" s="2"/>
      <c r="C58" s="2"/>
      <c r="D58" s="2" t="str">
        <f>IF(ISBLANK(C58),"",VLOOKUP(C58,configuration!$G$7:$H$10,2,FALSE))</f>
        <v/>
      </c>
      <c r="E58" s="2"/>
      <c r="F58" s="2"/>
      <c r="G58" s="2"/>
      <c r="H58" s="2" t="str">
        <f>IF(ISBLANK(G58),"",VLOOKUP(G58,configuration!$J$7:$K$10,2,FALSE))</f>
        <v/>
      </c>
      <c r="I58" s="30"/>
      <c r="J58" s="2"/>
      <c r="K58" s="31"/>
      <c r="L58" s="35"/>
      <c r="M58" s="2" t="str">
        <f>IF(ISBLANK(L58),"",VLOOKUP(L58,configuration!$M$7:$N$10,2,FALSE))</f>
        <v/>
      </c>
      <c r="N58" s="30"/>
      <c r="O58" s="2"/>
      <c r="P58" s="31"/>
      <c r="Q58" s="54"/>
      <c r="R58" s="55" t="str">
        <f>IF(ISBLANK(Q58),"",VLOOKUP(Q58,configuration!$P$7:$Q$10,2,FALSE))</f>
        <v/>
      </c>
      <c r="S58" s="56"/>
      <c r="T58" s="55"/>
      <c r="U58" s="78"/>
      <c r="V58" s="76" t="str">
        <f t="shared" si="4"/>
        <v/>
      </c>
      <c r="W58" s="48" t="str">
        <f t="shared" si="4"/>
        <v/>
      </c>
      <c r="X58" s="48" t="str">
        <f t="shared" si="4"/>
        <v/>
      </c>
      <c r="Y58" s="48" t="str">
        <f t="shared" si="4"/>
        <v/>
      </c>
      <c r="Z58" s="49" t="str">
        <f t="shared" si="1"/>
        <v/>
      </c>
      <c r="AA58" s="50" t="str">
        <f t="shared" si="5"/>
        <v/>
      </c>
      <c r="AB58" s="48" t="str">
        <f t="shared" si="5"/>
        <v/>
      </c>
      <c r="AC58" s="48" t="str">
        <f t="shared" si="5"/>
        <v/>
      </c>
      <c r="AD58" s="48" t="str">
        <f t="shared" si="5"/>
        <v/>
      </c>
      <c r="AE58" s="48" t="str">
        <f t="shared" si="3"/>
        <v/>
      </c>
    </row>
    <row r="59" spans="1:31" x14ac:dyDescent="0.25">
      <c r="A59" s="2"/>
      <c r="B59" s="2"/>
      <c r="C59" s="2"/>
      <c r="D59" s="2" t="str">
        <f>IF(ISBLANK(C59),"",VLOOKUP(C59,configuration!$G$7:$H$10,2,FALSE))</f>
        <v/>
      </c>
      <c r="E59" s="2"/>
      <c r="F59" s="2"/>
      <c r="G59" s="2"/>
      <c r="H59" s="2" t="str">
        <f>IF(ISBLANK(G59),"",VLOOKUP(G59,configuration!$J$7:$K$10,2,FALSE))</f>
        <v/>
      </c>
      <c r="I59" s="30"/>
      <c r="J59" s="2"/>
      <c r="K59" s="31"/>
      <c r="L59" s="35"/>
      <c r="M59" s="2" t="str">
        <f>IF(ISBLANK(L59),"",VLOOKUP(L59,configuration!$M$7:$N$10,2,FALSE))</f>
        <v/>
      </c>
      <c r="N59" s="30"/>
      <c r="O59" s="2"/>
      <c r="P59" s="31"/>
      <c r="Q59" s="54"/>
      <c r="R59" s="55" t="str">
        <f>IF(ISBLANK(Q59),"",VLOOKUP(Q59,configuration!$P$7:$Q$10,2,FALSE))</f>
        <v/>
      </c>
      <c r="S59" s="56"/>
      <c r="T59" s="55"/>
      <c r="U59" s="78"/>
      <c r="V59" s="76" t="str">
        <f t="shared" si="4"/>
        <v/>
      </c>
      <c r="W59" s="48" t="str">
        <f t="shared" si="4"/>
        <v/>
      </c>
      <c r="X59" s="48" t="str">
        <f t="shared" si="4"/>
        <v/>
      </c>
      <c r="Y59" s="48" t="str">
        <f t="shared" si="4"/>
        <v/>
      </c>
      <c r="Z59" s="49" t="str">
        <f t="shared" si="1"/>
        <v/>
      </c>
      <c r="AA59" s="50" t="str">
        <f t="shared" si="5"/>
        <v/>
      </c>
      <c r="AB59" s="48" t="str">
        <f t="shared" si="5"/>
        <v/>
      </c>
      <c r="AC59" s="48" t="str">
        <f t="shared" si="5"/>
        <v/>
      </c>
      <c r="AD59" s="48" t="str">
        <f t="shared" si="5"/>
        <v/>
      </c>
      <c r="AE59" s="48" t="str">
        <f t="shared" si="3"/>
        <v/>
      </c>
    </row>
    <row r="60" spans="1:31" x14ac:dyDescent="0.25">
      <c r="A60" s="2"/>
      <c r="B60" s="2"/>
      <c r="C60" s="2"/>
      <c r="D60" s="2" t="str">
        <f>IF(ISBLANK(C60),"",VLOOKUP(C60,configuration!$G$7:$H$10,2,FALSE))</f>
        <v/>
      </c>
      <c r="E60" s="2"/>
      <c r="F60" s="2"/>
      <c r="G60" s="2"/>
      <c r="H60" s="2" t="str">
        <f>IF(ISBLANK(G60),"",VLOOKUP(G60,configuration!$J$7:$K$10,2,FALSE))</f>
        <v/>
      </c>
      <c r="I60" s="30"/>
      <c r="J60" s="2"/>
      <c r="K60" s="31"/>
      <c r="L60" s="35"/>
      <c r="M60" s="2" t="str">
        <f>IF(ISBLANK(L60),"",VLOOKUP(L60,configuration!$M$7:$N$10,2,FALSE))</f>
        <v/>
      </c>
      <c r="N60" s="30"/>
      <c r="O60" s="2"/>
      <c r="P60" s="31"/>
      <c r="Q60" s="54"/>
      <c r="R60" s="55" t="str">
        <f>IF(ISBLANK(Q60),"",VLOOKUP(Q60,configuration!$P$7:$Q$10,2,FALSE))</f>
        <v/>
      </c>
      <c r="S60" s="56"/>
      <c r="T60" s="55"/>
      <c r="U60" s="78"/>
      <c r="V60" s="76" t="str">
        <f t="shared" si="4"/>
        <v/>
      </c>
      <c r="W60" s="48" t="str">
        <f t="shared" si="4"/>
        <v/>
      </c>
      <c r="X60" s="48" t="str">
        <f t="shared" si="4"/>
        <v/>
      </c>
      <c r="Y60" s="48" t="str">
        <f t="shared" si="4"/>
        <v/>
      </c>
      <c r="Z60" s="49" t="str">
        <f t="shared" si="1"/>
        <v/>
      </c>
      <c r="AA60" s="50" t="str">
        <f t="shared" si="5"/>
        <v/>
      </c>
      <c r="AB60" s="48" t="str">
        <f t="shared" si="5"/>
        <v/>
      </c>
      <c r="AC60" s="48" t="str">
        <f t="shared" si="5"/>
        <v/>
      </c>
      <c r="AD60" s="48" t="str">
        <f t="shared" si="5"/>
        <v/>
      </c>
      <c r="AE60" s="48" t="str">
        <f t="shared" si="3"/>
        <v/>
      </c>
    </row>
    <row r="61" spans="1:31" x14ac:dyDescent="0.25">
      <c r="A61" s="2"/>
      <c r="B61" s="2"/>
      <c r="C61" s="2"/>
      <c r="D61" s="2" t="str">
        <f>IF(ISBLANK(C61),"",VLOOKUP(C61,configuration!$G$7:$H$10,2,FALSE))</f>
        <v/>
      </c>
      <c r="E61" s="2"/>
      <c r="F61" s="2"/>
      <c r="G61" s="2"/>
      <c r="H61" s="2" t="str">
        <f>IF(ISBLANK(G61),"",VLOOKUP(G61,configuration!$J$7:$K$10,2,FALSE))</f>
        <v/>
      </c>
      <c r="I61" s="30"/>
      <c r="J61" s="2"/>
      <c r="K61" s="31"/>
      <c r="L61" s="35"/>
      <c r="M61" s="2" t="str">
        <f>IF(ISBLANK(L61),"",VLOOKUP(L61,configuration!$M$7:$N$10,2,FALSE))</f>
        <v/>
      </c>
      <c r="N61" s="30"/>
      <c r="O61" s="2"/>
      <c r="P61" s="31"/>
      <c r="Q61" s="54"/>
      <c r="R61" s="55" t="str">
        <f>IF(ISBLANK(Q61),"",VLOOKUP(Q61,configuration!$P$7:$Q$10,2,FALSE))</f>
        <v/>
      </c>
      <c r="S61" s="56"/>
      <c r="T61" s="55"/>
      <c r="U61" s="78"/>
      <c r="V61" s="76" t="str">
        <f t="shared" si="4"/>
        <v/>
      </c>
      <c r="W61" s="48" t="str">
        <f t="shared" si="4"/>
        <v/>
      </c>
      <c r="X61" s="48" t="str">
        <f t="shared" si="4"/>
        <v/>
      </c>
      <c r="Y61" s="48" t="str">
        <f t="shared" si="4"/>
        <v/>
      </c>
      <c r="Z61" s="49" t="str">
        <f t="shared" si="1"/>
        <v/>
      </c>
      <c r="AA61" s="50" t="str">
        <f t="shared" si="5"/>
        <v/>
      </c>
      <c r="AB61" s="48" t="str">
        <f t="shared" si="5"/>
        <v/>
      </c>
      <c r="AC61" s="48" t="str">
        <f t="shared" si="5"/>
        <v/>
      </c>
      <c r="AD61" s="48" t="str">
        <f t="shared" si="5"/>
        <v/>
      </c>
      <c r="AE61" s="48" t="str">
        <f t="shared" si="3"/>
        <v/>
      </c>
    </row>
    <row r="62" spans="1:31" x14ac:dyDescent="0.25">
      <c r="A62" s="2"/>
      <c r="B62" s="2"/>
      <c r="C62" s="2"/>
      <c r="D62" s="2" t="str">
        <f>IF(ISBLANK(C62),"",VLOOKUP(C62,configuration!$G$7:$H$10,2,FALSE))</f>
        <v/>
      </c>
      <c r="E62" s="2"/>
      <c r="F62" s="2"/>
      <c r="G62" s="2"/>
      <c r="H62" s="2" t="str">
        <f>IF(ISBLANK(G62),"",VLOOKUP(G62,configuration!$J$7:$K$10,2,FALSE))</f>
        <v/>
      </c>
      <c r="I62" s="30"/>
      <c r="J62" s="2"/>
      <c r="K62" s="31"/>
      <c r="L62" s="35"/>
      <c r="M62" s="2" t="str">
        <f>IF(ISBLANK(L62),"",VLOOKUP(L62,configuration!$M$7:$N$10,2,FALSE))</f>
        <v/>
      </c>
      <c r="N62" s="30"/>
      <c r="O62" s="2"/>
      <c r="P62" s="31"/>
      <c r="Q62" s="54"/>
      <c r="R62" s="55" t="str">
        <f>IF(ISBLANK(Q62),"",VLOOKUP(Q62,configuration!$P$7:$Q$10,2,FALSE))</f>
        <v/>
      </c>
      <c r="S62" s="56"/>
      <c r="T62" s="55"/>
      <c r="U62" s="78"/>
      <c r="V62" s="76" t="str">
        <f t="shared" si="4"/>
        <v/>
      </c>
      <c r="W62" s="48" t="str">
        <f t="shared" si="4"/>
        <v/>
      </c>
      <c r="X62" s="48" t="str">
        <f t="shared" si="4"/>
        <v/>
      </c>
      <c r="Y62" s="48" t="str">
        <f t="shared" si="4"/>
        <v/>
      </c>
      <c r="Z62" s="49" t="str">
        <f t="shared" si="1"/>
        <v/>
      </c>
      <c r="AA62" s="50" t="str">
        <f t="shared" si="5"/>
        <v/>
      </c>
      <c r="AB62" s="48" t="str">
        <f t="shared" si="5"/>
        <v/>
      </c>
      <c r="AC62" s="48" t="str">
        <f t="shared" si="5"/>
        <v/>
      </c>
      <c r="AD62" s="48" t="str">
        <f t="shared" si="5"/>
        <v/>
      </c>
      <c r="AE62" s="48" t="str">
        <f t="shared" si="3"/>
        <v/>
      </c>
    </row>
    <row r="63" spans="1:31" x14ac:dyDescent="0.25">
      <c r="A63" s="2"/>
      <c r="B63" s="2"/>
      <c r="C63" s="2"/>
      <c r="D63" s="2" t="str">
        <f>IF(ISBLANK(C63),"",VLOOKUP(C63,configuration!$G$7:$H$10,2,FALSE))</f>
        <v/>
      </c>
      <c r="E63" s="2"/>
      <c r="F63" s="2"/>
      <c r="G63" s="2"/>
      <c r="H63" s="2" t="str">
        <f>IF(ISBLANK(G63),"",VLOOKUP(G63,configuration!$J$7:$K$10,2,FALSE))</f>
        <v/>
      </c>
      <c r="I63" s="30"/>
      <c r="J63" s="2"/>
      <c r="K63" s="31"/>
      <c r="L63" s="35"/>
      <c r="M63" s="2" t="str">
        <f>IF(ISBLANK(L63),"",VLOOKUP(L63,configuration!$M$7:$N$10,2,FALSE))</f>
        <v/>
      </c>
      <c r="N63" s="30"/>
      <c r="O63" s="2"/>
      <c r="P63" s="31"/>
      <c r="Q63" s="54"/>
      <c r="R63" s="55" t="str">
        <f>IF(ISBLANK(Q63),"",VLOOKUP(Q63,configuration!$P$7:$Q$10,2,FALSE))</f>
        <v/>
      </c>
      <c r="S63" s="56"/>
      <c r="T63" s="55"/>
      <c r="U63" s="78"/>
      <c r="V63" s="76" t="str">
        <f t="shared" si="4"/>
        <v/>
      </c>
      <c r="W63" s="48" t="str">
        <f t="shared" si="4"/>
        <v/>
      </c>
      <c r="X63" s="48" t="str">
        <f t="shared" si="4"/>
        <v/>
      </c>
      <c r="Y63" s="48" t="str">
        <f t="shared" si="4"/>
        <v/>
      </c>
      <c r="Z63" s="49" t="str">
        <f t="shared" si="1"/>
        <v/>
      </c>
      <c r="AA63" s="50" t="str">
        <f t="shared" si="5"/>
        <v/>
      </c>
      <c r="AB63" s="48" t="str">
        <f t="shared" si="5"/>
        <v/>
      </c>
      <c r="AC63" s="48" t="str">
        <f t="shared" si="5"/>
        <v/>
      </c>
      <c r="AD63" s="48" t="str">
        <f t="shared" si="5"/>
        <v/>
      </c>
      <c r="AE63" s="48" t="str">
        <f t="shared" si="3"/>
        <v/>
      </c>
    </row>
    <row r="64" spans="1:31" x14ac:dyDescent="0.25">
      <c r="A64" s="2"/>
      <c r="B64" s="2"/>
      <c r="C64" s="2"/>
      <c r="D64" s="2" t="str">
        <f>IF(ISBLANK(C64),"",VLOOKUP(C64,configuration!$G$7:$H$10,2,FALSE))</f>
        <v/>
      </c>
      <c r="E64" s="2"/>
      <c r="F64" s="2"/>
      <c r="G64" s="2"/>
      <c r="H64" s="2" t="str">
        <f>IF(ISBLANK(G64),"",VLOOKUP(G64,configuration!$J$7:$K$10,2,FALSE))</f>
        <v/>
      </c>
      <c r="I64" s="30"/>
      <c r="J64" s="2"/>
      <c r="K64" s="31"/>
      <c r="L64" s="35"/>
      <c r="M64" s="2" t="str">
        <f>IF(ISBLANK(L64),"",VLOOKUP(L64,configuration!$M$7:$N$10,2,FALSE))</f>
        <v/>
      </c>
      <c r="N64" s="30"/>
      <c r="O64" s="2"/>
      <c r="P64" s="31"/>
      <c r="Q64" s="54"/>
      <c r="R64" s="55" t="str">
        <f>IF(ISBLANK(Q64),"",VLOOKUP(Q64,configuration!$P$7:$Q$10,2,FALSE))</f>
        <v/>
      </c>
      <c r="S64" s="56"/>
      <c r="T64" s="55"/>
      <c r="U64" s="78"/>
      <c r="V64" s="76" t="str">
        <f t="shared" si="4"/>
        <v/>
      </c>
      <c r="W64" s="48" t="str">
        <f t="shared" si="4"/>
        <v/>
      </c>
      <c r="X64" s="48" t="str">
        <f t="shared" si="4"/>
        <v/>
      </c>
      <c r="Y64" s="48" t="str">
        <f t="shared" si="4"/>
        <v/>
      </c>
      <c r="Z64" s="49" t="str">
        <f t="shared" si="1"/>
        <v/>
      </c>
      <c r="AA64" s="50" t="str">
        <f t="shared" si="5"/>
        <v/>
      </c>
      <c r="AB64" s="48" t="str">
        <f t="shared" si="5"/>
        <v/>
      </c>
      <c r="AC64" s="48" t="str">
        <f t="shared" si="5"/>
        <v/>
      </c>
      <c r="AD64" s="48" t="str">
        <f t="shared" si="5"/>
        <v/>
      </c>
      <c r="AE64" s="48" t="str">
        <f t="shared" si="3"/>
        <v/>
      </c>
    </row>
    <row r="65" spans="1:31" x14ac:dyDescent="0.25">
      <c r="A65" s="2"/>
      <c r="B65" s="2"/>
      <c r="C65" s="2"/>
      <c r="D65" s="2" t="str">
        <f>IF(ISBLANK(C65),"",VLOOKUP(C65,configuration!$G$7:$H$10,2,FALSE))</f>
        <v/>
      </c>
      <c r="E65" s="2"/>
      <c r="F65" s="2"/>
      <c r="G65" s="2"/>
      <c r="H65" s="2" t="str">
        <f>IF(ISBLANK(G65),"",VLOOKUP(G65,configuration!$J$7:$K$10,2,FALSE))</f>
        <v/>
      </c>
      <c r="I65" s="30"/>
      <c r="J65" s="2"/>
      <c r="K65" s="31"/>
      <c r="L65" s="35"/>
      <c r="M65" s="2" t="str">
        <f>IF(ISBLANK(L65),"",VLOOKUP(L65,configuration!$M$7:$N$10,2,FALSE))</f>
        <v/>
      </c>
      <c r="N65" s="30"/>
      <c r="O65" s="2"/>
      <c r="P65" s="31"/>
      <c r="Q65" s="54"/>
      <c r="R65" s="55" t="str">
        <f>IF(ISBLANK(Q65),"",VLOOKUP(Q65,configuration!$P$7:$Q$10,2,FALSE))</f>
        <v/>
      </c>
      <c r="S65" s="56"/>
      <c r="T65" s="55"/>
      <c r="U65" s="78"/>
      <c r="V65" s="76" t="str">
        <f t="shared" si="4"/>
        <v/>
      </c>
      <c r="W65" s="48" t="str">
        <f t="shared" si="4"/>
        <v/>
      </c>
      <c r="X65" s="48" t="str">
        <f t="shared" si="4"/>
        <v/>
      </c>
      <c r="Y65" s="48" t="str">
        <f t="shared" si="4"/>
        <v/>
      </c>
      <c r="Z65" s="49" t="str">
        <f t="shared" si="1"/>
        <v/>
      </c>
      <c r="AA65" s="50" t="str">
        <f t="shared" si="5"/>
        <v/>
      </c>
      <c r="AB65" s="48" t="str">
        <f t="shared" si="5"/>
        <v/>
      </c>
      <c r="AC65" s="48" t="str">
        <f t="shared" si="5"/>
        <v/>
      </c>
      <c r="AD65" s="48" t="str">
        <f t="shared" si="5"/>
        <v/>
      </c>
      <c r="AE65" s="48" t="str">
        <f t="shared" si="3"/>
        <v/>
      </c>
    </row>
    <row r="66" spans="1:31" x14ac:dyDescent="0.25">
      <c r="A66" s="2"/>
      <c r="B66" s="2"/>
      <c r="C66" s="2"/>
      <c r="D66" s="2" t="str">
        <f>IF(ISBLANK(C66),"",VLOOKUP(C66,configuration!$G$7:$H$10,2,FALSE))</f>
        <v/>
      </c>
      <c r="E66" s="2"/>
      <c r="F66" s="2"/>
      <c r="G66" s="2"/>
      <c r="H66" s="2" t="str">
        <f>IF(ISBLANK(G66),"",VLOOKUP(G66,configuration!$J$7:$K$10,2,FALSE))</f>
        <v/>
      </c>
      <c r="I66" s="30"/>
      <c r="J66" s="2"/>
      <c r="K66" s="31"/>
      <c r="L66" s="35"/>
      <c r="M66" s="2" t="str">
        <f>IF(ISBLANK(L66),"",VLOOKUP(L66,configuration!$M$7:$N$10,2,FALSE))</f>
        <v/>
      </c>
      <c r="N66" s="30"/>
      <c r="O66" s="2"/>
      <c r="P66" s="31"/>
      <c r="Q66" s="54"/>
      <c r="R66" s="55" t="str">
        <f>IF(ISBLANK(Q66),"",VLOOKUP(Q66,configuration!$P$7:$Q$10,2,FALSE))</f>
        <v/>
      </c>
      <c r="S66" s="56"/>
      <c r="T66" s="55"/>
      <c r="U66" s="78"/>
      <c r="V66" s="76" t="str">
        <f t="shared" si="4"/>
        <v/>
      </c>
      <c r="W66" s="48" t="str">
        <f t="shared" si="4"/>
        <v/>
      </c>
      <c r="X66" s="48" t="str">
        <f t="shared" si="4"/>
        <v/>
      </c>
      <c r="Y66" s="48" t="str">
        <f t="shared" si="4"/>
        <v/>
      </c>
      <c r="Z66" s="49" t="str">
        <f t="shared" si="1"/>
        <v/>
      </c>
      <c r="AA66" s="50" t="str">
        <f t="shared" si="5"/>
        <v/>
      </c>
      <c r="AB66" s="48" t="str">
        <f t="shared" si="5"/>
        <v/>
      </c>
      <c r="AC66" s="48" t="str">
        <f t="shared" si="5"/>
        <v/>
      </c>
      <c r="AD66" s="48" t="str">
        <f t="shared" si="5"/>
        <v/>
      </c>
      <c r="AE66" s="48" t="str">
        <f t="shared" si="3"/>
        <v/>
      </c>
    </row>
    <row r="67" spans="1:31" x14ac:dyDescent="0.25">
      <c r="A67" s="2"/>
      <c r="B67" s="2"/>
      <c r="C67" s="2"/>
      <c r="D67" s="2" t="str">
        <f>IF(ISBLANK(C67),"",VLOOKUP(C67,configuration!$G$7:$H$10,2,FALSE))</f>
        <v/>
      </c>
      <c r="E67" s="2"/>
      <c r="F67" s="2"/>
      <c r="G67" s="2"/>
      <c r="H67" s="2" t="str">
        <f>IF(ISBLANK(G67),"",VLOOKUP(G67,configuration!$J$7:$K$10,2,FALSE))</f>
        <v/>
      </c>
      <c r="I67" s="30"/>
      <c r="J67" s="2"/>
      <c r="K67" s="31"/>
      <c r="L67" s="35"/>
      <c r="M67" s="2" t="str">
        <f>IF(ISBLANK(L67),"",VLOOKUP(L67,configuration!$M$7:$N$10,2,FALSE))</f>
        <v/>
      </c>
      <c r="N67" s="30"/>
      <c r="O67" s="2"/>
      <c r="P67" s="31"/>
      <c r="Q67" s="54"/>
      <c r="R67" s="55" t="str">
        <f>IF(ISBLANK(Q67),"",VLOOKUP(Q67,configuration!$P$7:$Q$10,2,FALSE))</f>
        <v/>
      </c>
      <c r="S67" s="56"/>
      <c r="T67" s="55"/>
      <c r="U67" s="78"/>
      <c r="V67" s="76" t="str">
        <f t="shared" si="4"/>
        <v/>
      </c>
      <c r="W67" s="48" t="str">
        <f t="shared" si="4"/>
        <v/>
      </c>
      <c r="X67" s="48" t="str">
        <f t="shared" si="4"/>
        <v/>
      </c>
      <c r="Y67" s="48" t="str">
        <f t="shared" si="4"/>
        <v/>
      </c>
      <c r="Z67" s="49" t="str">
        <f t="shared" si="1"/>
        <v/>
      </c>
      <c r="AA67" s="50" t="str">
        <f t="shared" si="5"/>
        <v/>
      </c>
      <c r="AB67" s="48" t="str">
        <f t="shared" si="5"/>
        <v/>
      </c>
      <c r="AC67" s="48" t="str">
        <f t="shared" si="5"/>
        <v/>
      </c>
      <c r="AD67" s="48" t="str">
        <f t="shared" si="5"/>
        <v/>
      </c>
      <c r="AE67" s="48" t="str">
        <f t="shared" si="3"/>
        <v/>
      </c>
    </row>
    <row r="68" spans="1:31" x14ac:dyDescent="0.25">
      <c r="A68" s="2"/>
      <c r="B68" s="2"/>
      <c r="C68" s="2"/>
      <c r="D68" s="2" t="str">
        <f>IF(ISBLANK(C68),"",VLOOKUP(C68,configuration!$G$7:$H$10,2,FALSE))</f>
        <v/>
      </c>
      <c r="E68" s="2"/>
      <c r="F68" s="2"/>
      <c r="G68" s="2"/>
      <c r="H68" s="2" t="str">
        <f>IF(ISBLANK(G68),"",VLOOKUP(G68,configuration!$J$7:$K$10,2,FALSE))</f>
        <v/>
      </c>
      <c r="I68" s="30"/>
      <c r="J68" s="2"/>
      <c r="K68" s="31"/>
      <c r="L68" s="35"/>
      <c r="M68" s="2" t="str">
        <f>IF(ISBLANK(L68),"",VLOOKUP(L68,configuration!$M$7:$N$10,2,FALSE))</f>
        <v/>
      </c>
      <c r="N68" s="30"/>
      <c r="O68" s="2"/>
      <c r="P68" s="31"/>
      <c r="Q68" s="54"/>
      <c r="R68" s="55" t="str">
        <f>IF(ISBLANK(Q68),"",VLOOKUP(Q68,configuration!$P$7:$Q$10,2,FALSE))</f>
        <v/>
      </c>
      <c r="S68" s="56"/>
      <c r="T68" s="55"/>
      <c r="U68" s="78"/>
      <c r="V68" s="76" t="str">
        <f t="shared" si="4"/>
        <v/>
      </c>
      <c r="W68" s="48" t="str">
        <f t="shared" si="4"/>
        <v/>
      </c>
      <c r="X68" s="48" t="str">
        <f t="shared" si="4"/>
        <v/>
      </c>
      <c r="Y68" s="48" t="str">
        <f t="shared" si="4"/>
        <v/>
      </c>
      <c r="Z68" s="49" t="str">
        <f t="shared" si="1"/>
        <v/>
      </c>
      <c r="AA68" s="50" t="str">
        <f t="shared" si="5"/>
        <v/>
      </c>
      <c r="AB68" s="48" t="str">
        <f t="shared" si="5"/>
        <v/>
      </c>
      <c r="AC68" s="48" t="str">
        <f t="shared" si="5"/>
        <v/>
      </c>
      <c r="AD68" s="48" t="str">
        <f t="shared" si="5"/>
        <v/>
      </c>
      <c r="AE68" s="48" t="str">
        <f t="shared" si="3"/>
        <v/>
      </c>
    </row>
    <row r="69" spans="1:31" x14ac:dyDescent="0.25">
      <c r="A69" s="2"/>
      <c r="B69" s="2"/>
      <c r="C69" s="2"/>
      <c r="D69" s="2" t="str">
        <f>IF(ISBLANK(C69),"",VLOOKUP(C69,configuration!$G$7:$H$10,2,FALSE))</f>
        <v/>
      </c>
      <c r="E69" s="2"/>
      <c r="F69" s="2"/>
      <c r="G69" s="2"/>
      <c r="H69" s="2" t="str">
        <f>IF(ISBLANK(G69),"",VLOOKUP(G69,configuration!$J$7:$K$10,2,FALSE))</f>
        <v/>
      </c>
      <c r="I69" s="30"/>
      <c r="J69" s="2"/>
      <c r="K69" s="31"/>
      <c r="L69" s="35"/>
      <c r="M69" s="2" t="str">
        <f>IF(ISBLANK(L69),"",VLOOKUP(L69,configuration!$M$7:$N$10,2,FALSE))</f>
        <v/>
      </c>
      <c r="N69" s="30"/>
      <c r="O69" s="2"/>
      <c r="P69" s="31"/>
      <c r="Q69" s="54"/>
      <c r="R69" s="55" t="str">
        <f>IF(ISBLANK(Q69),"",VLOOKUP(Q69,configuration!$P$7:$Q$10,2,FALSE))</f>
        <v/>
      </c>
      <c r="S69" s="56"/>
      <c r="T69" s="55"/>
      <c r="U69" s="78"/>
      <c r="V69" s="76" t="str">
        <f t="shared" si="4"/>
        <v/>
      </c>
      <c r="W69" s="48" t="str">
        <f t="shared" si="4"/>
        <v/>
      </c>
      <c r="X69" s="48" t="str">
        <f t="shared" si="4"/>
        <v/>
      </c>
      <c r="Y69" s="48" t="str">
        <f t="shared" si="4"/>
        <v/>
      </c>
      <c r="Z69" s="49" t="str">
        <f t="shared" si="1"/>
        <v/>
      </c>
      <c r="AA69" s="50" t="str">
        <f t="shared" si="5"/>
        <v/>
      </c>
      <c r="AB69" s="48" t="str">
        <f t="shared" si="5"/>
        <v/>
      </c>
      <c r="AC69" s="48" t="str">
        <f t="shared" si="5"/>
        <v/>
      </c>
      <c r="AD69" s="48" t="str">
        <f t="shared" si="5"/>
        <v/>
      </c>
      <c r="AE69" s="48" t="str">
        <f t="shared" si="3"/>
        <v/>
      </c>
    </row>
    <row r="70" spans="1:31" x14ac:dyDescent="0.25">
      <c r="A70" s="2"/>
      <c r="B70" s="2"/>
      <c r="C70" s="2"/>
      <c r="D70" s="2" t="str">
        <f>IF(ISBLANK(C70),"",VLOOKUP(C70,configuration!$G$7:$H$10,2,FALSE))</f>
        <v/>
      </c>
      <c r="E70" s="2"/>
      <c r="F70" s="2"/>
      <c r="G70" s="2"/>
      <c r="H70" s="2" t="str">
        <f>IF(ISBLANK(G70),"",VLOOKUP(G70,configuration!$J$7:$K$10,2,FALSE))</f>
        <v/>
      </c>
      <c r="I70" s="30"/>
      <c r="J70" s="2"/>
      <c r="K70" s="31"/>
      <c r="L70" s="35"/>
      <c r="M70" s="2" t="str">
        <f>IF(ISBLANK(L70),"",VLOOKUP(L70,configuration!$M$7:$N$10,2,FALSE))</f>
        <v/>
      </c>
      <c r="N70" s="30"/>
      <c r="O70" s="2"/>
      <c r="P70" s="31"/>
      <c r="Q70" s="54"/>
      <c r="R70" s="55" t="str">
        <f>IF(ISBLANK(Q70),"",VLOOKUP(Q70,configuration!$P$7:$Q$10,2,FALSE))</f>
        <v/>
      </c>
      <c r="S70" s="56"/>
      <c r="T70" s="55"/>
      <c r="U70" s="78"/>
      <c r="V70" s="76" t="str">
        <f t="shared" si="4"/>
        <v/>
      </c>
      <c r="W70" s="48" t="str">
        <f t="shared" si="4"/>
        <v/>
      </c>
      <c r="X70" s="48" t="str">
        <f t="shared" si="4"/>
        <v/>
      </c>
      <c r="Y70" s="48" t="str">
        <f t="shared" si="4"/>
        <v/>
      </c>
      <c r="Z70" s="49" t="str">
        <f t="shared" ref="Z70:Z133" si="6">IF(AND($G70="",A70&lt;&gt;""),1,"")</f>
        <v/>
      </c>
      <c r="AA70" s="50" t="str">
        <f t="shared" si="5"/>
        <v/>
      </c>
      <c r="AB70" s="48" t="str">
        <f t="shared" si="5"/>
        <v/>
      </c>
      <c r="AC70" s="48" t="str">
        <f t="shared" si="5"/>
        <v/>
      </c>
      <c r="AD70" s="48" t="str">
        <f t="shared" si="5"/>
        <v/>
      </c>
      <c r="AE70" s="48" t="str">
        <f t="shared" ref="AE70:AE133" si="7">IF(AND($L70="",A70&lt;&gt;""),1,"")</f>
        <v/>
      </c>
    </row>
    <row r="71" spans="1:31" x14ac:dyDescent="0.25">
      <c r="A71" s="2"/>
      <c r="B71" s="2"/>
      <c r="C71" s="2"/>
      <c r="D71" s="2" t="str">
        <f>IF(ISBLANK(C71),"",VLOOKUP(C71,configuration!$G$7:$H$10,2,FALSE))</f>
        <v/>
      </c>
      <c r="E71" s="2"/>
      <c r="F71" s="2"/>
      <c r="G71" s="2"/>
      <c r="H71" s="2" t="str">
        <f>IF(ISBLANK(G71),"",VLOOKUP(G71,configuration!$J$7:$K$10,2,FALSE))</f>
        <v/>
      </c>
      <c r="I71" s="30"/>
      <c r="J71" s="2"/>
      <c r="K71" s="31"/>
      <c r="L71" s="35"/>
      <c r="M71" s="2" t="str">
        <f>IF(ISBLANK(L71),"",VLOOKUP(L71,configuration!$M$7:$N$10,2,FALSE))</f>
        <v/>
      </c>
      <c r="N71" s="30"/>
      <c r="O71" s="2"/>
      <c r="P71" s="31"/>
      <c r="Q71" s="54"/>
      <c r="R71" s="55" t="str">
        <f>IF(ISBLANK(Q71),"",VLOOKUP(Q71,configuration!$P$7:$Q$10,2,FALSE))</f>
        <v/>
      </c>
      <c r="S71" s="56"/>
      <c r="T71" s="55"/>
      <c r="U71" s="78"/>
      <c r="V71" s="76" t="str">
        <f t="shared" si="4"/>
        <v/>
      </c>
      <c r="W71" s="48" t="str">
        <f t="shared" si="4"/>
        <v/>
      </c>
      <c r="X71" s="48" t="str">
        <f t="shared" si="4"/>
        <v/>
      </c>
      <c r="Y71" s="48" t="str">
        <f t="shared" si="4"/>
        <v/>
      </c>
      <c r="Z71" s="49" t="str">
        <f t="shared" si="6"/>
        <v/>
      </c>
      <c r="AA71" s="50" t="str">
        <f t="shared" si="5"/>
        <v/>
      </c>
      <c r="AB71" s="48" t="str">
        <f t="shared" si="5"/>
        <v/>
      </c>
      <c r="AC71" s="48" t="str">
        <f t="shared" si="5"/>
        <v/>
      </c>
      <c r="AD71" s="48" t="str">
        <f t="shared" si="5"/>
        <v/>
      </c>
      <c r="AE71" s="48" t="str">
        <f t="shared" si="7"/>
        <v/>
      </c>
    </row>
    <row r="72" spans="1:31" x14ac:dyDescent="0.25">
      <c r="A72" s="2"/>
      <c r="B72" s="2"/>
      <c r="C72" s="2"/>
      <c r="D72" s="2" t="str">
        <f>IF(ISBLANK(C72),"",VLOOKUP(C72,configuration!$G$7:$H$10,2,FALSE))</f>
        <v/>
      </c>
      <c r="E72" s="2"/>
      <c r="F72" s="2"/>
      <c r="G72" s="2"/>
      <c r="H72" s="2" t="str">
        <f>IF(ISBLANK(G72),"",VLOOKUP(G72,configuration!$J$7:$K$10,2,FALSE))</f>
        <v/>
      </c>
      <c r="I72" s="30"/>
      <c r="J72" s="2"/>
      <c r="K72" s="31"/>
      <c r="L72" s="35"/>
      <c r="M72" s="2" t="str">
        <f>IF(ISBLANK(L72),"",VLOOKUP(L72,configuration!$M$7:$N$10,2,FALSE))</f>
        <v/>
      </c>
      <c r="N72" s="30"/>
      <c r="O72" s="2"/>
      <c r="P72" s="31"/>
      <c r="Q72" s="54"/>
      <c r="R72" s="55" t="str">
        <f>IF(ISBLANK(Q72),"",VLOOKUP(Q72,configuration!$P$7:$Q$10,2,FALSE))</f>
        <v/>
      </c>
      <c r="S72" s="56"/>
      <c r="T72" s="55"/>
      <c r="U72" s="78"/>
      <c r="V72" s="76" t="str">
        <f t="shared" si="4"/>
        <v/>
      </c>
      <c r="W72" s="48" t="str">
        <f t="shared" si="4"/>
        <v/>
      </c>
      <c r="X72" s="48" t="str">
        <f t="shared" si="4"/>
        <v/>
      </c>
      <c r="Y72" s="48" t="str">
        <f t="shared" si="4"/>
        <v/>
      </c>
      <c r="Z72" s="49" t="str">
        <f t="shared" si="6"/>
        <v/>
      </c>
      <c r="AA72" s="50" t="str">
        <f t="shared" si="5"/>
        <v/>
      </c>
      <c r="AB72" s="48" t="str">
        <f t="shared" si="5"/>
        <v/>
      </c>
      <c r="AC72" s="48" t="str">
        <f t="shared" si="5"/>
        <v/>
      </c>
      <c r="AD72" s="48" t="str">
        <f t="shared" si="5"/>
        <v/>
      </c>
      <c r="AE72" s="48" t="str">
        <f t="shared" si="7"/>
        <v/>
      </c>
    </row>
    <row r="73" spans="1:31" x14ac:dyDescent="0.25">
      <c r="A73" s="2"/>
      <c r="B73" s="2"/>
      <c r="C73" s="2"/>
      <c r="D73" s="2" t="str">
        <f>IF(ISBLANK(C73),"",VLOOKUP(C73,configuration!$G$7:$H$10,2,FALSE))</f>
        <v/>
      </c>
      <c r="E73" s="2"/>
      <c r="F73" s="2"/>
      <c r="G73" s="2"/>
      <c r="H73" s="2" t="str">
        <f>IF(ISBLANK(G73),"",VLOOKUP(G73,configuration!$J$7:$K$10,2,FALSE))</f>
        <v/>
      </c>
      <c r="I73" s="30"/>
      <c r="J73" s="2"/>
      <c r="K73" s="31"/>
      <c r="L73" s="35"/>
      <c r="M73" s="2" t="str">
        <f>IF(ISBLANK(L73),"",VLOOKUP(L73,configuration!$M$7:$N$10,2,FALSE))</f>
        <v/>
      </c>
      <c r="N73" s="30"/>
      <c r="O73" s="2"/>
      <c r="P73" s="31"/>
      <c r="Q73" s="54"/>
      <c r="R73" s="55" t="str">
        <f>IF(ISBLANK(Q73),"",VLOOKUP(Q73,configuration!$P$7:$Q$10,2,FALSE))</f>
        <v/>
      </c>
      <c r="S73" s="56"/>
      <c r="T73" s="55"/>
      <c r="U73" s="78"/>
      <c r="V73" s="76" t="str">
        <f t="shared" si="4"/>
        <v/>
      </c>
      <c r="W73" s="48" t="str">
        <f t="shared" si="4"/>
        <v/>
      </c>
      <c r="X73" s="48" t="str">
        <f t="shared" si="4"/>
        <v/>
      </c>
      <c r="Y73" s="48" t="str">
        <f t="shared" si="4"/>
        <v/>
      </c>
      <c r="Z73" s="49" t="str">
        <f t="shared" si="6"/>
        <v/>
      </c>
      <c r="AA73" s="50" t="str">
        <f t="shared" si="5"/>
        <v/>
      </c>
      <c r="AB73" s="48" t="str">
        <f t="shared" si="5"/>
        <v/>
      </c>
      <c r="AC73" s="48" t="str">
        <f t="shared" si="5"/>
        <v/>
      </c>
      <c r="AD73" s="48" t="str">
        <f t="shared" si="5"/>
        <v/>
      </c>
      <c r="AE73" s="48" t="str">
        <f t="shared" si="7"/>
        <v/>
      </c>
    </row>
    <row r="74" spans="1:31" x14ac:dyDescent="0.25">
      <c r="A74" s="2"/>
      <c r="B74" s="2"/>
      <c r="C74" s="2"/>
      <c r="D74" s="2" t="str">
        <f>IF(ISBLANK(C74),"",VLOOKUP(C74,configuration!$G$7:$H$10,2,FALSE))</f>
        <v/>
      </c>
      <c r="E74" s="2"/>
      <c r="F74" s="2"/>
      <c r="G74" s="2"/>
      <c r="H74" s="2" t="str">
        <f>IF(ISBLANK(G74),"",VLOOKUP(G74,configuration!$J$7:$K$10,2,FALSE))</f>
        <v/>
      </c>
      <c r="I74" s="30"/>
      <c r="J74" s="2"/>
      <c r="K74" s="31"/>
      <c r="L74" s="35"/>
      <c r="M74" s="2" t="str">
        <f>IF(ISBLANK(L74),"",VLOOKUP(L74,configuration!$M$7:$N$10,2,FALSE))</f>
        <v/>
      </c>
      <c r="N74" s="30"/>
      <c r="O74" s="2"/>
      <c r="P74" s="31"/>
      <c r="Q74" s="54"/>
      <c r="R74" s="55" t="str">
        <f>IF(ISBLANK(Q74),"",VLOOKUP(Q74,configuration!$P$7:$Q$10,2,FALSE))</f>
        <v/>
      </c>
      <c r="S74" s="56"/>
      <c r="T74" s="55"/>
      <c r="U74" s="78"/>
      <c r="V74" s="76" t="str">
        <f t="shared" si="4"/>
        <v/>
      </c>
      <c r="W74" s="48" t="str">
        <f t="shared" si="4"/>
        <v/>
      </c>
      <c r="X74" s="48" t="str">
        <f t="shared" si="4"/>
        <v/>
      </c>
      <c r="Y74" s="48" t="str">
        <f t="shared" si="4"/>
        <v/>
      </c>
      <c r="Z74" s="49" t="str">
        <f t="shared" si="6"/>
        <v/>
      </c>
      <c r="AA74" s="50" t="str">
        <f t="shared" si="5"/>
        <v/>
      </c>
      <c r="AB74" s="48" t="str">
        <f t="shared" si="5"/>
        <v/>
      </c>
      <c r="AC74" s="48" t="str">
        <f t="shared" si="5"/>
        <v/>
      </c>
      <c r="AD74" s="48" t="str">
        <f t="shared" si="5"/>
        <v/>
      </c>
      <c r="AE74" s="48" t="str">
        <f t="shared" si="7"/>
        <v/>
      </c>
    </row>
    <row r="75" spans="1:31" x14ac:dyDescent="0.25">
      <c r="A75" s="2"/>
      <c r="B75" s="2"/>
      <c r="C75" s="2"/>
      <c r="D75" s="2" t="str">
        <f>IF(ISBLANK(C75),"",VLOOKUP(C75,configuration!$G$7:$H$10,2,FALSE))</f>
        <v/>
      </c>
      <c r="E75" s="2"/>
      <c r="F75" s="2"/>
      <c r="G75" s="2"/>
      <c r="H75" s="2" t="str">
        <f>IF(ISBLANK(G75),"",VLOOKUP(G75,configuration!$J$7:$K$10,2,FALSE))</f>
        <v/>
      </c>
      <c r="I75" s="30"/>
      <c r="J75" s="2"/>
      <c r="K75" s="31"/>
      <c r="L75" s="35"/>
      <c r="M75" s="2" t="str">
        <f>IF(ISBLANK(L75),"",VLOOKUP(L75,configuration!$M$7:$N$10,2,FALSE))</f>
        <v/>
      </c>
      <c r="N75" s="30"/>
      <c r="O75" s="2"/>
      <c r="P75" s="31"/>
      <c r="Q75" s="54"/>
      <c r="R75" s="55" t="str">
        <f>IF(ISBLANK(Q75),"",VLOOKUP(Q75,configuration!$P$7:$Q$10,2,FALSE))</f>
        <v/>
      </c>
      <c r="S75" s="56"/>
      <c r="T75" s="55"/>
      <c r="U75" s="78"/>
      <c r="V75" s="76" t="str">
        <f t="shared" si="4"/>
        <v/>
      </c>
      <c r="W75" s="48" t="str">
        <f t="shared" si="4"/>
        <v/>
      </c>
      <c r="X75" s="48" t="str">
        <f t="shared" si="4"/>
        <v/>
      </c>
      <c r="Y75" s="48" t="str">
        <f t="shared" si="4"/>
        <v/>
      </c>
      <c r="Z75" s="49" t="str">
        <f t="shared" si="6"/>
        <v/>
      </c>
      <c r="AA75" s="50" t="str">
        <f t="shared" si="5"/>
        <v/>
      </c>
      <c r="AB75" s="48" t="str">
        <f t="shared" si="5"/>
        <v/>
      </c>
      <c r="AC75" s="48" t="str">
        <f t="shared" si="5"/>
        <v/>
      </c>
      <c r="AD75" s="48" t="str">
        <f t="shared" si="5"/>
        <v/>
      </c>
      <c r="AE75" s="48" t="str">
        <f t="shared" si="7"/>
        <v/>
      </c>
    </row>
    <row r="76" spans="1:31" x14ac:dyDescent="0.25">
      <c r="A76" s="2"/>
      <c r="B76" s="2"/>
      <c r="C76" s="2"/>
      <c r="D76" s="2" t="str">
        <f>IF(ISBLANK(C76),"",VLOOKUP(C76,configuration!$G$7:$H$10,2,FALSE))</f>
        <v/>
      </c>
      <c r="E76" s="2"/>
      <c r="F76" s="2"/>
      <c r="G76" s="2"/>
      <c r="H76" s="2" t="str">
        <f>IF(ISBLANK(G76),"",VLOOKUP(G76,configuration!$J$7:$K$10,2,FALSE))</f>
        <v/>
      </c>
      <c r="I76" s="30"/>
      <c r="J76" s="2"/>
      <c r="K76" s="31"/>
      <c r="L76" s="35"/>
      <c r="M76" s="2" t="str">
        <f>IF(ISBLANK(L76),"",VLOOKUP(L76,configuration!$M$7:$N$10,2,FALSE))</f>
        <v/>
      </c>
      <c r="N76" s="30"/>
      <c r="O76" s="2"/>
      <c r="P76" s="31"/>
      <c r="Q76" s="54"/>
      <c r="R76" s="55" t="str">
        <f>IF(ISBLANK(Q76),"",VLOOKUP(Q76,configuration!$P$7:$Q$10,2,FALSE))</f>
        <v/>
      </c>
      <c r="S76" s="56"/>
      <c r="T76" s="55"/>
      <c r="U76" s="78"/>
      <c r="V76" s="76" t="str">
        <f t="shared" si="4"/>
        <v/>
      </c>
      <c r="W76" s="48" t="str">
        <f t="shared" si="4"/>
        <v/>
      </c>
      <c r="X76" s="48" t="str">
        <f t="shared" si="4"/>
        <v/>
      </c>
      <c r="Y76" s="48" t="str">
        <f t="shared" si="4"/>
        <v/>
      </c>
      <c r="Z76" s="49" t="str">
        <f t="shared" si="6"/>
        <v/>
      </c>
      <c r="AA76" s="50" t="str">
        <f t="shared" si="5"/>
        <v/>
      </c>
      <c r="AB76" s="48" t="str">
        <f t="shared" si="5"/>
        <v/>
      </c>
      <c r="AC76" s="48" t="str">
        <f t="shared" si="5"/>
        <v/>
      </c>
      <c r="AD76" s="48" t="str">
        <f t="shared" si="5"/>
        <v/>
      </c>
      <c r="AE76" s="48" t="str">
        <f t="shared" si="7"/>
        <v/>
      </c>
    </row>
    <row r="77" spans="1:31" x14ac:dyDescent="0.25">
      <c r="A77" s="2"/>
      <c r="B77" s="2"/>
      <c r="C77" s="2"/>
      <c r="D77" s="2" t="str">
        <f>IF(ISBLANK(C77),"",VLOOKUP(C77,configuration!$G$7:$H$10,2,FALSE))</f>
        <v/>
      </c>
      <c r="E77" s="2"/>
      <c r="F77" s="2"/>
      <c r="G77" s="2"/>
      <c r="H77" s="2" t="str">
        <f>IF(ISBLANK(G77),"",VLOOKUP(G77,configuration!$J$7:$K$10,2,FALSE))</f>
        <v/>
      </c>
      <c r="I77" s="30"/>
      <c r="J77" s="2"/>
      <c r="K77" s="31"/>
      <c r="L77" s="35"/>
      <c r="M77" s="2" t="str">
        <f>IF(ISBLANK(L77),"",VLOOKUP(L77,configuration!$M$7:$N$10,2,FALSE))</f>
        <v/>
      </c>
      <c r="N77" s="30"/>
      <c r="O77" s="2"/>
      <c r="P77" s="31"/>
      <c r="Q77" s="54"/>
      <c r="R77" s="55" t="str">
        <f>IF(ISBLANK(Q77),"",VLOOKUP(Q77,configuration!$P$7:$Q$10,2,FALSE))</f>
        <v/>
      </c>
      <c r="S77" s="56"/>
      <c r="T77" s="55"/>
      <c r="U77" s="78"/>
      <c r="V77" s="76" t="str">
        <f t="shared" si="4"/>
        <v/>
      </c>
      <c r="W77" s="48" t="str">
        <f t="shared" si="4"/>
        <v/>
      </c>
      <c r="X77" s="48" t="str">
        <f t="shared" si="4"/>
        <v/>
      </c>
      <c r="Y77" s="48" t="str">
        <f t="shared" si="4"/>
        <v/>
      </c>
      <c r="Z77" s="49" t="str">
        <f t="shared" si="6"/>
        <v/>
      </c>
      <c r="AA77" s="50" t="str">
        <f t="shared" si="5"/>
        <v/>
      </c>
      <c r="AB77" s="48" t="str">
        <f t="shared" si="5"/>
        <v/>
      </c>
      <c r="AC77" s="48" t="str">
        <f t="shared" si="5"/>
        <v/>
      </c>
      <c r="AD77" s="48" t="str">
        <f t="shared" si="5"/>
        <v/>
      </c>
      <c r="AE77" s="48" t="str">
        <f t="shared" si="7"/>
        <v/>
      </c>
    </row>
    <row r="78" spans="1:31" x14ac:dyDescent="0.25">
      <c r="A78" s="2"/>
      <c r="B78" s="2"/>
      <c r="C78" s="2"/>
      <c r="D78" s="2" t="str">
        <f>IF(ISBLANK(C78),"",VLOOKUP(C78,configuration!$G$7:$H$10,2,FALSE))</f>
        <v/>
      </c>
      <c r="E78" s="2"/>
      <c r="F78" s="2"/>
      <c r="G78" s="2"/>
      <c r="H78" s="2" t="str">
        <f>IF(ISBLANK(G78),"",VLOOKUP(G78,configuration!$J$7:$K$10,2,FALSE))</f>
        <v/>
      </c>
      <c r="I78" s="30"/>
      <c r="J78" s="2"/>
      <c r="K78" s="31"/>
      <c r="L78" s="35"/>
      <c r="M78" s="2" t="str">
        <f>IF(ISBLANK(L78),"",VLOOKUP(L78,configuration!$M$7:$N$10,2,FALSE))</f>
        <v/>
      </c>
      <c r="N78" s="30"/>
      <c r="O78" s="2"/>
      <c r="P78" s="31"/>
      <c r="Q78" s="54"/>
      <c r="R78" s="55" t="str">
        <f>IF(ISBLANK(Q78),"",VLOOKUP(Q78,configuration!$P$7:$Q$10,2,FALSE))</f>
        <v/>
      </c>
      <c r="S78" s="56"/>
      <c r="T78" s="55"/>
      <c r="U78" s="78"/>
      <c r="V78" s="76" t="str">
        <f t="shared" si="4"/>
        <v/>
      </c>
      <c r="W78" s="48" t="str">
        <f t="shared" si="4"/>
        <v/>
      </c>
      <c r="X78" s="48" t="str">
        <f t="shared" si="4"/>
        <v/>
      </c>
      <c r="Y78" s="48" t="str">
        <f t="shared" si="4"/>
        <v/>
      </c>
      <c r="Z78" s="49" t="str">
        <f t="shared" si="6"/>
        <v/>
      </c>
      <c r="AA78" s="50" t="str">
        <f t="shared" si="5"/>
        <v/>
      </c>
      <c r="AB78" s="48" t="str">
        <f t="shared" si="5"/>
        <v/>
      </c>
      <c r="AC78" s="48" t="str">
        <f t="shared" si="5"/>
        <v/>
      </c>
      <c r="AD78" s="48" t="str">
        <f t="shared" si="5"/>
        <v/>
      </c>
      <c r="AE78" s="48" t="str">
        <f t="shared" si="7"/>
        <v/>
      </c>
    </row>
    <row r="79" spans="1:31" x14ac:dyDescent="0.25">
      <c r="A79" s="2"/>
      <c r="B79" s="2"/>
      <c r="C79" s="2"/>
      <c r="D79" s="2" t="str">
        <f>IF(ISBLANK(C79),"",VLOOKUP(C79,configuration!$G$7:$H$10,2,FALSE))</f>
        <v/>
      </c>
      <c r="E79" s="2"/>
      <c r="F79" s="2"/>
      <c r="G79" s="2"/>
      <c r="H79" s="2" t="str">
        <f>IF(ISBLANK(G79),"",VLOOKUP(G79,configuration!$J$7:$K$10,2,FALSE))</f>
        <v/>
      </c>
      <c r="I79" s="30"/>
      <c r="J79" s="2"/>
      <c r="K79" s="31"/>
      <c r="L79" s="35"/>
      <c r="M79" s="2" t="str">
        <f>IF(ISBLANK(L79),"",VLOOKUP(L79,configuration!$M$7:$N$10,2,FALSE))</f>
        <v/>
      </c>
      <c r="N79" s="30"/>
      <c r="O79" s="2"/>
      <c r="P79" s="31"/>
      <c r="Q79" s="54"/>
      <c r="R79" s="55" t="str">
        <f>IF(ISBLANK(Q79),"",VLOOKUP(Q79,configuration!$P$7:$Q$10,2,FALSE))</f>
        <v/>
      </c>
      <c r="S79" s="56"/>
      <c r="T79" s="55"/>
      <c r="U79" s="78"/>
      <c r="V79" s="76" t="str">
        <f t="shared" si="4"/>
        <v/>
      </c>
      <c r="W79" s="48" t="str">
        <f t="shared" si="4"/>
        <v/>
      </c>
      <c r="X79" s="48" t="str">
        <f t="shared" si="4"/>
        <v/>
      </c>
      <c r="Y79" s="48" t="str">
        <f t="shared" si="4"/>
        <v/>
      </c>
      <c r="Z79" s="49" t="str">
        <f t="shared" si="6"/>
        <v/>
      </c>
      <c r="AA79" s="50" t="str">
        <f t="shared" si="5"/>
        <v/>
      </c>
      <c r="AB79" s="48" t="str">
        <f t="shared" si="5"/>
        <v/>
      </c>
      <c r="AC79" s="48" t="str">
        <f t="shared" si="5"/>
        <v/>
      </c>
      <c r="AD79" s="48" t="str">
        <f t="shared" si="5"/>
        <v/>
      </c>
      <c r="AE79" s="48" t="str">
        <f t="shared" si="7"/>
        <v/>
      </c>
    </row>
    <row r="80" spans="1:31" x14ac:dyDescent="0.25">
      <c r="A80" s="2"/>
      <c r="B80" s="2"/>
      <c r="C80" s="2"/>
      <c r="D80" s="2" t="str">
        <f>IF(ISBLANK(C80),"",VLOOKUP(C80,configuration!$G$7:$H$10,2,FALSE))</f>
        <v/>
      </c>
      <c r="E80" s="2"/>
      <c r="F80" s="2"/>
      <c r="G80" s="2"/>
      <c r="H80" s="2" t="str">
        <f>IF(ISBLANK(G80),"",VLOOKUP(G80,configuration!$J$7:$K$10,2,FALSE))</f>
        <v/>
      </c>
      <c r="I80" s="30"/>
      <c r="J80" s="2"/>
      <c r="K80" s="31"/>
      <c r="L80" s="35"/>
      <c r="M80" s="2" t="str">
        <f>IF(ISBLANK(L80),"",VLOOKUP(L80,configuration!$M$7:$N$10,2,FALSE))</f>
        <v/>
      </c>
      <c r="N80" s="30"/>
      <c r="O80" s="2"/>
      <c r="P80" s="31"/>
      <c r="Q80" s="54"/>
      <c r="R80" s="55" t="str">
        <f>IF(ISBLANK(Q80),"",VLOOKUP(Q80,configuration!$P$7:$Q$10,2,FALSE))</f>
        <v/>
      </c>
      <c r="S80" s="56"/>
      <c r="T80" s="55"/>
      <c r="U80" s="78"/>
      <c r="V80" s="76" t="str">
        <f t="shared" si="4"/>
        <v/>
      </c>
      <c r="W80" s="48" t="str">
        <f t="shared" si="4"/>
        <v/>
      </c>
      <c r="X80" s="48" t="str">
        <f t="shared" si="4"/>
        <v/>
      </c>
      <c r="Y80" s="48" t="str">
        <f t="shared" si="4"/>
        <v/>
      </c>
      <c r="Z80" s="49" t="str">
        <f t="shared" si="6"/>
        <v/>
      </c>
      <c r="AA80" s="50" t="str">
        <f t="shared" si="5"/>
        <v/>
      </c>
      <c r="AB80" s="48" t="str">
        <f t="shared" si="5"/>
        <v/>
      </c>
      <c r="AC80" s="48" t="str">
        <f t="shared" si="5"/>
        <v/>
      </c>
      <c r="AD80" s="48" t="str">
        <f t="shared" si="5"/>
        <v/>
      </c>
      <c r="AE80" s="48" t="str">
        <f t="shared" si="7"/>
        <v/>
      </c>
    </row>
    <row r="81" spans="1:31" x14ac:dyDescent="0.25">
      <c r="A81" s="2"/>
      <c r="B81" s="2"/>
      <c r="C81" s="2"/>
      <c r="D81" s="2" t="str">
        <f>IF(ISBLANK(C81),"",VLOOKUP(C81,configuration!$G$7:$H$10,2,FALSE))</f>
        <v/>
      </c>
      <c r="E81" s="2"/>
      <c r="F81" s="2"/>
      <c r="G81" s="2"/>
      <c r="H81" s="2" t="str">
        <f>IF(ISBLANK(G81),"",VLOOKUP(G81,configuration!$J$7:$K$10,2,FALSE))</f>
        <v/>
      </c>
      <c r="I81" s="30"/>
      <c r="J81" s="2"/>
      <c r="K81" s="31"/>
      <c r="L81" s="35"/>
      <c r="M81" s="2" t="str">
        <f>IF(ISBLANK(L81),"",VLOOKUP(L81,configuration!$M$7:$N$10,2,FALSE))</f>
        <v/>
      </c>
      <c r="N81" s="30"/>
      <c r="O81" s="2"/>
      <c r="P81" s="31"/>
      <c r="Q81" s="54"/>
      <c r="R81" s="55" t="str">
        <f>IF(ISBLANK(Q81),"",VLOOKUP(Q81,configuration!$P$7:$Q$10,2,FALSE))</f>
        <v/>
      </c>
      <c r="S81" s="56"/>
      <c r="T81" s="55"/>
      <c r="U81" s="78"/>
      <c r="V81" s="76" t="str">
        <f t="shared" si="4"/>
        <v/>
      </c>
      <c r="W81" s="48" t="str">
        <f t="shared" si="4"/>
        <v/>
      </c>
      <c r="X81" s="48" t="str">
        <f t="shared" si="4"/>
        <v/>
      </c>
      <c r="Y81" s="48" t="str">
        <f t="shared" si="4"/>
        <v/>
      </c>
      <c r="Z81" s="49" t="str">
        <f t="shared" si="6"/>
        <v/>
      </c>
      <c r="AA81" s="50" t="str">
        <f t="shared" si="5"/>
        <v/>
      </c>
      <c r="AB81" s="48" t="str">
        <f t="shared" si="5"/>
        <v/>
      </c>
      <c r="AC81" s="48" t="str">
        <f t="shared" si="5"/>
        <v/>
      </c>
      <c r="AD81" s="48" t="str">
        <f t="shared" si="5"/>
        <v/>
      </c>
      <c r="AE81" s="48" t="str">
        <f t="shared" si="7"/>
        <v/>
      </c>
    </row>
    <row r="82" spans="1:31" x14ac:dyDescent="0.25">
      <c r="A82" s="2"/>
      <c r="B82" s="2"/>
      <c r="C82" s="2"/>
      <c r="D82" s="2" t="str">
        <f>IF(ISBLANK(C82),"",VLOOKUP(C82,configuration!$G$7:$H$10,2,FALSE))</f>
        <v/>
      </c>
      <c r="E82" s="2"/>
      <c r="F82" s="2"/>
      <c r="G82" s="2"/>
      <c r="H82" s="2" t="str">
        <f>IF(ISBLANK(G82),"",VLOOKUP(G82,configuration!$J$7:$K$10,2,FALSE))</f>
        <v/>
      </c>
      <c r="I82" s="30"/>
      <c r="J82" s="2"/>
      <c r="K82" s="31"/>
      <c r="L82" s="35"/>
      <c r="M82" s="2" t="str">
        <f>IF(ISBLANK(L82),"",VLOOKUP(L82,configuration!$M$7:$N$10,2,FALSE))</f>
        <v/>
      </c>
      <c r="N82" s="30"/>
      <c r="O82" s="2"/>
      <c r="P82" s="31"/>
      <c r="Q82" s="54"/>
      <c r="R82" s="55" t="str">
        <f>IF(ISBLANK(Q82),"",VLOOKUP(Q82,configuration!$P$7:$Q$10,2,FALSE))</f>
        <v/>
      </c>
      <c r="S82" s="56"/>
      <c r="T82" s="55"/>
      <c r="U82" s="78"/>
      <c r="V82" s="76" t="str">
        <f t="shared" si="4"/>
        <v/>
      </c>
      <c r="W82" s="48" t="str">
        <f t="shared" si="4"/>
        <v/>
      </c>
      <c r="X82" s="48" t="str">
        <f t="shared" si="4"/>
        <v/>
      </c>
      <c r="Y82" s="48" t="str">
        <f t="shared" si="4"/>
        <v/>
      </c>
      <c r="Z82" s="49" t="str">
        <f t="shared" si="6"/>
        <v/>
      </c>
      <c r="AA82" s="50" t="str">
        <f t="shared" si="5"/>
        <v/>
      </c>
      <c r="AB82" s="48" t="str">
        <f t="shared" si="5"/>
        <v/>
      </c>
      <c r="AC82" s="48" t="str">
        <f t="shared" si="5"/>
        <v/>
      </c>
      <c r="AD82" s="48" t="str">
        <f t="shared" si="5"/>
        <v/>
      </c>
      <c r="AE82" s="48" t="str">
        <f t="shared" si="7"/>
        <v/>
      </c>
    </row>
    <row r="83" spans="1:31" x14ac:dyDescent="0.25">
      <c r="A83" s="2"/>
      <c r="B83" s="2"/>
      <c r="C83" s="2"/>
      <c r="D83" s="2" t="str">
        <f>IF(ISBLANK(C83),"",VLOOKUP(C83,configuration!$G$7:$H$10,2,FALSE))</f>
        <v/>
      </c>
      <c r="E83" s="2"/>
      <c r="F83" s="2"/>
      <c r="G83" s="2"/>
      <c r="H83" s="2" t="str">
        <f>IF(ISBLANK(G83),"",VLOOKUP(G83,configuration!$J$7:$K$10,2,FALSE))</f>
        <v/>
      </c>
      <c r="I83" s="30"/>
      <c r="J83" s="2"/>
      <c r="K83" s="31"/>
      <c r="L83" s="35"/>
      <c r="M83" s="2" t="str">
        <f>IF(ISBLANK(L83),"",VLOOKUP(L83,configuration!$M$7:$N$10,2,FALSE))</f>
        <v/>
      </c>
      <c r="N83" s="30"/>
      <c r="O83" s="2"/>
      <c r="P83" s="31"/>
      <c r="Q83" s="54"/>
      <c r="R83" s="55" t="str">
        <f>IF(ISBLANK(Q83),"",VLOOKUP(Q83,configuration!$P$7:$Q$10,2,FALSE))</f>
        <v/>
      </c>
      <c r="S83" s="56"/>
      <c r="T83" s="55"/>
      <c r="U83" s="78"/>
      <c r="V83" s="76" t="str">
        <f t="shared" si="4"/>
        <v/>
      </c>
      <c r="W83" s="48" t="str">
        <f t="shared" si="4"/>
        <v/>
      </c>
      <c r="X83" s="48" t="str">
        <f t="shared" si="4"/>
        <v/>
      </c>
      <c r="Y83" s="48" t="str">
        <f t="shared" si="4"/>
        <v/>
      </c>
      <c r="Z83" s="49" t="str">
        <f t="shared" si="6"/>
        <v/>
      </c>
      <c r="AA83" s="50" t="str">
        <f t="shared" si="5"/>
        <v/>
      </c>
      <c r="AB83" s="48" t="str">
        <f t="shared" si="5"/>
        <v/>
      </c>
      <c r="AC83" s="48" t="str">
        <f t="shared" si="5"/>
        <v/>
      </c>
      <c r="AD83" s="48" t="str">
        <f t="shared" si="5"/>
        <v/>
      </c>
      <c r="AE83" s="48" t="str">
        <f t="shared" si="7"/>
        <v/>
      </c>
    </row>
    <row r="84" spans="1:31" x14ac:dyDescent="0.25">
      <c r="A84" s="2"/>
      <c r="B84" s="2"/>
      <c r="C84" s="2"/>
      <c r="D84" s="2" t="str">
        <f>IF(ISBLANK(C84),"",VLOOKUP(C84,configuration!$G$7:$H$10,2,FALSE))</f>
        <v/>
      </c>
      <c r="E84" s="2"/>
      <c r="F84" s="2"/>
      <c r="G84" s="2"/>
      <c r="H84" s="2" t="str">
        <f>IF(ISBLANK(G84),"",VLOOKUP(G84,configuration!$J$7:$K$10,2,FALSE))</f>
        <v/>
      </c>
      <c r="I84" s="30"/>
      <c r="J84" s="2"/>
      <c r="K84" s="31"/>
      <c r="L84" s="35"/>
      <c r="M84" s="2" t="str">
        <f>IF(ISBLANK(L84),"",VLOOKUP(L84,configuration!$M$7:$N$10,2,FALSE))</f>
        <v/>
      </c>
      <c r="N84" s="30"/>
      <c r="O84" s="2"/>
      <c r="P84" s="31"/>
      <c r="Q84" s="54"/>
      <c r="R84" s="55" t="str">
        <f>IF(ISBLANK(Q84),"",VLOOKUP(Q84,configuration!$P$7:$Q$10,2,FALSE))</f>
        <v/>
      </c>
      <c r="S84" s="56"/>
      <c r="T84" s="55"/>
      <c r="U84" s="78"/>
      <c r="V84" s="76" t="str">
        <f t="shared" si="4"/>
        <v/>
      </c>
      <c r="W84" s="48" t="str">
        <f t="shared" si="4"/>
        <v/>
      </c>
      <c r="X84" s="48" t="str">
        <f t="shared" si="4"/>
        <v/>
      </c>
      <c r="Y84" s="48" t="str">
        <f t="shared" si="4"/>
        <v/>
      </c>
      <c r="Z84" s="49" t="str">
        <f t="shared" si="6"/>
        <v/>
      </c>
      <c r="AA84" s="50" t="str">
        <f t="shared" si="5"/>
        <v/>
      </c>
      <c r="AB84" s="48" t="str">
        <f t="shared" si="5"/>
        <v/>
      </c>
      <c r="AC84" s="48" t="str">
        <f t="shared" si="5"/>
        <v/>
      </c>
      <c r="AD84" s="48" t="str">
        <f t="shared" si="5"/>
        <v/>
      </c>
      <c r="AE84" s="48" t="str">
        <f t="shared" si="7"/>
        <v/>
      </c>
    </row>
    <row r="85" spans="1:31" x14ac:dyDescent="0.25">
      <c r="A85" s="2"/>
      <c r="B85" s="2"/>
      <c r="C85" s="2"/>
      <c r="D85" s="2" t="str">
        <f>IF(ISBLANK(C85),"",VLOOKUP(C85,configuration!$G$7:$H$10,2,FALSE))</f>
        <v/>
      </c>
      <c r="E85" s="2"/>
      <c r="F85" s="2"/>
      <c r="G85" s="2"/>
      <c r="H85" s="2" t="str">
        <f>IF(ISBLANK(G85),"",VLOOKUP(G85,configuration!$J$7:$K$10,2,FALSE))</f>
        <v/>
      </c>
      <c r="I85" s="30"/>
      <c r="J85" s="2"/>
      <c r="K85" s="31"/>
      <c r="L85" s="35"/>
      <c r="M85" s="2" t="str">
        <f>IF(ISBLANK(L85),"",VLOOKUP(L85,configuration!$M$7:$N$10,2,FALSE))</f>
        <v/>
      </c>
      <c r="N85" s="30"/>
      <c r="O85" s="2"/>
      <c r="P85" s="31"/>
      <c r="Q85" s="54"/>
      <c r="R85" s="55" t="str">
        <f>IF(ISBLANK(Q85),"",VLOOKUP(Q85,configuration!$P$7:$Q$10,2,FALSE))</f>
        <v/>
      </c>
      <c r="S85" s="56"/>
      <c r="T85" s="55"/>
      <c r="U85" s="78"/>
      <c r="V85" s="76" t="str">
        <f t="shared" si="4"/>
        <v/>
      </c>
      <c r="W85" s="48" t="str">
        <f t="shared" si="4"/>
        <v/>
      </c>
      <c r="X85" s="48" t="str">
        <f t="shared" si="4"/>
        <v/>
      </c>
      <c r="Y85" s="48" t="str">
        <f>IF($G85=Y$4,1,"")</f>
        <v/>
      </c>
      <c r="Z85" s="49" t="str">
        <f t="shared" si="6"/>
        <v/>
      </c>
      <c r="AA85" s="50" t="str">
        <f t="shared" si="5"/>
        <v/>
      </c>
      <c r="AB85" s="48" t="str">
        <f t="shared" si="5"/>
        <v/>
      </c>
      <c r="AC85" s="48" t="str">
        <f t="shared" si="5"/>
        <v/>
      </c>
      <c r="AD85" s="48" t="str">
        <f>IF($L85=AD$4,1,"")</f>
        <v/>
      </c>
      <c r="AE85" s="48" t="str">
        <f t="shared" si="7"/>
        <v/>
      </c>
    </row>
    <row r="86" spans="1:31" x14ac:dyDescent="0.25">
      <c r="A86" s="2"/>
      <c r="B86" s="2"/>
      <c r="C86" s="2"/>
      <c r="D86" s="2" t="str">
        <f>IF(ISBLANK(C86),"",VLOOKUP(C86,configuration!$G$7:$H$10,2,FALSE))</f>
        <v/>
      </c>
      <c r="E86" s="2"/>
      <c r="F86" s="2"/>
      <c r="G86" s="2"/>
      <c r="H86" s="2" t="str">
        <f>IF(ISBLANK(G86),"",VLOOKUP(G86,configuration!$J$7:$K$10,2,FALSE))</f>
        <v/>
      </c>
      <c r="I86" s="30"/>
      <c r="J86" s="2"/>
      <c r="K86" s="31"/>
      <c r="L86" s="35"/>
      <c r="M86" s="2" t="str">
        <f>IF(ISBLANK(L86),"",VLOOKUP(L86,configuration!$M$7:$N$10,2,FALSE))</f>
        <v/>
      </c>
      <c r="N86" s="30"/>
      <c r="O86" s="2"/>
      <c r="P86" s="31"/>
      <c r="Q86" s="54"/>
      <c r="R86" s="55" t="str">
        <f>IF(ISBLANK(Q86),"",VLOOKUP(Q86,configuration!$P$7:$Q$10,2,FALSE))</f>
        <v/>
      </c>
      <c r="S86" s="56"/>
      <c r="T86" s="55"/>
      <c r="U86" s="78"/>
      <c r="V86" s="76" t="str">
        <f t="shared" ref="V86:Y149" si="8">IF($G86=V$4,1,"")</f>
        <v/>
      </c>
      <c r="W86" s="48" t="str">
        <f t="shared" si="8"/>
        <v/>
      </c>
      <c r="X86" s="48" t="str">
        <f t="shared" si="8"/>
        <v/>
      </c>
      <c r="Y86" s="48" t="str">
        <f t="shared" si="8"/>
        <v/>
      </c>
      <c r="Z86" s="49" t="str">
        <f t="shared" si="6"/>
        <v/>
      </c>
      <c r="AA86" s="50" t="str">
        <f t="shared" ref="AA86:AD149" si="9">IF($L86=AA$4,1,"")</f>
        <v/>
      </c>
      <c r="AB86" s="48" t="str">
        <f t="shared" si="9"/>
        <v/>
      </c>
      <c r="AC86" s="48" t="str">
        <f t="shared" si="9"/>
        <v/>
      </c>
      <c r="AD86" s="48" t="str">
        <f t="shared" si="9"/>
        <v/>
      </c>
      <c r="AE86" s="48" t="str">
        <f t="shared" si="7"/>
        <v/>
      </c>
    </row>
    <row r="87" spans="1:31" x14ac:dyDescent="0.25">
      <c r="A87" s="2"/>
      <c r="B87" s="2"/>
      <c r="C87" s="2"/>
      <c r="D87" s="2" t="str">
        <f>IF(ISBLANK(C87),"",VLOOKUP(C87,configuration!$G$7:$H$10,2,FALSE))</f>
        <v/>
      </c>
      <c r="E87" s="2"/>
      <c r="F87" s="2"/>
      <c r="G87" s="2"/>
      <c r="H87" s="2" t="str">
        <f>IF(ISBLANK(G87),"",VLOOKUP(G87,configuration!$J$7:$K$10,2,FALSE))</f>
        <v/>
      </c>
      <c r="I87" s="30"/>
      <c r="J87" s="2"/>
      <c r="K87" s="31"/>
      <c r="L87" s="35"/>
      <c r="M87" s="2" t="str">
        <f>IF(ISBLANK(L87),"",VLOOKUP(L87,configuration!$M$7:$N$10,2,FALSE))</f>
        <v/>
      </c>
      <c r="N87" s="30"/>
      <c r="O87" s="2"/>
      <c r="P87" s="31"/>
      <c r="Q87" s="54"/>
      <c r="R87" s="55" t="str">
        <f>IF(ISBLANK(Q87),"",VLOOKUP(Q87,configuration!$P$7:$Q$10,2,FALSE))</f>
        <v/>
      </c>
      <c r="S87" s="56"/>
      <c r="T87" s="55"/>
      <c r="U87" s="78"/>
      <c r="V87" s="76" t="str">
        <f t="shared" si="8"/>
        <v/>
      </c>
      <c r="W87" s="48" t="str">
        <f t="shared" si="8"/>
        <v/>
      </c>
      <c r="X87" s="48" t="str">
        <f t="shared" si="8"/>
        <v/>
      </c>
      <c r="Y87" s="48" t="str">
        <f t="shared" si="8"/>
        <v/>
      </c>
      <c r="Z87" s="49" t="str">
        <f t="shared" si="6"/>
        <v/>
      </c>
      <c r="AA87" s="50" t="str">
        <f t="shared" si="9"/>
        <v/>
      </c>
      <c r="AB87" s="48" t="str">
        <f t="shared" si="9"/>
        <v/>
      </c>
      <c r="AC87" s="48" t="str">
        <f t="shared" si="9"/>
        <v/>
      </c>
      <c r="AD87" s="48" t="str">
        <f t="shared" si="9"/>
        <v/>
      </c>
      <c r="AE87" s="48" t="str">
        <f t="shared" si="7"/>
        <v/>
      </c>
    </row>
    <row r="88" spans="1:31" x14ac:dyDescent="0.25">
      <c r="A88" s="2"/>
      <c r="B88" s="2"/>
      <c r="C88" s="2"/>
      <c r="D88" s="2" t="str">
        <f>IF(ISBLANK(C88),"",VLOOKUP(C88,configuration!$G$7:$H$10,2,FALSE))</f>
        <v/>
      </c>
      <c r="E88" s="2"/>
      <c r="F88" s="2"/>
      <c r="G88" s="2"/>
      <c r="H88" s="2" t="str">
        <f>IF(ISBLANK(G88),"",VLOOKUP(G88,configuration!$J$7:$K$10,2,FALSE))</f>
        <v/>
      </c>
      <c r="I88" s="30"/>
      <c r="J88" s="2"/>
      <c r="K88" s="31"/>
      <c r="L88" s="35"/>
      <c r="M88" s="2" t="str">
        <f>IF(ISBLANK(L88),"",VLOOKUP(L88,configuration!$M$7:$N$10,2,FALSE))</f>
        <v/>
      </c>
      <c r="N88" s="30"/>
      <c r="O88" s="2"/>
      <c r="P88" s="31"/>
      <c r="Q88" s="54"/>
      <c r="R88" s="55" t="str">
        <f>IF(ISBLANK(Q88),"",VLOOKUP(Q88,configuration!$P$7:$Q$10,2,FALSE))</f>
        <v/>
      </c>
      <c r="S88" s="56"/>
      <c r="T88" s="55"/>
      <c r="U88" s="78"/>
      <c r="V88" s="76" t="str">
        <f t="shared" si="8"/>
        <v/>
      </c>
      <c r="W88" s="48" t="str">
        <f t="shared" si="8"/>
        <v/>
      </c>
      <c r="X88" s="48" t="str">
        <f t="shared" si="8"/>
        <v/>
      </c>
      <c r="Y88" s="48" t="str">
        <f t="shared" si="8"/>
        <v/>
      </c>
      <c r="Z88" s="49" t="str">
        <f t="shared" si="6"/>
        <v/>
      </c>
      <c r="AA88" s="50" t="str">
        <f t="shared" si="9"/>
        <v/>
      </c>
      <c r="AB88" s="48" t="str">
        <f t="shared" si="9"/>
        <v/>
      </c>
      <c r="AC88" s="48" t="str">
        <f t="shared" si="9"/>
        <v/>
      </c>
      <c r="AD88" s="48" t="str">
        <f t="shared" si="9"/>
        <v/>
      </c>
      <c r="AE88" s="48" t="str">
        <f t="shared" si="7"/>
        <v/>
      </c>
    </row>
    <row r="89" spans="1:31" x14ac:dyDescent="0.25">
      <c r="A89" s="2"/>
      <c r="B89" s="2"/>
      <c r="C89" s="2"/>
      <c r="D89" s="2" t="str">
        <f>IF(ISBLANK(C89),"",VLOOKUP(C89,configuration!$G$7:$H$10,2,FALSE))</f>
        <v/>
      </c>
      <c r="E89" s="2"/>
      <c r="F89" s="2"/>
      <c r="G89" s="2"/>
      <c r="H89" s="2" t="str">
        <f>IF(ISBLANK(G89),"",VLOOKUP(G89,configuration!$J$7:$K$10,2,FALSE))</f>
        <v/>
      </c>
      <c r="I89" s="30"/>
      <c r="J89" s="2"/>
      <c r="K89" s="31"/>
      <c r="L89" s="35"/>
      <c r="M89" s="2" t="str">
        <f>IF(ISBLANK(L89),"",VLOOKUP(L89,configuration!$M$7:$N$10,2,FALSE))</f>
        <v/>
      </c>
      <c r="N89" s="30"/>
      <c r="O89" s="2"/>
      <c r="P89" s="31"/>
      <c r="Q89" s="54"/>
      <c r="R89" s="55" t="str">
        <f>IF(ISBLANK(Q89),"",VLOOKUP(Q89,configuration!$P$7:$Q$10,2,FALSE))</f>
        <v/>
      </c>
      <c r="S89" s="56"/>
      <c r="T89" s="55"/>
      <c r="U89" s="78"/>
      <c r="V89" s="76" t="str">
        <f t="shared" si="8"/>
        <v/>
      </c>
      <c r="W89" s="48" t="str">
        <f t="shared" si="8"/>
        <v/>
      </c>
      <c r="X89" s="48" t="str">
        <f t="shared" si="8"/>
        <v/>
      </c>
      <c r="Y89" s="48" t="str">
        <f t="shared" si="8"/>
        <v/>
      </c>
      <c r="Z89" s="49" t="str">
        <f t="shared" si="6"/>
        <v/>
      </c>
      <c r="AA89" s="50" t="str">
        <f t="shared" si="9"/>
        <v/>
      </c>
      <c r="AB89" s="48" t="str">
        <f t="shared" si="9"/>
        <v/>
      </c>
      <c r="AC89" s="48" t="str">
        <f t="shared" si="9"/>
        <v/>
      </c>
      <c r="AD89" s="48" t="str">
        <f t="shared" si="9"/>
        <v/>
      </c>
      <c r="AE89" s="48" t="str">
        <f t="shared" si="7"/>
        <v/>
      </c>
    </row>
    <row r="90" spans="1:31" x14ac:dyDescent="0.25">
      <c r="A90" s="2"/>
      <c r="B90" s="2"/>
      <c r="C90" s="2"/>
      <c r="D90" s="2" t="str">
        <f>IF(ISBLANK(C90),"",VLOOKUP(C90,configuration!$G$7:$H$10,2,FALSE))</f>
        <v/>
      </c>
      <c r="E90" s="2"/>
      <c r="F90" s="2"/>
      <c r="G90" s="2"/>
      <c r="H90" s="2" t="str">
        <f>IF(ISBLANK(G90),"",VLOOKUP(G90,configuration!$J$7:$K$10,2,FALSE))</f>
        <v/>
      </c>
      <c r="I90" s="30"/>
      <c r="J90" s="2"/>
      <c r="K90" s="31"/>
      <c r="L90" s="35"/>
      <c r="M90" s="2" t="str">
        <f>IF(ISBLANK(L90),"",VLOOKUP(L90,configuration!$M$7:$N$10,2,FALSE))</f>
        <v/>
      </c>
      <c r="N90" s="30"/>
      <c r="O90" s="2"/>
      <c r="P90" s="31"/>
      <c r="Q90" s="54"/>
      <c r="R90" s="55" t="str">
        <f>IF(ISBLANK(Q90),"",VLOOKUP(Q90,configuration!$P$7:$Q$10,2,FALSE))</f>
        <v/>
      </c>
      <c r="S90" s="56"/>
      <c r="T90" s="55"/>
      <c r="U90" s="78"/>
      <c r="V90" s="76" t="str">
        <f t="shared" si="8"/>
        <v/>
      </c>
      <c r="W90" s="48" t="str">
        <f t="shared" si="8"/>
        <v/>
      </c>
      <c r="X90" s="48" t="str">
        <f t="shared" si="8"/>
        <v/>
      </c>
      <c r="Y90" s="48" t="str">
        <f t="shared" si="8"/>
        <v/>
      </c>
      <c r="Z90" s="49" t="str">
        <f t="shared" si="6"/>
        <v/>
      </c>
      <c r="AA90" s="50" t="str">
        <f t="shared" si="9"/>
        <v/>
      </c>
      <c r="AB90" s="48" t="str">
        <f t="shared" si="9"/>
        <v/>
      </c>
      <c r="AC90" s="48" t="str">
        <f t="shared" si="9"/>
        <v/>
      </c>
      <c r="AD90" s="48" t="str">
        <f t="shared" si="9"/>
        <v/>
      </c>
      <c r="AE90" s="48" t="str">
        <f t="shared" si="7"/>
        <v/>
      </c>
    </row>
    <row r="91" spans="1:31" x14ac:dyDescent="0.25">
      <c r="A91" s="2"/>
      <c r="B91" s="2"/>
      <c r="C91" s="2"/>
      <c r="D91" s="2" t="str">
        <f>IF(ISBLANK(C91),"",VLOOKUP(C91,configuration!$G$7:$H$10,2,FALSE))</f>
        <v/>
      </c>
      <c r="E91" s="2"/>
      <c r="F91" s="2"/>
      <c r="G91" s="2"/>
      <c r="H91" s="2" t="str">
        <f>IF(ISBLANK(G91),"",VLOOKUP(G91,configuration!$J$7:$K$10,2,FALSE))</f>
        <v/>
      </c>
      <c r="I91" s="30"/>
      <c r="J91" s="2"/>
      <c r="K91" s="31"/>
      <c r="L91" s="35"/>
      <c r="M91" s="2" t="str">
        <f>IF(ISBLANK(L91),"",VLOOKUP(L91,configuration!$M$7:$N$10,2,FALSE))</f>
        <v/>
      </c>
      <c r="N91" s="30"/>
      <c r="O91" s="2"/>
      <c r="P91" s="31"/>
      <c r="Q91" s="54"/>
      <c r="R91" s="55" t="str">
        <f>IF(ISBLANK(Q91),"",VLOOKUP(Q91,configuration!$P$7:$Q$10,2,FALSE))</f>
        <v/>
      </c>
      <c r="S91" s="56"/>
      <c r="T91" s="55"/>
      <c r="U91" s="78"/>
      <c r="V91" s="76" t="str">
        <f t="shared" si="8"/>
        <v/>
      </c>
      <c r="W91" s="48" t="str">
        <f t="shared" si="8"/>
        <v/>
      </c>
      <c r="X91" s="48" t="str">
        <f t="shared" si="8"/>
        <v/>
      </c>
      <c r="Y91" s="48" t="str">
        <f t="shared" si="8"/>
        <v/>
      </c>
      <c r="Z91" s="49" t="str">
        <f t="shared" si="6"/>
        <v/>
      </c>
      <c r="AA91" s="50" t="str">
        <f t="shared" si="9"/>
        <v/>
      </c>
      <c r="AB91" s="48" t="str">
        <f t="shared" si="9"/>
        <v/>
      </c>
      <c r="AC91" s="48" t="str">
        <f t="shared" si="9"/>
        <v/>
      </c>
      <c r="AD91" s="48" t="str">
        <f t="shared" si="9"/>
        <v/>
      </c>
      <c r="AE91" s="48" t="str">
        <f t="shared" si="7"/>
        <v/>
      </c>
    </row>
    <row r="92" spans="1:31" x14ac:dyDescent="0.25">
      <c r="A92" s="2"/>
      <c r="B92" s="2"/>
      <c r="C92" s="2"/>
      <c r="D92" s="2" t="str">
        <f>IF(ISBLANK(C92),"",VLOOKUP(C92,configuration!$G$7:$H$10,2,FALSE))</f>
        <v/>
      </c>
      <c r="E92" s="2"/>
      <c r="F92" s="2"/>
      <c r="G92" s="2"/>
      <c r="H92" s="2" t="str">
        <f>IF(ISBLANK(G92),"",VLOOKUP(G92,configuration!$J$7:$K$10,2,FALSE))</f>
        <v/>
      </c>
      <c r="I92" s="30"/>
      <c r="J92" s="2"/>
      <c r="K92" s="31"/>
      <c r="L92" s="35"/>
      <c r="M92" s="2" t="str">
        <f>IF(ISBLANK(L92),"",VLOOKUP(L92,configuration!$M$7:$N$10,2,FALSE))</f>
        <v/>
      </c>
      <c r="N92" s="30"/>
      <c r="O92" s="2"/>
      <c r="P92" s="31"/>
      <c r="Q92" s="54"/>
      <c r="R92" s="55" t="str">
        <f>IF(ISBLANK(Q92),"",VLOOKUP(Q92,configuration!$P$7:$Q$10,2,FALSE))</f>
        <v/>
      </c>
      <c r="S92" s="56"/>
      <c r="T92" s="55"/>
      <c r="U92" s="78"/>
      <c r="V92" s="76" t="str">
        <f t="shared" si="8"/>
        <v/>
      </c>
      <c r="W92" s="48" t="str">
        <f t="shared" si="8"/>
        <v/>
      </c>
      <c r="X92" s="48" t="str">
        <f t="shared" si="8"/>
        <v/>
      </c>
      <c r="Y92" s="48" t="str">
        <f t="shared" si="8"/>
        <v/>
      </c>
      <c r="Z92" s="49" t="str">
        <f t="shared" si="6"/>
        <v/>
      </c>
      <c r="AA92" s="50" t="str">
        <f t="shared" si="9"/>
        <v/>
      </c>
      <c r="AB92" s="48" t="str">
        <f t="shared" si="9"/>
        <v/>
      </c>
      <c r="AC92" s="48" t="str">
        <f t="shared" si="9"/>
        <v/>
      </c>
      <c r="AD92" s="48" t="str">
        <f t="shared" si="9"/>
        <v/>
      </c>
      <c r="AE92" s="48" t="str">
        <f t="shared" si="7"/>
        <v/>
      </c>
    </row>
    <row r="93" spans="1:31" x14ac:dyDescent="0.25">
      <c r="A93" s="2"/>
      <c r="B93" s="2"/>
      <c r="C93" s="2"/>
      <c r="D93" s="2" t="str">
        <f>IF(ISBLANK(C93),"",VLOOKUP(C93,configuration!$G$7:$H$10,2,FALSE))</f>
        <v/>
      </c>
      <c r="E93" s="2"/>
      <c r="F93" s="2"/>
      <c r="G93" s="2"/>
      <c r="H93" s="2" t="str">
        <f>IF(ISBLANK(G93),"",VLOOKUP(G93,configuration!$J$7:$K$10,2,FALSE))</f>
        <v/>
      </c>
      <c r="I93" s="30"/>
      <c r="J93" s="2"/>
      <c r="K93" s="31"/>
      <c r="L93" s="35"/>
      <c r="M93" s="2" t="str">
        <f>IF(ISBLANK(L93),"",VLOOKUP(L93,configuration!$M$7:$N$10,2,FALSE))</f>
        <v/>
      </c>
      <c r="N93" s="30"/>
      <c r="O93" s="2"/>
      <c r="P93" s="31"/>
      <c r="Q93" s="54"/>
      <c r="R93" s="55" t="str">
        <f>IF(ISBLANK(Q93),"",VLOOKUP(Q93,configuration!$P$7:$Q$10,2,FALSE))</f>
        <v/>
      </c>
      <c r="S93" s="56"/>
      <c r="T93" s="55"/>
      <c r="U93" s="78"/>
      <c r="V93" s="76" t="str">
        <f t="shared" si="8"/>
        <v/>
      </c>
      <c r="W93" s="48" t="str">
        <f t="shared" si="8"/>
        <v/>
      </c>
      <c r="X93" s="48" t="str">
        <f t="shared" si="8"/>
        <v/>
      </c>
      <c r="Y93" s="48" t="str">
        <f t="shared" si="8"/>
        <v/>
      </c>
      <c r="Z93" s="49" t="str">
        <f t="shared" si="6"/>
        <v/>
      </c>
      <c r="AA93" s="50" t="str">
        <f t="shared" si="9"/>
        <v/>
      </c>
      <c r="AB93" s="48" t="str">
        <f t="shared" si="9"/>
        <v/>
      </c>
      <c r="AC93" s="48" t="str">
        <f t="shared" si="9"/>
        <v/>
      </c>
      <c r="AD93" s="48" t="str">
        <f t="shared" si="9"/>
        <v/>
      </c>
      <c r="AE93" s="48" t="str">
        <f t="shared" si="7"/>
        <v/>
      </c>
    </row>
    <row r="94" spans="1:31" x14ac:dyDescent="0.25">
      <c r="A94" s="2"/>
      <c r="B94" s="2"/>
      <c r="C94" s="2"/>
      <c r="D94" s="2" t="str">
        <f>IF(ISBLANK(C94),"",VLOOKUP(C94,configuration!$G$7:$H$10,2,FALSE))</f>
        <v/>
      </c>
      <c r="E94" s="2"/>
      <c r="F94" s="2"/>
      <c r="G94" s="2"/>
      <c r="H94" s="2" t="str">
        <f>IF(ISBLANK(G94),"",VLOOKUP(G94,configuration!$J$7:$K$10,2,FALSE))</f>
        <v/>
      </c>
      <c r="I94" s="30"/>
      <c r="J94" s="2"/>
      <c r="K94" s="31"/>
      <c r="L94" s="35"/>
      <c r="M94" s="2" t="str">
        <f>IF(ISBLANK(L94),"",VLOOKUP(L94,configuration!$M$7:$N$10,2,FALSE))</f>
        <v/>
      </c>
      <c r="N94" s="30"/>
      <c r="O94" s="2"/>
      <c r="P94" s="31"/>
      <c r="Q94" s="54"/>
      <c r="R94" s="55" t="str">
        <f>IF(ISBLANK(Q94),"",VLOOKUP(Q94,configuration!$P$7:$Q$10,2,FALSE))</f>
        <v/>
      </c>
      <c r="S94" s="56"/>
      <c r="T94" s="55"/>
      <c r="U94" s="78"/>
      <c r="V94" s="76" t="str">
        <f t="shared" si="8"/>
        <v/>
      </c>
      <c r="W94" s="48" t="str">
        <f t="shared" si="8"/>
        <v/>
      </c>
      <c r="X94" s="48" t="str">
        <f t="shared" si="8"/>
        <v/>
      </c>
      <c r="Y94" s="48" t="str">
        <f t="shared" si="8"/>
        <v/>
      </c>
      <c r="Z94" s="49" t="str">
        <f t="shared" si="6"/>
        <v/>
      </c>
      <c r="AA94" s="50" t="str">
        <f t="shared" si="9"/>
        <v/>
      </c>
      <c r="AB94" s="48" t="str">
        <f t="shared" si="9"/>
        <v/>
      </c>
      <c r="AC94" s="48" t="str">
        <f t="shared" si="9"/>
        <v/>
      </c>
      <c r="AD94" s="48" t="str">
        <f t="shared" si="9"/>
        <v/>
      </c>
      <c r="AE94" s="48" t="str">
        <f t="shared" si="7"/>
        <v/>
      </c>
    </row>
    <row r="95" spans="1:31" x14ac:dyDescent="0.25">
      <c r="A95" s="2"/>
      <c r="B95" s="2"/>
      <c r="C95" s="2"/>
      <c r="D95" s="2" t="str">
        <f>IF(ISBLANK(C95),"",VLOOKUP(C95,configuration!$G$7:$H$10,2,FALSE))</f>
        <v/>
      </c>
      <c r="E95" s="2"/>
      <c r="F95" s="2"/>
      <c r="G95" s="2"/>
      <c r="H95" s="2" t="str">
        <f>IF(ISBLANK(G95),"",VLOOKUP(G95,configuration!$J$7:$K$10,2,FALSE))</f>
        <v/>
      </c>
      <c r="I95" s="30"/>
      <c r="J95" s="2"/>
      <c r="K95" s="31"/>
      <c r="L95" s="35"/>
      <c r="M95" s="2" t="str">
        <f>IF(ISBLANK(L95),"",VLOOKUP(L95,configuration!$M$7:$N$10,2,FALSE))</f>
        <v/>
      </c>
      <c r="N95" s="30"/>
      <c r="O95" s="2"/>
      <c r="P95" s="31"/>
      <c r="Q95" s="54"/>
      <c r="R95" s="55" t="str">
        <f>IF(ISBLANK(Q95),"",VLOOKUP(Q95,configuration!$P$7:$Q$10,2,FALSE))</f>
        <v/>
      </c>
      <c r="S95" s="56"/>
      <c r="T95" s="55"/>
      <c r="U95" s="78"/>
      <c r="V95" s="76" t="str">
        <f t="shared" si="8"/>
        <v/>
      </c>
      <c r="W95" s="48" t="str">
        <f t="shared" si="8"/>
        <v/>
      </c>
      <c r="X95" s="48" t="str">
        <f t="shared" si="8"/>
        <v/>
      </c>
      <c r="Y95" s="48" t="str">
        <f t="shared" si="8"/>
        <v/>
      </c>
      <c r="Z95" s="49" t="str">
        <f t="shared" si="6"/>
        <v/>
      </c>
      <c r="AA95" s="50" t="str">
        <f t="shared" si="9"/>
        <v/>
      </c>
      <c r="AB95" s="48" t="str">
        <f t="shared" si="9"/>
        <v/>
      </c>
      <c r="AC95" s="48" t="str">
        <f t="shared" si="9"/>
        <v/>
      </c>
      <c r="AD95" s="48" t="str">
        <f t="shared" si="9"/>
        <v/>
      </c>
      <c r="AE95" s="48" t="str">
        <f t="shared" si="7"/>
        <v/>
      </c>
    </row>
    <row r="96" spans="1:31" x14ac:dyDescent="0.25">
      <c r="A96" s="2"/>
      <c r="B96" s="2"/>
      <c r="C96" s="2"/>
      <c r="D96" s="2" t="str">
        <f>IF(ISBLANK(C96),"",VLOOKUP(C96,configuration!$G$7:$H$10,2,FALSE))</f>
        <v/>
      </c>
      <c r="E96" s="2"/>
      <c r="F96" s="2"/>
      <c r="G96" s="2"/>
      <c r="H96" s="2" t="str">
        <f>IF(ISBLANK(G96),"",VLOOKUP(G96,configuration!$J$7:$K$10,2,FALSE))</f>
        <v/>
      </c>
      <c r="I96" s="30"/>
      <c r="J96" s="2"/>
      <c r="K96" s="31"/>
      <c r="L96" s="35"/>
      <c r="M96" s="2" t="str">
        <f>IF(ISBLANK(L96),"",VLOOKUP(L96,configuration!$M$7:$N$10,2,FALSE))</f>
        <v/>
      </c>
      <c r="N96" s="30"/>
      <c r="O96" s="2"/>
      <c r="P96" s="31"/>
      <c r="Q96" s="54"/>
      <c r="R96" s="55" t="str">
        <f>IF(ISBLANK(Q96),"",VLOOKUP(Q96,configuration!$P$7:$Q$10,2,FALSE))</f>
        <v/>
      </c>
      <c r="S96" s="56"/>
      <c r="T96" s="55"/>
      <c r="U96" s="78"/>
      <c r="V96" s="76" t="str">
        <f t="shared" si="8"/>
        <v/>
      </c>
      <c r="W96" s="48" t="str">
        <f t="shared" si="8"/>
        <v/>
      </c>
      <c r="X96" s="48" t="str">
        <f t="shared" si="8"/>
        <v/>
      </c>
      <c r="Y96" s="48" t="str">
        <f t="shared" si="8"/>
        <v/>
      </c>
      <c r="Z96" s="49" t="str">
        <f t="shared" si="6"/>
        <v/>
      </c>
      <c r="AA96" s="50" t="str">
        <f t="shared" si="9"/>
        <v/>
      </c>
      <c r="AB96" s="48" t="str">
        <f t="shared" si="9"/>
        <v/>
      </c>
      <c r="AC96" s="48" t="str">
        <f t="shared" si="9"/>
        <v/>
      </c>
      <c r="AD96" s="48" t="str">
        <f t="shared" si="9"/>
        <v/>
      </c>
      <c r="AE96" s="48" t="str">
        <f t="shared" si="7"/>
        <v/>
      </c>
    </row>
    <row r="97" spans="1:31" x14ac:dyDescent="0.25">
      <c r="A97" s="2"/>
      <c r="B97" s="2"/>
      <c r="C97" s="2"/>
      <c r="D97" s="2" t="str">
        <f>IF(ISBLANK(C97),"",VLOOKUP(C97,configuration!$G$7:$H$10,2,FALSE))</f>
        <v/>
      </c>
      <c r="E97" s="2"/>
      <c r="F97" s="2"/>
      <c r="G97" s="2"/>
      <c r="H97" s="2" t="str">
        <f>IF(ISBLANK(G97),"",VLOOKUP(G97,configuration!$J$7:$K$10,2,FALSE))</f>
        <v/>
      </c>
      <c r="I97" s="30"/>
      <c r="J97" s="2"/>
      <c r="K97" s="31"/>
      <c r="L97" s="35"/>
      <c r="M97" s="2" t="str">
        <f>IF(ISBLANK(L97),"",VLOOKUP(L97,configuration!$M$7:$N$10,2,FALSE))</f>
        <v/>
      </c>
      <c r="N97" s="30"/>
      <c r="O97" s="2"/>
      <c r="P97" s="31"/>
      <c r="Q97" s="54"/>
      <c r="R97" s="55" t="str">
        <f>IF(ISBLANK(Q97),"",VLOOKUP(Q97,configuration!$P$7:$Q$10,2,FALSE))</f>
        <v/>
      </c>
      <c r="S97" s="56"/>
      <c r="T97" s="55"/>
      <c r="U97" s="78"/>
      <c r="V97" s="76" t="str">
        <f t="shared" si="8"/>
        <v/>
      </c>
      <c r="W97" s="48" t="str">
        <f t="shared" si="8"/>
        <v/>
      </c>
      <c r="X97" s="48" t="str">
        <f t="shared" si="8"/>
        <v/>
      </c>
      <c r="Y97" s="48" t="str">
        <f t="shared" si="8"/>
        <v/>
      </c>
      <c r="Z97" s="49" t="str">
        <f t="shared" si="6"/>
        <v/>
      </c>
      <c r="AA97" s="50" t="str">
        <f t="shared" si="9"/>
        <v/>
      </c>
      <c r="AB97" s="48" t="str">
        <f t="shared" si="9"/>
        <v/>
      </c>
      <c r="AC97" s="48" t="str">
        <f t="shared" si="9"/>
        <v/>
      </c>
      <c r="AD97" s="48" t="str">
        <f t="shared" si="9"/>
        <v/>
      </c>
      <c r="AE97" s="48" t="str">
        <f t="shared" si="7"/>
        <v/>
      </c>
    </row>
    <row r="98" spans="1:31" x14ac:dyDescent="0.25">
      <c r="A98" s="2"/>
      <c r="B98" s="2"/>
      <c r="C98" s="2"/>
      <c r="D98" s="2" t="str">
        <f>IF(ISBLANK(C98),"",VLOOKUP(C98,configuration!$G$7:$H$10,2,FALSE))</f>
        <v/>
      </c>
      <c r="E98" s="2"/>
      <c r="F98" s="2"/>
      <c r="G98" s="2"/>
      <c r="H98" s="2" t="str">
        <f>IF(ISBLANK(G98),"",VLOOKUP(G98,configuration!$J$7:$K$10,2,FALSE))</f>
        <v/>
      </c>
      <c r="I98" s="30"/>
      <c r="J98" s="2"/>
      <c r="K98" s="31"/>
      <c r="L98" s="35"/>
      <c r="M98" s="2" t="str">
        <f>IF(ISBLANK(L98),"",VLOOKUP(L98,configuration!$M$7:$N$10,2,FALSE))</f>
        <v/>
      </c>
      <c r="N98" s="30"/>
      <c r="O98" s="2"/>
      <c r="P98" s="31"/>
      <c r="Q98" s="54"/>
      <c r="R98" s="55" t="str">
        <f>IF(ISBLANK(Q98),"",VLOOKUP(Q98,configuration!$P$7:$Q$10,2,FALSE))</f>
        <v/>
      </c>
      <c r="S98" s="56"/>
      <c r="T98" s="55"/>
      <c r="U98" s="78"/>
      <c r="V98" s="76" t="str">
        <f t="shared" si="8"/>
        <v/>
      </c>
      <c r="W98" s="48" t="str">
        <f t="shared" si="8"/>
        <v/>
      </c>
      <c r="X98" s="48" t="str">
        <f t="shared" si="8"/>
        <v/>
      </c>
      <c r="Y98" s="48" t="str">
        <f t="shared" si="8"/>
        <v/>
      </c>
      <c r="Z98" s="49" t="str">
        <f t="shared" si="6"/>
        <v/>
      </c>
      <c r="AA98" s="50" t="str">
        <f t="shared" si="9"/>
        <v/>
      </c>
      <c r="AB98" s="48" t="str">
        <f t="shared" si="9"/>
        <v/>
      </c>
      <c r="AC98" s="48" t="str">
        <f t="shared" si="9"/>
        <v/>
      </c>
      <c r="AD98" s="48" t="str">
        <f t="shared" si="9"/>
        <v/>
      </c>
      <c r="AE98" s="48" t="str">
        <f t="shared" si="7"/>
        <v/>
      </c>
    </row>
    <row r="99" spans="1:31" x14ac:dyDescent="0.25">
      <c r="A99" s="2"/>
      <c r="B99" s="2"/>
      <c r="C99" s="2"/>
      <c r="D99" s="2" t="str">
        <f>IF(ISBLANK(C99),"",VLOOKUP(C99,configuration!$G$7:$H$10,2,FALSE))</f>
        <v/>
      </c>
      <c r="E99" s="2"/>
      <c r="F99" s="2"/>
      <c r="G99" s="2"/>
      <c r="H99" s="2" t="str">
        <f>IF(ISBLANK(G99),"",VLOOKUP(G99,configuration!$J$7:$K$10,2,FALSE))</f>
        <v/>
      </c>
      <c r="I99" s="30"/>
      <c r="J99" s="2"/>
      <c r="K99" s="31"/>
      <c r="L99" s="35"/>
      <c r="M99" s="2" t="str">
        <f>IF(ISBLANK(L99),"",VLOOKUP(L99,configuration!$M$7:$N$10,2,FALSE))</f>
        <v/>
      </c>
      <c r="N99" s="30"/>
      <c r="O99" s="2"/>
      <c r="P99" s="31"/>
      <c r="Q99" s="54"/>
      <c r="R99" s="55" t="str">
        <f>IF(ISBLANK(Q99),"",VLOOKUP(Q99,configuration!$P$7:$Q$10,2,FALSE))</f>
        <v/>
      </c>
      <c r="S99" s="56"/>
      <c r="T99" s="55"/>
      <c r="U99" s="78"/>
      <c r="V99" s="76" t="str">
        <f t="shared" si="8"/>
        <v/>
      </c>
      <c r="W99" s="48" t="str">
        <f t="shared" si="8"/>
        <v/>
      </c>
      <c r="X99" s="48" t="str">
        <f t="shared" si="8"/>
        <v/>
      </c>
      <c r="Y99" s="48" t="str">
        <f t="shared" si="8"/>
        <v/>
      </c>
      <c r="Z99" s="49" t="str">
        <f t="shared" si="6"/>
        <v/>
      </c>
      <c r="AA99" s="50" t="str">
        <f t="shared" si="9"/>
        <v/>
      </c>
      <c r="AB99" s="48" t="str">
        <f t="shared" si="9"/>
        <v/>
      </c>
      <c r="AC99" s="48" t="str">
        <f t="shared" si="9"/>
        <v/>
      </c>
      <c r="AD99" s="48" t="str">
        <f t="shared" si="9"/>
        <v/>
      </c>
      <c r="AE99" s="48" t="str">
        <f t="shared" si="7"/>
        <v/>
      </c>
    </row>
    <row r="100" spans="1:31" x14ac:dyDescent="0.25">
      <c r="A100" s="2"/>
      <c r="B100" s="2"/>
      <c r="C100" s="2"/>
      <c r="D100" s="2" t="str">
        <f>IF(ISBLANK(C100),"",VLOOKUP(C100,configuration!$G$7:$H$10,2,FALSE))</f>
        <v/>
      </c>
      <c r="E100" s="2"/>
      <c r="F100" s="2"/>
      <c r="G100" s="2"/>
      <c r="H100" s="2" t="str">
        <f>IF(ISBLANK(G100),"",VLOOKUP(G100,configuration!$J$7:$K$10,2,FALSE))</f>
        <v/>
      </c>
      <c r="I100" s="30"/>
      <c r="J100" s="2"/>
      <c r="K100" s="31"/>
      <c r="L100" s="35"/>
      <c r="M100" s="2" t="str">
        <f>IF(ISBLANK(L100),"",VLOOKUP(L100,configuration!$M$7:$N$10,2,FALSE))</f>
        <v/>
      </c>
      <c r="N100" s="30"/>
      <c r="O100" s="2"/>
      <c r="P100" s="31"/>
      <c r="Q100" s="54"/>
      <c r="R100" s="55" t="str">
        <f>IF(ISBLANK(Q100),"",VLOOKUP(Q100,configuration!$P$7:$Q$10,2,FALSE))</f>
        <v/>
      </c>
      <c r="S100" s="56"/>
      <c r="T100" s="55"/>
      <c r="U100" s="78"/>
      <c r="V100" s="76" t="str">
        <f t="shared" si="8"/>
        <v/>
      </c>
      <c r="W100" s="48" t="str">
        <f t="shared" si="8"/>
        <v/>
      </c>
      <c r="X100" s="48" t="str">
        <f t="shared" si="8"/>
        <v/>
      </c>
      <c r="Y100" s="48" t="str">
        <f t="shared" si="8"/>
        <v/>
      </c>
      <c r="Z100" s="49" t="str">
        <f t="shared" si="6"/>
        <v/>
      </c>
      <c r="AA100" s="50" t="str">
        <f t="shared" si="9"/>
        <v/>
      </c>
      <c r="AB100" s="48" t="str">
        <f t="shared" si="9"/>
        <v/>
      </c>
      <c r="AC100" s="48" t="str">
        <f t="shared" si="9"/>
        <v/>
      </c>
      <c r="AD100" s="48" t="str">
        <f t="shared" si="9"/>
        <v/>
      </c>
      <c r="AE100" s="48" t="str">
        <f t="shared" si="7"/>
        <v/>
      </c>
    </row>
    <row r="101" spans="1:31" x14ac:dyDescent="0.25">
      <c r="A101" s="2"/>
      <c r="B101" s="2"/>
      <c r="C101" s="2"/>
      <c r="D101" s="2" t="str">
        <f>IF(ISBLANK(C101),"",VLOOKUP(C101,configuration!$G$7:$H$10,2,FALSE))</f>
        <v/>
      </c>
      <c r="E101" s="2"/>
      <c r="F101" s="2"/>
      <c r="G101" s="2"/>
      <c r="H101" s="2" t="str">
        <f>IF(ISBLANK(G101),"",VLOOKUP(G101,configuration!$J$7:$K$10,2,FALSE))</f>
        <v/>
      </c>
      <c r="I101" s="30"/>
      <c r="J101" s="2"/>
      <c r="K101" s="31"/>
      <c r="L101" s="35"/>
      <c r="M101" s="2" t="str">
        <f>IF(ISBLANK(L101),"",VLOOKUP(L101,configuration!$M$7:$N$10,2,FALSE))</f>
        <v/>
      </c>
      <c r="N101" s="30"/>
      <c r="O101" s="2"/>
      <c r="P101" s="31"/>
      <c r="Q101" s="54"/>
      <c r="R101" s="55" t="str">
        <f>IF(ISBLANK(Q101),"",VLOOKUP(Q101,configuration!$P$7:$Q$10,2,FALSE))</f>
        <v/>
      </c>
      <c r="S101" s="56"/>
      <c r="T101" s="55"/>
      <c r="U101" s="78"/>
      <c r="V101" s="76" t="str">
        <f t="shared" si="8"/>
        <v/>
      </c>
      <c r="W101" s="48" t="str">
        <f t="shared" si="8"/>
        <v/>
      </c>
      <c r="X101" s="48" t="str">
        <f t="shared" si="8"/>
        <v/>
      </c>
      <c r="Y101" s="48" t="str">
        <f t="shared" si="8"/>
        <v/>
      </c>
      <c r="Z101" s="49" t="str">
        <f t="shared" si="6"/>
        <v/>
      </c>
      <c r="AA101" s="50" t="str">
        <f t="shared" si="9"/>
        <v/>
      </c>
      <c r="AB101" s="48" t="str">
        <f t="shared" si="9"/>
        <v/>
      </c>
      <c r="AC101" s="48" t="str">
        <f t="shared" si="9"/>
        <v/>
      </c>
      <c r="AD101" s="48" t="str">
        <f t="shared" si="9"/>
        <v/>
      </c>
      <c r="AE101" s="48" t="str">
        <f t="shared" si="7"/>
        <v/>
      </c>
    </row>
    <row r="102" spans="1:31" x14ac:dyDescent="0.25">
      <c r="A102" s="2"/>
      <c r="B102" s="2"/>
      <c r="C102" s="2"/>
      <c r="D102" s="2" t="str">
        <f>IF(ISBLANK(C102),"",VLOOKUP(C102,configuration!$G$7:$H$10,2,FALSE))</f>
        <v/>
      </c>
      <c r="E102" s="2"/>
      <c r="F102" s="2"/>
      <c r="G102" s="2"/>
      <c r="H102" s="2" t="str">
        <f>IF(ISBLANK(G102),"",VLOOKUP(G102,configuration!$J$7:$K$10,2,FALSE))</f>
        <v/>
      </c>
      <c r="I102" s="30"/>
      <c r="J102" s="2"/>
      <c r="K102" s="31"/>
      <c r="L102" s="35"/>
      <c r="M102" s="2" t="str">
        <f>IF(ISBLANK(L102),"",VLOOKUP(L102,configuration!$M$7:$N$10,2,FALSE))</f>
        <v/>
      </c>
      <c r="N102" s="30"/>
      <c r="O102" s="2"/>
      <c r="P102" s="31"/>
      <c r="Q102" s="54"/>
      <c r="R102" s="55" t="str">
        <f>IF(ISBLANK(Q102),"",VLOOKUP(Q102,configuration!$P$7:$Q$10,2,FALSE))</f>
        <v/>
      </c>
      <c r="S102" s="56"/>
      <c r="T102" s="55"/>
      <c r="U102" s="78"/>
      <c r="V102" s="76" t="str">
        <f t="shared" si="8"/>
        <v/>
      </c>
      <c r="W102" s="48" t="str">
        <f t="shared" si="8"/>
        <v/>
      </c>
      <c r="X102" s="48" t="str">
        <f t="shared" si="8"/>
        <v/>
      </c>
      <c r="Y102" s="48" t="str">
        <f t="shared" si="8"/>
        <v/>
      </c>
      <c r="Z102" s="49" t="str">
        <f t="shared" si="6"/>
        <v/>
      </c>
      <c r="AA102" s="50" t="str">
        <f t="shared" si="9"/>
        <v/>
      </c>
      <c r="AB102" s="48" t="str">
        <f t="shared" si="9"/>
        <v/>
      </c>
      <c r="AC102" s="48" t="str">
        <f t="shared" si="9"/>
        <v/>
      </c>
      <c r="AD102" s="48" t="str">
        <f t="shared" si="9"/>
        <v/>
      </c>
      <c r="AE102" s="48" t="str">
        <f t="shared" si="7"/>
        <v/>
      </c>
    </row>
    <row r="103" spans="1:31" x14ac:dyDescent="0.25">
      <c r="A103" s="2"/>
      <c r="B103" s="2"/>
      <c r="C103" s="2"/>
      <c r="D103" s="2" t="str">
        <f>IF(ISBLANK(C103),"",VLOOKUP(C103,configuration!$G$7:$H$10,2,FALSE))</f>
        <v/>
      </c>
      <c r="E103" s="2"/>
      <c r="F103" s="2"/>
      <c r="G103" s="2"/>
      <c r="H103" s="2" t="str">
        <f>IF(ISBLANK(G103),"",VLOOKUP(G103,configuration!$J$7:$K$10,2,FALSE))</f>
        <v/>
      </c>
      <c r="I103" s="30"/>
      <c r="J103" s="2"/>
      <c r="K103" s="31"/>
      <c r="L103" s="35"/>
      <c r="M103" s="2" t="str">
        <f>IF(ISBLANK(L103),"",VLOOKUP(L103,configuration!$M$7:$N$10,2,FALSE))</f>
        <v/>
      </c>
      <c r="N103" s="30"/>
      <c r="O103" s="2"/>
      <c r="P103" s="31"/>
      <c r="Q103" s="54"/>
      <c r="R103" s="55" t="str">
        <f>IF(ISBLANK(Q103),"",VLOOKUP(Q103,configuration!$P$7:$Q$10,2,FALSE))</f>
        <v/>
      </c>
      <c r="S103" s="56"/>
      <c r="T103" s="55"/>
      <c r="U103" s="78"/>
      <c r="V103" s="76" t="str">
        <f t="shared" si="8"/>
        <v/>
      </c>
      <c r="W103" s="48" t="str">
        <f t="shared" si="8"/>
        <v/>
      </c>
      <c r="X103" s="48" t="str">
        <f t="shared" si="8"/>
        <v/>
      </c>
      <c r="Y103" s="48" t="str">
        <f t="shared" si="8"/>
        <v/>
      </c>
      <c r="Z103" s="49" t="str">
        <f t="shared" si="6"/>
        <v/>
      </c>
      <c r="AA103" s="50" t="str">
        <f t="shared" si="9"/>
        <v/>
      </c>
      <c r="AB103" s="48" t="str">
        <f t="shared" si="9"/>
        <v/>
      </c>
      <c r="AC103" s="48" t="str">
        <f t="shared" si="9"/>
        <v/>
      </c>
      <c r="AD103" s="48" t="str">
        <f t="shared" si="9"/>
        <v/>
      </c>
      <c r="AE103" s="48" t="str">
        <f t="shared" si="7"/>
        <v/>
      </c>
    </row>
    <row r="104" spans="1:31" x14ac:dyDescent="0.25">
      <c r="A104" s="2"/>
      <c r="B104" s="2"/>
      <c r="C104" s="2"/>
      <c r="D104" s="2" t="str">
        <f>IF(ISBLANK(C104),"",VLOOKUP(C104,configuration!$G$7:$H$10,2,FALSE))</f>
        <v/>
      </c>
      <c r="E104" s="2"/>
      <c r="F104" s="2"/>
      <c r="G104" s="2"/>
      <c r="H104" s="2" t="str">
        <f>IF(ISBLANK(G104),"",VLOOKUP(G104,configuration!$J$7:$K$10,2,FALSE))</f>
        <v/>
      </c>
      <c r="I104" s="30"/>
      <c r="J104" s="2"/>
      <c r="K104" s="31"/>
      <c r="L104" s="35"/>
      <c r="M104" s="2" t="str">
        <f>IF(ISBLANK(L104),"",VLOOKUP(L104,configuration!$M$7:$N$10,2,FALSE))</f>
        <v/>
      </c>
      <c r="N104" s="30"/>
      <c r="O104" s="2"/>
      <c r="P104" s="31"/>
      <c r="Q104" s="54"/>
      <c r="R104" s="55" t="str">
        <f>IF(ISBLANK(Q104),"",VLOOKUP(Q104,configuration!$P$7:$Q$10,2,FALSE))</f>
        <v/>
      </c>
      <c r="S104" s="56"/>
      <c r="T104" s="55"/>
      <c r="U104" s="78"/>
      <c r="V104" s="76" t="str">
        <f t="shared" si="8"/>
        <v/>
      </c>
      <c r="W104" s="48" t="str">
        <f t="shared" si="8"/>
        <v/>
      </c>
      <c r="X104" s="48" t="str">
        <f t="shared" si="8"/>
        <v/>
      </c>
      <c r="Y104" s="48" t="str">
        <f t="shared" si="8"/>
        <v/>
      </c>
      <c r="Z104" s="49" t="str">
        <f t="shared" si="6"/>
        <v/>
      </c>
      <c r="AA104" s="50" t="str">
        <f t="shared" si="9"/>
        <v/>
      </c>
      <c r="AB104" s="48" t="str">
        <f t="shared" si="9"/>
        <v/>
      </c>
      <c r="AC104" s="48" t="str">
        <f t="shared" si="9"/>
        <v/>
      </c>
      <c r="AD104" s="48" t="str">
        <f t="shared" si="9"/>
        <v/>
      </c>
      <c r="AE104" s="48" t="str">
        <f t="shared" si="7"/>
        <v/>
      </c>
    </row>
    <row r="105" spans="1:31" x14ac:dyDescent="0.25">
      <c r="A105" s="2"/>
      <c r="B105" s="2"/>
      <c r="C105" s="2"/>
      <c r="D105" s="2" t="str">
        <f>IF(ISBLANK(C105),"",VLOOKUP(C105,configuration!$G$7:$H$10,2,FALSE))</f>
        <v/>
      </c>
      <c r="E105" s="2"/>
      <c r="F105" s="2"/>
      <c r="G105" s="2"/>
      <c r="H105" s="2" t="str">
        <f>IF(ISBLANK(G105),"",VLOOKUP(G105,configuration!$J$7:$K$10,2,FALSE))</f>
        <v/>
      </c>
      <c r="I105" s="30"/>
      <c r="J105" s="2"/>
      <c r="K105" s="31"/>
      <c r="L105" s="35"/>
      <c r="M105" s="2" t="str">
        <f>IF(ISBLANK(L105),"",VLOOKUP(L105,configuration!$M$7:$N$10,2,FALSE))</f>
        <v/>
      </c>
      <c r="N105" s="30"/>
      <c r="O105" s="2"/>
      <c r="P105" s="31"/>
      <c r="Q105" s="54"/>
      <c r="R105" s="55" t="str">
        <f>IF(ISBLANK(Q105),"",VLOOKUP(Q105,configuration!$P$7:$Q$10,2,FALSE))</f>
        <v/>
      </c>
      <c r="S105" s="56"/>
      <c r="T105" s="55"/>
      <c r="U105" s="78"/>
      <c r="V105" s="76" t="str">
        <f t="shared" si="8"/>
        <v/>
      </c>
      <c r="W105" s="48" t="str">
        <f t="shared" si="8"/>
        <v/>
      </c>
      <c r="X105" s="48" t="str">
        <f t="shared" si="8"/>
        <v/>
      </c>
      <c r="Y105" s="48" t="str">
        <f t="shared" si="8"/>
        <v/>
      </c>
      <c r="Z105" s="49" t="str">
        <f t="shared" si="6"/>
        <v/>
      </c>
      <c r="AA105" s="50" t="str">
        <f t="shared" si="9"/>
        <v/>
      </c>
      <c r="AB105" s="48" t="str">
        <f t="shared" si="9"/>
        <v/>
      </c>
      <c r="AC105" s="48" t="str">
        <f t="shared" si="9"/>
        <v/>
      </c>
      <c r="AD105" s="48" t="str">
        <f t="shared" si="9"/>
        <v/>
      </c>
      <c r="AE105" s="48" t="str">
        <f t="shared" si="7"/>
        <v/>
      </c>
    </row>
    <row r="106" spans="1:31" x14ac:dyDescent="0.25">
      <c r="A106" s="2"/>
      <c r="B106" s="2"/>
      <c r="C106" s="2"/>
      <c r="D106" s="2" t="str">
        <f>IF(ISBLANK(C106),"",VLOOKUP(C106,configuration!$G$7:$H$10,2,FALSE))</f>
        <v/>
      </c>
      <c r="E106" s="2"/>
      <c r="F106" s="2"/>
      <c r="G106" s="2"/>
      <c r="H106" s="2" t="str">
        <f>IF(ISBLANK(G106),"",VLOOKUP(G106,configuration!$J$7:$K$10,2,FALSE))</f>
        <v/>
      </c>
      <c r="I106" s="30"/>
      <c r="J106" s="2"/>
      <c r="K106" s="31"/>
      <c r="L106" s="35"/>
      <c r="M106" s="2" t="str">
        <f>IF(ISBLANK(L106),"",VLOOKUP(L106,configuration!$M$7:$N$10,2,FALSE))</f>
        <v/>
      </c>
      <c r="N106" s="30"/>
      <c r="O106" s="2"/>
      <c r="P106" s="31"/>
      <c r="Q106" s="54"/>
      <c r="R106" s="55" t="str">
        <f>IF(ISBLANK(Q106),"",VLOOKUP(Q106,configuration!$P$7:$Q$10,2,FALSE))</f>
        <v/>
      </c>
      <c r="S106" s="56"/>
      <c r="T106" s="55"/>
      <c r="U106" s="78"/>
      <c r="V106" s="76" t="str">
        <f t="shared" si="8"/>
        <v/>
      </c>
      <c r="W106" s="48" t="str">
        <f t="shared" si="8"/>
        <v/>
      </c>
      <c r="X106" s="48" t="str">
        <f t="shared" si="8"/>
        <v/>
      </c>
      <c r="Y106" s="48" t="str">
        <f t="shared" si="8"/>
        <v/>
      </c>
      <c r="Z106" s="49" t="str">
        <f t="shared" si="6"/>
        <v/>
      </c>
      <c r="AA106" s="50" t="str">
        <f t="shared" si="9"/>
        <v/>
      </c>
      <c r="AB106" s="48" t="str">
        <f t="shared" si="9"/>
        <v/>
      </c>
      <c r="AC106" s="48" t="str">
        <f t="shared" si="9"/>
        <v/>
      </c>
      <c r="AD106" s="48" t="str">
        <f t="shared" si="9"/>
        <v/>
      </c>
      <c r="AE106" s="48" t="str">
        <f t="shared" si="7"/>
        <v/>
      </c>
    </row>
    <row r="107" spans="1:31" x14ac:dyDescent="0.25">
      <c r="A107" s="2"/>
      <c r="B107" s="2"/>
      <c r="C107" s="2"/>
      <c r="D107" s="2" t="str">
        <f>IF(ISBLANK(C107),"",VLOOKUP(C107,configuration!$G$7:$H$10,2,FALSE))</f>
        <v/>
      </c>
      <c r="E107" s="2"/>
      <c r="F107" s="2"/>
      <c r="G107" s="2"/>
      <c r="H107" s="2" t="str">
        <f>IF(ISBLANK(G107),"",VLOOKUP(G107,configuration!$J$7:$K$10,2,FALSE))</f>
        <v/>
      </c>
      <c r="I107" s="30"/>
      <c r="J107" s="2"/>
      <c r="K107" s="31"/>
      <c r="L107" s="35"/>
      <c r="M107" s="2" t="str">
        <f>IF(ISBLANK(L107),"",VLOOKUP(L107,configuration!$M$7:$N$10,2,FALSE))</f>
        <v/>
      </c>
      <c r="N107" s="30"/>
      <c r="O107" s="2"/>
      <c r="P107" s="31"/>
      <c r="Q107" s="54"/>
      <c r="R107" s="55" t="str">
        <f>IF(ISBLANK(Q107),"",VLOOKUP(Q107,configuration!$P$7:$Q$10,2,FALSE))</f>
        <v/>
      </c>
      <c r="S107" s="56"/>
      <c r="T107" s="55"/>
      <c r="U107" s="78"/>
      <c r="V107" s="76" t="str">
        <f t="shared" si="8"/>
        <v/>
      </c>
      <c r="W107" s="48" t="str">
        <f t="shared" si="8"/>
        <v/>
      </c>
      <c r="X107" s="48" t="str">
        <f t="shared" si="8"/>
        <v/>
      </c>
      <c r="Y107" s="48" t="str">
        <f t="shared" si="8"/>
        <v/>
      </c>
      <c r="Z107" s="49" t="str">
        <f t="shared" si="6"/>
        <v/>
      </c>
      <c r="AA107" s="50" t="str">
        <f t="shared" si="9"/>
        <v/>
      </c>
      <c r="AB107" s="48" t="str">
        <f t="shared" si="9"/>
        <v/>
      </c>
      <c r="AC107" s="48" t="str">
        <f t="shared" si="9"/>
        <v/>
      </c>
      <c r="AD107" s="48" t="str">
        <f t="shared" si="9"/>
        <v/>
      </c>
      <c r="AE107" s="48" t="str">
        <f t="shared" si="7"/>
        <v/>
      </c>
    </row>
    <row r="108" spans="1:31" x14ac:dyDescent="0.25">
      <c r="A108" s="2"/>
      <c r="B108" s="2"/>
      <c r="C108" s="2"/>
      <c r="D108" s="2" t="str">
        <f>IF(ISBLANK(C108),"",VLOOKUP(C108,configuration!$G$7:$H$10,2,FALSE))</f>
        <v/>
      </c>
      <c r="E108" s="2"/>
      <c r="F108" s="2"/>
      <c r="G108" s="2"/>
      <c r="H108" s="2" t="str">
        <f>IF(ISBLANK(G108),"",VLOOKUP(G108,configuration!$J$7:$K$10,2,FALSE))</f>
        <v/>
      </c>
      <c r="I108" s="30"/>
      <c r="J108" s="2"/>
      <c r="K108" s="31"/>
      <c r="L108" s="35"/>
      <c r="M108" s="2" t="str">
        <f>IF(ISBLANK(L108),"",VLOOKUP(L108,configuration!$M$7:$N$10,2,FALSE))</f>
        <v/>
      </c>
      <c r="N108" s="30"/>
      <c r="O108" s="2"/>
      <c r="P108" s="31"/>
      <c r="Q108" s="54"/>
      <c r="R108" s="55" t="str">
        <f>IF(ISBLANK(Q108),"",VLOOKUP(Q108,configuration!$P$7:$Q$10,2,FALSE))</f>
        <v/>
      </c>
      <c r="S108" s="56"/>
      <c r="T108" s="55"/>
      <c r="U108" s="78"/>
      <c r="V108" s="76" t="str">
        <f t="shared" si="8"/>
        <v/>
      </c>
      <c r="W108" s="48" t="str">
        <f t="shared" si="8"/>
        <v/>
      </c>
      <c r="X108" s="48" t="str">
        <f t="shared" si="8"/>
        <v/>
      </c>
      <c r="Y108" s="48" t="str">
        <f t="shared" si="8"/>
        <v/>
      </c>
      <c r="Z108" s="49" t="str">
        <f t="shared" si="6"/>
        <v/>
      </c>
      <c r="AA108" s="50" t="str">
        <f t="shared" si="9"/>
        <v/>
      </c>
      <c r="AB108" s="48" t="str">
        <f t="shared" si="9"/>
        <v/>
      </c>
      <c r="AC108" s="48" t="str">
        <f t="shared" si="9"/>
        <v/>
      </c>
      <c r="AD108" s="48" t="str">
        <f t="shared" si="9"/>
        <v/>
      </c>
      <c r="AE108" s="48" t="str">
        <f t="shared" si="7"/>
        <v/>
      </c>
    </row>
    <row r="109" spans="1:31" x14ac:dyDescent="0.25">
      <c r="A109" s="2"/>
      <c r="B109" s="2"/>
      <c r="C109" s="2"/>
      <c r="D109" s="2" t="str">
        <f>IF(ISBLANK(C109),"",VLOOKUP(C109,configuration!$G$7:$H$10,2,FALSE))</f>
        <v/>
      </c>
      <c r="E109" s="2"/>
      <c r="F109" s="2"/>
      <c r="G109" s="2"/>
      <c r="H109" s="2" t="str">
        <f>IF(ISBLANK(G109),"",VLOOKUP(G109,configuration!$J$7:$K$10,2,FALSE))</f>
        <v/>
      </c>
      <c r="I109" s="30"/>
      <c r="J109" s="2"/>
      <c r="K109" s="31"/>
      <c r="L109" s="35"/>
      <c r="M109" s="2" t="str">
        <f>IF(ISBLANK(L109),"",VLOOKUP(L109,configuration!$M$7:$N$10,2,FALSE))</f>
        <v/>
      </c>
      <c r="N109" s="30"/>
      <c r="O109" s="2"/>
      <c r="P109" s="31"/>
      <c r="Q109" s="54"/>
      <c r="R109" s="55" t="str">
        <f>IF(ISBLANK(Q109),"",VLOOKUP(Q109,configuration!$P$7:$Q$10,2,FALSE))</f>
        <v/>
      </c>
      <c r="S109" s="56"/>
      <c r="T109" s="55"/>
      <c r="U109" s="78"/>
      <c r="V109" s="76" t="str">
        <f t="shared" si="8"/>
        <v/>
      </c>
      <c r="W109" s="48" t="str">
        <f t="shared" si="8"/>
        <v/>
      </c>
      <c r="X109" s="48" t="str">
        <f t="shared" si="8"/>
        <v/>
      </c>
      <c r="Y109" s="48" t="str">
        <f t="shared" si="8"/>
        <v/>
      </c>
      <c r="Z109" s="49" t="str">
        <f t="shared" si="6"/>
        <v/>
      </c>
      <c r="AA109" s="50" t="str">
        <f t="shared" si="9"/>
        <v/>
      </c>
      <c r="AB109" s="48" t="str">
        <f t="shared" si="9"/>
        <v/>
      </c>
      <c r="AC109" s="48" t="str">
        <f t="shared" si="9"/>
        <v/>
      </c>
      <c r="AD109" s="48" t="str">
        <f t="shared" si="9"/>
        <v/>
      </c>
      <c r="AE109" s="48" t="str">
        <f t="shared" si="7"/>
        <v/>
      </c>
    </row>
    <row r="110" spans="1:31" x14ac:dyDescent="0.25">
      <c r="A110" s="2"/>
      <c r="B110" s="2"/>
      <c r="C110" s="2"/>
      <c r="D110" s="2" t="str">
        <f>IF(ISBLANK(C110),"",VLOOKUP(C110,configuration!$G$7:$H$10,2,FALSE))</f>
        <v/>
      </c>
      <c r="E110" s="2"/>
      <c r="F110" s="2"/>
      <c r="G110" s="2"/>
      <c r="H110" s="2" t="str">
        <f>IF(ISBLANK(G110),"",VLOOKUP(G110,configuration!$J$7:$K$10,2,FALSE))</f>
        <v/>
      </c>
      <c r="I110" s="30"/>
      <c r="J110" s="2"/>
      <c r="K110" s="31"/>
      <c r="L110" s="35"/>
      <c r="M110" s="2" t="str">
        <f>IF(ISBLANK(L110),"",VLOOKUP(L110,configuration!$M$7:$N$10,2,FALSE))</f>
        <v/>
      </c>
      <c r="N110" s="30"/>
      <c r="O110" s="2"/>
      <c r="P110" s="31"/>
      <c r="Q110" s="54"/>
      <c r="R110" s="55" t="str">
        <f>IF(ISBLANK(Q110),"",VLOOKUP(Q110,configuration!$P$7:$Q$10,2,FALSE))</f>
        <v/>
      </c>
      <c r="S110" s="56"/>
      <c r="T110" s="55"/>
      <c r="U110" s="78"/>
      <c r="V110" s="76" t="str">
        <f t="shared" si="8"/>
        <v/>
      </c>
      <c r="W110" s="48" t="str">
        <f t="shared" si="8"/>
        <v/>
      </c>
      <c r="X110" s="48" t="str">
        <f t="shared" si="8"/>
        <v/>
      </c>
      <c r="Y110" s="48" t="str">
        <f t="shared" si="8"/>
        <v/>
      </c>
      <c r="Z110" s="49" t="str">
        <f t="shared" si="6"/>
        <v/>
      </c>
      <c r="AA110" s="50" t="str">
        <f t="shared" si="9"/>
        <v/>
      </c>
      <c r="AB110" s="48" t="str">
        <f t="shared" si="9"/>
        <v/>
      </c>
      <c r="AC110" s="48" t="str">
        <f t="shared" si="9"/>
        <v/>
      </c>
      <c r="AD110" s="48" t="str">
        <f t="shared" si="9"/>
        <v/>
      </c>
      <c r="AE110" s="48" t="str">
        <f t="shared" si="7"/>
        <v/>
      </c>
    </row>
    <row r="111" spans="1:31" x14ac:dyDescent="0.25">
      <c r="A111" s="2"/>
      <c r="B111" s="2"/>
      <c r="C111" s="2"/>
      <c r="D111" s="2" t="str">
        <f>IF(ISBLANK(C111),"",VLOOKUP(C111,configuration!$G$7:$H$10,2,FALSE))</f>
        <v/>
      </c>
      <c r="E111" s="2"/>
      <c r="F111" s="2"/>
      <c r="G111" s="2"/>
      <c r="H111" s="2" t="str">
        <f>IF(ISBLANK(G111),"",VLOOKUP(G111,configuration!$J$7:$K$10,2,FALSE))</f>
        <v/>
      </c>
      <c r="I111" s="30"/>
      <c r="J111" s="2"/>
      <c r="K111" s="31"/>
      <c r="L111" s="35"/>
      <c r="M111" s="2" t="str">
        <f>IF(ISBLANK(L111),"",VLOOKUP(L111,configuration!$M$7:$N$10,2,FALSE))</f>
        <v/>
      </c>
      <c r="N111" s="30"/>
      <c r="O111" s="2"/>
      <c r="P111" s="31"/>
      <c r="Q111" s="54"/>
      <c r="R111" s="55" t="str">
        <f>IF(ISBLANK(Q111),"",VLOOKUP(Q111,configuration!$P$7:$Q$10,2,FALSE))</f>
        <v/>
      </c>
      <c r="S111" s="56"/>
      <c r="T111" s="55"/>
      <c r="U111" s="78"/>
      <c r="V111" s="76" t="str">
        <f t="shared" si="8"/>
        <v/>
      </c>
      <c r="W111" s="48" t="str">
        <f t="shared" si="8"/>
        <v/>
      </c>
      <c r="X111" s="48" t="str">
        <f t="shared" si="8"/>
        <v/>
      </c>
      <c r="Y111" s="48" t="str">
        <f t="shared" si="8"/>
        <v/>
      </c>
      <c r="Z111" s="49" t="str">
        <f t="shared" si="6"/>
        <v/>
      </c>
      <c r="AA111" s="50" t="str">
        <f t="shared" si="9"/>
        <v/>
      </c>
      <c r="AB111" s="48" t="str">
        <f t="shared" si="9"/>
        <v/>
      </c>
      <c r="AC111" s="48" t="str">
        <f t="shared" si="9"/>
        <v/>
      </c>
      <c r="AD111" s="48" t="str">
        <f t="shared" si="9"/>
        <v/>
      </c>
      <c r="AE111" s="48" t="str">
        <f t="shared" si="7"/>
        <v/>
      </c>
    </row>
    <row r="112" spans="1:31" x14ac:dyDescent="0.25">
      <c r="A112" s="2"/>
      <c r="B112" s="2"/>
      <c r="C112" s="2"/>
      <c r="D112" s="2" t="str">
        <f>IF(ISBLANK(C112),"",VLOOKUP(C112,configuration!$G$7:$H$10,2,FALSE))</f>
        <v/>
      </c>
      <c r="E112" s="2"/>
      <c r="F112" s="2"/>
      <c r="G112" s="2"/>
      <c r="H112" s="2" t="str">
        <f>IF(ISBLANK(G112),"",VLOOKUP(G112,configuration!$J$7:$K$10,2,FALSE))</f>
        <v/>
      </c>
      <c r="I112" s="30"/>
      <c r="J112" s="2"/>
      <c r="K112" s="31"/>
      <c r="L112" s="35"/>
      <c r="M112" s="2" t="str">
        <f>IF(ISBLANK(L112),"",VLOOKUP(L112,configuration!$M$7:$N$10,2,FALSE))</f>
        <v/>
      </c>
      <c r="N112" s="30"/>
      <c r="O112" s="2"/>
      <c r="P112" s="31"/>
      <c r="Q112" s="54"/>
      <c r="R112" s="55" t="str">
        <f>IF(ISBLANK(Q112),"",VLOOKUP(Q112,configuration!$P$7:$Q$10,2,FALSE))</f>
        <v/>
      </c>
      <c r="S112" s="56"/>
      <c r="T112" s="55"/>
      <c r="U112" s="78"/>
      <c r="V112" s="76" t="str">
        <f t="shared" si="8"/>
        <v/>
      </c>
      <c r="W112" s="48" t="str">
        <f t="shared" si="8"/>
        <v/>
      </c>
      <c r="X112" s="48" t="str">
        <f t="shared" si="8"/>
        <v/>
      </c>
      <c r="Y112" s="48" t="str">
        <f t="shared" si="8"/>
        <v/>
      </c>
      <c r="Z112" s="49" t="str">
        <f t="shared" si="6"/>
        <v/>
      </c>
      <c r="AA112" s="50" t="str">
        <f t="shared" si="9"/>
        <v/>
      </c>
      <c r="AB112" s="48" t="str">
        <f t="shared" si="9"/>
        <v/>
      </c>
      <c r="AC112" s="48" t="str">
        <f t="shared" si="9"/>
        <v/>
      </c>
      <c r="AD112" s="48" t="str">
        <f t="shared" si="9"/>
        <v/>
      </c>
      <c r="AE112" s="48" t="str">
        <f t="shared" si="7"/>
        <v/>
      </c>
    </row>
    <row r="113" spans="1:31" x14ac:dyDescent="0.25">
      <c r="A113" s="2"/>
      <c r="B113" s="2"/>
      <c r="C113" s="2"/>
      <c r="D113" s="2" t="str">
        <f>IF(ISBLANK(C113),"",VLOOKUP(C113,configuration!$G$7:$H$10,2,FALSE))</f>
        <v/>
      </c>
      <c r="E113" s="2"/>
      <c r="F113" s="2"/>
      <c r="G113" s="2"/>
      <c r="H113" s="2" t="str">
        <f>IF(ISBLANK(G113),"",VLOOKUP(G113,configuration!$J$7:$K$10,2,FALSE))</f>
        <v/>
      </c>
      <c r="I113" s="30"/>
      <c r="J113" s="2"/>
      <c r="K113" s="31"/>
      <c r="L113" s="35"/>
      <c r="M113" s="2" t="str">
        <f>IF(ISBLANK(L113),"",VLOOKUP(L113,configuration!$M$7:$N$10,2,FALSE))</f>
        <v/>
      </c>
      <c r="N113" s="30"/>
      <c r="O113" s="2"/>
      <c r="P113" s="31"/>
      <c r="Q113" s="54"/>
      <c r="R113" s="55" t="str">
        <f>IF(ISBLANK(Q113),"",VLOOKUP(Q113,configuration!$P$7:$Q$10,2,FALSE))</f>
        <v/>
      </c>
      <c r="S113" s="56"/>
      <c r="T113" s="55"/>
      <c r="U113" s="78"/>
      <c r="V113" s="76" t="str">
        <f t="shared" si="8"/>
        <v/>
      </c>
      <c r="W113" s="48" t="str">
        <f t="shared" si="8"/>
        <v/>
      </c>
      <c r="X113" s="48" t="str">
        <f t="shared" si="8"/>
        <v/>
      </c>
      <c r="Y113" s="48" t="str">
        <f t="shared" si="8"/>
        <v/>
      </c>
      <c r="Z113" s="49" t="str">
        <f t="shared" si="6"/>
        <v/>
      </c>
      <c r="AA113" s="50" t="str">
        <f t="shared" si="9"/>
        <v/>
      </c>
      <c r="AB113" s="48" t="str">
        <f t="shared" si="9"/>
        <v/>
      </c>
      <c r="AC113" s="48" t="str">
        <f t="shared" si="9"/>
        <v/>
      </c>
      <c r="AD113" s="48" t="str">
        <f t="shared" si="9"/>
        <v/>
      </c>
      <c r="AE113" s="48" t="str">
        <f t="shared" si="7"/>
        <v/>
      </c>
    </row>
    <row r="114" spans="1:31" x14ac:dyDescent="0.25">
      <c r="A114" s="2"/>
      <c r="B114" s="2"/>
      <c r="C114" s="2"/>
      <c r="D114" s="2" t="str">
        <f>IF(ISBLANK(C114),"",VLOOKUP(C114,configuration!$G$7:$H$10,2,FALSE))</f>
        <v/>
      </c>
      <c r="E114" s="2"/>
      <c r="F114" s="2"/>
      <c r="G114" s="2"/>
      <c r="H114" s="2" t="str">
        <f>IF(ISBLANK(G114),"",VLOOKUP(G114,configuration!$J$7:$K$10,2,FALSE))</f>
        <v/>
      </c>
      <c r="I114" s="30"/>
      <c r="J114" s="2"/>
      <c r="K114" s="31"/>
      <c r="L114" s="35"/>
      <c r="M114" s="2" t="str">
        <f>IF(ISBLANK(L114),"",VLOOKUP(L114,configuration!$M$7:$N$10,2,FALSE))</f>
        <v/>
      </c>
      <c r="N114" s="30"/>
      <c r="O114" s="2"/>
      <c r="P114" s="31"/>
      <c r="Q114" s="54"/>
      <c r="R114" s="55" t="str">
        <f>IF(ISBLANK(Q114),"",VLOOKUP(Q114,configuration!$P$7:$Q$10,2,FALSE))</f>
        <v/>
      </c>
      <c r="S114" s="56"/>
      <c r="T114" s="55"/>
      <c r="U114" s="78"/>
      <c r="V114" s="76" t="str">
        <f t="shared" si="8"/>
        <v/>
      </c>
      <c r="W114" s="48" t="str">
        <f t="shared" si="8"/>
        <v/>
      </c>
      <c r="X114" s="48" t="str">
        <f t="shared" si="8"/>
        <v/>
      </c>
      <c r="Y114" s="48" t="str">
        <f t="shared" si="8"/>
        <v/>
      </c>
      <c r="Z114" s="49" t="str">
        <f t="shared" si="6"/>
        <v/>
      </c>
      <c r="AA114" s="50" t="str">
        <f t="shared" si="9"/>
        <v/>
      </c>
      <c r="AB114" s="48" t="str">
        <f t="shared" si="9"/>
        <v/>
      </c>
      <c r="AC114" s="48" t="str">
        <f t="shared" si="9"/>
        <v/>
      </c>
      <c r="AD114" s="48" t="str">
        <f t="shared" si="9"/>
        <v/>
      </c>
      <c r="AE114" s="48" t="str">
        <f t="shared" si="7"/>
        <v/>
      </c>
    </row>
    <row r="115" spans="1:31" x14ac:dyDescent="0.25">
      <c r="A115" s="2"/>
      <c r="B115" s="2"/>
      <c r="C115" s="2"/>
      <c r="D115" s="2" t="str">
        <f>IF(ISBLANK(C115),"",VLOOKUP(C115,configuration!$G$7:$H$10,2,FALSE))</f>
        <v/>
      </c>
      <c r="E115" s="2"/>
      <c r="F115" s="2"/>
      <c r="G115" s="2"/>
      <c r="H115" s="2" t="str">
        <f>IF(ISBLANK(G115),"",VLOOKUP(G115,configuration!$J$7:$K$10,2,FALSE))</f>
        <v/>
      </c>
      <c r="I115" s="30"/>
      <c r="J115" s="2"/>
      <c r="K115" s="31"/>
      <c r="L115" s="35"/>
      <c r="M115" s="2" t="str">
        <f>IF(ISBLANK(L115),"",VLOOKUP(L115,configuration!$M$7:$N$10,2,FALSE))</f>
        <v/>
      </c>
      <c r="N115" s="30"/>
      <c r="O115" s="2"/>
      <c r="P115" s="31"/>
      <c r="Q115" s="54"/>
      <c r="R115" s="55" t="str">
        <f>IF(ISBLANK(Q115),"",VLOOKUP(Q115,configuration!$P$7:$Q$10,2,FALSE))</f>
        <v/>
      </c>
      <c r="S115" s="56"/>
      <c r="T115" s="55"/>
      <c r="U115" s="78"/>
      <c r="V115" s="76" t="str">
        <f t="shared" si="8"/>
        <v/>
      </c>
      <c r="W115" s="48" t="str">
        <f t="shared" si="8"/>
        <v/>
      </c>
      <c r="X115" s="48" t="str">
        <f t="shared" si="8"/>
        <v/>
      </c>
      <c r="Y115" s="48" t="str">
        <f t="shared" si="8"/>
        <v/>
      </c>
      <c r="Z115" s="49" t="str">
        <f t="shared" si="6"/>
        <v/>
      </c>
      <c r="AA115" s="50" t="str">
        <f t="shared" si="9"/>
        <v/>
      </c>
      <c r="AB115" s="48" t="str">
        <f t="shared" si="9"/>
        <v/>
      </c>
      <c r="AC115" s="48" t="str">
        <f t="shared" si="9"/>
        <v/>
      </c>
      <c r="AD115" s="48" t="str">
        <f t="shared" si="9"/>
        <v/>
      </c>
      <c r="AE115" s="48" t="str">
        <f t="shared" si="7"/>
        <v/>
      </c>
    </row>
    <row r="116" spans="1:31" x14ac:dyDescent="0.25">
      <c r="A116" s="2"/>
      <c r="B116" s="2"/>
      <c r="C116" s="2"/>
      <c r="D116" s="2" t="str">
        <f>IF(ISBLANK(C116),"",VLOOKUP(C116,configuration!$G$7:$H$10,2,FALSE))</f>
        <v/>
      </c>
      <c r="E116" s="2"/>
      <c r="F116" s="2"/>
      <c r="G116" s="2"/>
      <c r="H116" s="2" t="str">
        <f>IF(ISBLANK(G116),"",VLOOKUP(G116,configuration!$J$7:$K$10,2,FALSE))</f>
        <v/>
      </c>
      <c r="I116" s="30"/>
      <c r="J116" s="2"/>
      <c r="K116" s="31"/>
      <c r="L116" s="35"/>
      <c r="M116" s="2" t="str">
        <f>IF(ISBLANK(L116),"",VLOOKUP(L116,configuration!$M$7:$N$10,2,FALSE))</f>
        <v/>
      </c>
      <c r="N116" s="30"/>
      <c r="O116" s="2"/>
      <c r="P116" s="31"/>
      <c r="Q116" s="54"/>
      <c r="R116" s="55" t="str">
        <f>IF(ISBLANK(Q116),"",VLOOKUP(Q116,configuration!$P$7:$Q$10,2,FALSE))</f>
        <v/>
      </c>
      <c r="S116" s="56"/>
      <c r="T116" s="55"/>
      <c r="U116" s="78"/>
      <c r="V116" s="76" t="str">
        <f t="shared" si="8"/>
        <v/>
      </c>
      <c r="W116" s="48" t="str">
        <f t="shared" si="8"/>
        <v/>
      </c>
      <c r="X116" s="48" t="str">
        <f t="shared" si="8"/>
        <v/>
      </c>
      <c r="Y116" s="48" t="str">
        <f t="shared" si="8"/>
        <v/>
      </c>
      <c r="Z116" s="49" t="str">
        <f t="shared" si="6"/>
        <v/>
      </c>
      <c r="AA116" s="50" t="str">
        <f t="shared" si="9"/>
        <v/>
      </c>
      <c r="AB116" s="48" t="str">
        <f t="shared" si="9"/>
        <v/>
      </c>
      <c r="AC116" s="48" t="str">
        <f t="shared" si="9"/>
        <v/>
      </c>
      <c r="AD116" s="48" t="str">
        <f t="shared" si="9"/>
        <v/>
      </c>
      <c r="AE116" s="48" t="str">
        <f t="shared" si="7"/>
        <v/>
      </c>
    </row>
    <row r="117" spans="1:31" x14ac:dyDescent="0.25">
      <c r="A117" s="2"/>
      <c r="B117" s="2"/>
      <c r="C117" s="2"/>
      <c r="D117" s="2" t="str">
        <f>IF(ISBLANK(C117),"",VLOOKUP(C117,configuration!$G$7:$H$10,2,FALSE))</f>
        <v/>
      </c>
      <c r="E117" s="2"/>
      <c r="F117" s="2"/>
      <c r="G117" s="2"/>
      <c r="H117" s="2" t="str">
        <f>IF(ISBLANK(G117),"",VLOOKUP(G117,configuration!$J$7:$K$10,2,FALSE))</f>
        <v/>
      </c>
      <c r="I117" s="30"/>
      <c r="J117" s="2"/>
      <c r="K117" s="31"/>
      <c r="L117" s="35"/>
      <c r="M117" s="2" t="str">
        <f>IF(ISBLANK(L117),"",VLOOKUP(L117,configuration!$M$7:$N$10,2,FALSE))</f>
        <v/>
      </c>
      <c r="N117" s="30"/>
      <c r="O117" s="2"/>
      <c r="P117" s="31"/>
      <c r="Q117" s="54"/>
      <c r="R117" s="55" t="str">
        <f>IF(ISBLANK(Q117),"",VLOOKUP(Q117,configuration!$P$7:$Q$10,2,FALSE))</f>
        <v/>
      </c>
      <c r="S117" s="56"/>
      <c r="T117" s="55"/>
      <c r="U117" s="78"/>
      <c r="V117" s="76" t="str">
        <f t="shared" si="8"/>
        <v/>
      </c>
      <c r="W117" s="48" t="str">
        <f t="shared" si="8"/>
        <v/>
      </c>
      <c r="X117" s="48" t="str">
        <f t="shared" si="8"/>
        <v/>
      </c>
      <c r="Y117" s="48" t="str">
        <f t="shared" si="8"/>
        <v/>
      </c>
      <c r="Z117" s="49" t="str">
        <f t="shared" si="6"/>
        <v/>
      </c>
      <c r="AA117" s="50" t="str">
        <f t="shared" si="9"/>
        <v/>
      </c>
      <c r="AB117" s="48" t="str">
        <f t="shared" si="9"/>
        <v/>
      </c>
      <c r="AC117" s="48" t="str">
        <f t="shared" si="9"/>
        <v/>
      </c>
      <c r="AD117" s="48" t="str">
        <f t="shared" si="9"/>
        <v/>
      </c>
      <c r="AE117" s="48" t="str">
        <f t="shared" si="7"/>
        <v/>
      </c>
    </row>
    <row r="118" spans="1:31" x14ac:dyDescent="0.25">
      <c r="A118" s="2"/>
      <c r="B118" s="2"/>
      <c r="C118" s="2"/>
      <c r="D118" s="2" t="str">
        <f>IF(ISBLANK(C118),"",VLOOKUP(C118,configuration!$G$7:$H$10,2,FALSE))</f>
        <v/>
      </c>
      <c r="E118" s="2"/>
      <c r="F118" s="2"/>
      <c r="G118" s="2"/>
      <c r="H118" s="2" t="str">
        <f>IF(ISBLANK(G118),"",VLOOKUP(G118,configuration!$J$7:$K$10,2,FALSE))</f>
        <v/>
      </c>
      <c r="I118" s="30"/>
      <c r="J118" s="2"/>
      <c r="K118" s="31"/>
      <c r="L118" s="35"/>
      <c r="M118" s="2" t="str">
        <f>IF(ISBLANK(L118),"",VLOOKUP(L118,configuration!$M$7:$N$10,2,FALSE))</f>
        <v/>
      </c>
      <c r="N118" s="30"/>
      <c r="O118" s="2"/>
      <c r="P118" s="31"/>
      <c r="Q118" s="54"/>
      <c r="R118" s="55" t="str">
        <f>IF(ISBLANK(Q118),"",VLOOKUP(Q118,configuration!$P$7:$Q$10,2,FALSE))</f>
        <v/>
      </c>
      <c r="S118" s="56"/>
      <c r="T118" s="55"/>
      <c r="U118" s="78"/>
      <c r="V118" s="76" t="str">
        <f t="shared" si="8"/>
        <v/>
      </c>
      <c r="W118" s="48" t="str">
        <f t="shared" si="8"/>
        <v/>
      </c>
      <c r="X118" s="48" t="str">
        <f t="shared" si="8"/>
        <v/>
      </c>
      <c r="Y118" s="48" t="str">
        <f t="shared" si="8"/>
        <v/>
      </c>
      <c r="Z118" s="49" t="str">
        <f t="shared" si="6"/>
        <v/>
      </c>
      <c r="AA118" s="50" t="str">
        <f t="shared" si="9"/>
        <v/>
      </c>
      <c r="AB118" s="48" t="str">
        <f t="shared" si="9"/>
        <v/>
      </c>
      <c r="AC118" s="48" t="str">
        <f t="shared" si="9"/>
        <v/>
      </c>
      <c r="AD118" s="48" t="str">
        <f t="shared" si="9"/>
        <v/>
      </c>
      <c r="AE118" s="48" t="str">
        <f t="shared" si="7"/>
        <v/>
      </c>
    </row>
    <row r="119" spans="1:31" x14ac:dyDescent="0.25">
      <c r="A119" s="2"/>
      <c r="B119" s="2"/>
      <c r="C119" s="2"/>
      <c r="D119" s="2" t="str">
        <f>IF(ISBLANK(C119),"",VLOOKUP(C119,configuration!$G$7:$H$10,2,FALSE))</f>
        <v/>
      </c>
      <c r="E119" s="2"/>
      <c r="F119" s="2"/>
      <c r="G119" s="2"/>
      <c r="H119" s="2" t="str">
        <f>IF(ISBLANK(G119),"",VLOOKUP(G119,configuration!$J$7:$K$10,2,FALSE))</f>
        <v/>
      </c>
      <c r="I119" s="30"/>
      <c r="J119" s="2"/>
      <c r="K119" s="31"/>
      <c r="L119" s="35"/>
      <c r="M119" s="2" t="str">
        <f>IF(ISBLANK(L119),"",VLOOKUP(L119,configuration!$M$7:$N$10,2,FALSE))</f>
        <v/>
      </c>
      <c r="N119" s="30"/>
      <c r="O119" s="2"/>
      <c r="P119" s="31"/>
      <c r="Q119" s="54"/>
      <c r="R119" s="55" t="str">
        <f>IF(ISBLANK(Q119),"",VLOOKUP(Q119,configuration!$P$7:$Q$10,2,FALSE))</f>
        <v/>
      </c>
      <c r="S119" s="56"/>
      <c r="T119" s="55"/>
      <c r="U119" s="78"/>
      <c r="V119" s="76" t="str">
        <f t="shared" si="8"/>
        <v/>
      </c>
      <c r="W119" s="48" t="str">
        <f t="shared" si="8"/>
        <v/>
      </c>
      <c r="X119" s="48" t="str">
        <f t="shared" si="8"/>
        <v/>
      </c>
      <c r="Y119" s="48" t="str">
        <f t="shared" si="8"/>
        <v/>
      </c>
      <c r="Z119" s="49" t="str">
        <f t="shared" si="6"/>
        <v/>
      </c>
      <c r="AA119" s="50" t="str">
        <f t="shared" si="9"/>
        <v/>
      </c>
      <c r="AB119" s="48" t="str">
        <f t="shared" si="9"/>
        <v/>
      </c>
      <c r="AC119" s="48" t="str">
        <f t="shared" si="9"/>
        <v/>
      </c>
      <c r="AD119" s="48" t="str">
        <f t="shared" si="9"/>
        <v/>
      </c>
      <c r="AE119" s="48" t="str">
        <f t="shared" si="7"/>
        <v/>
      </c>
    </row>
    <row r="120" spans="1:31" x14ac:dyDescent="0.25">
      <c r="A120" s="2"/>
      <c r="B120" s="2"/>
      <c r="C120" s="2"/>
      <c r="D120" s="2" t="str">
        <f>IF(ISBLANK(C120),"",VLOOKUP(C120,configuration!$G$7:$H$10,2,FALSE))</f>
        <v/>
      </c>
      <c r="E120" s="2"/>
      <c r="F120" s="2"/>
      <c r="G120" s="2"/>
      <c r="H120" s="2" t="str">
        <f>IF(ISBLANK(G120),"",VLOOKUP(G120,configuration!$J$7:$K$10,2,FALSE))</f>
        <v/>
      </c>
      <c r="I120" s="30"/>
      <c r="J120" s="2"/>
      <c r="K120" s="31"/>
      <c r="L120" s="35"/>
      <c r="M120" s="2" t="str">
        <f>IF(ISBLANK(L120),"",VLOOKUP(L120,configuration!$M$7:$N$10,2,FALSE))</f>
        <v/>
      </c>
      <c r="N120" s="30"/>
      <c r="O120" s="2"/>
      <c r="P120" s="31"/>
      <c r="Q120" s="54"/>
      <c r="R120" s="55" t="str">
        <f>IF(ISBLANK(Q120),"",VLOOKUP(Q120,configuration!$P$7:$Q$10,2,FALSE))</f>
        <v/>
      </c>
      <c r="S120" s="56"/>
      <c r="T120" s="55"/>
      <c r="U120" s="78"/>
      <c r="V120" s="76" t="str">
        <f t="shared" si="8"/>
        <v/>
      </c>
      <c r="W120" s="48" t="str">
        <f t="shared" si="8"/>
        <v/>
      </c>
      <c r="X120" s="48" t="str">
        <f t="shared" si="8"/>
        <v/>
      </c>
      <c r="Y120" s="48" t="str">
        <f t="shared" si="8"/>
        <v/>
      </c>
      <c r="Z120" s="49" t="str">
        <f t="shared" si="6"/>
        <v/>
      </c>
      <c r="AA120" s="50" t="str">
        <f t="shared" si="9"/>
        <v/>
      </c>
      <c r="AB120" s="48" t="str">
        <f t="shared" si="9"/>
        <v/>
      </c>
      <c r="AC120" s="48" t="str">
        <f t="shared" si="9"/>
        <v/>
      </c>
      <c r="AD120" s="48" t="str">
        <f t="shared" si="9"/>
        <v/>
      </c>
      <c r="AE120" s="48" t="str">
        <f t="shared" si="7"/>
        <v/>
      </c>
    </row>
    <row r="121" spans="1:31" x14ac:dyDescent="0.25">
      <c r="A121" s="2"/>
      <c r="B121" s="2"/>
      <c r="C121" s="2"/>
      <c r="D121" s="2" t="str">
        <f>IF(ISBLANK(C121),"",VLOOKUP(C121,configuration!$G$7:$H$10,2,FALSE))</f>
        <v/>
      </c>
      <c r="E121" s="2"/>
      <c r="F121" s="2"/>
      <c r="G121" s="2"/>
      <c r="H121" s="2" t="str">
        <f>IF(ISBLANK(G121),"",VLOOKUP(G121,configuration!$J$7:$K$10,2,FALSE))</f>
        <v/>
      </c>
      <c r="I121" s="30"/>
      <c r="J121" s="2"/>
      <c r="K121" s="31"/>
      <c r="L121" s="35"/>
      <c r="M121" s="2" t="str">
        <f>IF(ISBLANK(L121),"",VLOOKUP(L121,configuration!$M$7:$N$10,2,FALSE))</f>
        <v/>
      </c>
      <c r="N121" s="30"/>
      <c r="O121" s="2"/>
      <c r="P121" s="31"/>
      <c r="Q121" s="54"/>
      <c r="R121" s="55" t="str">
        <f>IF(ISBLANK(Q121),"",VLOOKUP(Q121,configuration!$P$7:$Q$10,2,FALSE))</f>
        <v/>
      </c>
      <c r="S121" s="56"/>
      <c r="T121" s="55"/>
      <c r="U121" s="78"/>
      <c r="V121" s="76" t="str">
        <f t="shared" si="8"/>
        <v/>
      </c>
      <c r="W121" s="48" t="str">
        <f t="shared" si="8"/>
        <v/>
      </c>
      <c r="X121" s="48" t="str">
        <f t="shared" si="8"/>
        <v/>
      </c>
      <c r="Y121" s="48" t="str">
        <f t="shared" si="8"/>
        <v/>
      </c>
      <c r="Z121" s="49" t="str">
        <f t="shared" si="6"/>
        <v/>
      </c>
      <c r="AA121" s="50" t="str">
        <f t="shared" si="9"/>
        <v/>
      </c>
      <c r="AB121" s="48" t="str">
        <f t="shared" si="9"/>
        <v/>
      </c>
      <c r="AC121" s="48" t="str">
        <f t="shared" si="9"/>
        <v/>
      </c>
      <c r="AD121" s="48" t="str">
        <f t="shared" si="9"/>
        <v/>
      </c>
      <c r="AE121" s="48" t="str">
        <f t="shared" si="7"/>
        <v/>
      </c>
    </row>
    <row r="122" spans="1:31" x14ac:dyDescent="0.25">
      <c r="A122" s="2"/>
      <c r="B122" s="2"/>
      <c r="C122" s="2"/>
      <c r="D122" s="2" t="str">
        <f>IF(ISBLANK(C122),"",VLOOKUP(C122,configuration!$G$7:$H$10,2,FALSE))</f>
        <v/>
      </c>
      <c r="E122" s="2"/>
      <c r="F122" s="2"/>
      <c r="G122" s="2"/>
      <c r="H122" s="2" t="str">
        <f>IF(ISBLANK(G122),"",VLOOKUP(G122,configuration!$J$7:$K$10,2,FALSE))</f>
        <v/>
      </c>
      <c r="I122" s="30"/>
      <c r="J122" s="2"/>
      <c r="K122" s="31"/>
      <c r="L122" s="35"/>
      <c r="M122" s="2" t="str">
        <f>IF(ISBLANK(L122),"",VLOOKUP(L122,configuration!$M$7:$N$10,2,FALSE))</f>
        <v/>
      </c>
      <c r="N122" s="30"/>
      <c r="O122" s="2"/>
      <c r="P122" s="31"/>
      <c r="Q122" s="54"/>
      <c r="R122" s="55" t="str">
        <f>IF(ISBLANK(Q122),"",VLOOKUP(Q122,configuration!$P$7:$Q$10,2,FALSE))</f>
        <v/>
      </c>
      <c r="S122" s="56"/>
      <c r="T122" s="55"/>
      <c r="U122" s="78"/>
      <c r="V122" s="76" t="str">
        <f t="shared" si="8"/>
        <v/>
      </c>
      <c r="W122" s="48" t="str">
        <f t="shared" si="8"/>
        <v/>
      </c>
      <c r="X122" s="48" t="str">
        <f t="shared" si="8"/>
        <v/>
      </c>
      <c r="Y122" s="48" t="str">
        <f t="shared" si="8"/>
        <v/>
      </c>
      <c r="Z122" s="49" t="str">
        <f t="shared" si="6"/>
        <v/>
      </c>
      <c r="AA122" s="50" t="str">
        <f t="shared" si="9"/>
        <v/>
      </c>
      <c r="AB122" s="48" t="str">
        <f t="shared" si="9"/>
        <v/>
      </c>
      <c r="AC122" s="48" t="str">
        <f t="shared" si="9"/>
        <v/>
      </c>
      <c r="AD122" s="48" t="str">
        <f t="shared" si="9"/>
        <v/>
      </c>
      <c r="AE122" s="48" t="str">
        <f t="shared" si="7"/>
        <v/>
      </c>
    </row>
    <row r="123" spans="1:31" x14ac:dyDescent="0.25">
      <c r="A123" s="2"/>
      <c r="B123" s="2"/>
      <c r="C123" s="2"/>
      <c r="D123" s="2" t="str">
        <f>IF(ISBLANK(C123),"",VLOOKUP(C123,configuration!$G$7:$H$10,2,FALSE))</f>
        <v/>
      </c>
      <c r="E123" s="2"/>
      <c r="F123" s="2"/>
      <c r="G123" s="2"/>
      <c r="H123" s="2" t="str">
        <f>IF(ISBLANK(G123),"",VLOOKUP(G123,configuration!$J$7:$K$10,2,FALSE))</f>
        <v/>
      </c>
      <c r="I123" s="30"/>
      <c r="J123" s="2"/>
      <c r="K123" s="31"/>
      <c r="L123" s="35"/>
      <c r="M123" s="2" t="str">
        <f>IF(ISBLANK(L123),"",VLOOKUP(L123,configuration!$M$7:$N$10,2,FALSE))</f>
        <v/>
      </c>
      <c r="N123" s="30"/>
      <c r="O123" s="2"/>
      <c r="P123" s="31"/>
      <c r="Q123" s="54"/>
      <c r="R123" s="55" t="str">
        <f>IF(ISBLANK(Q123),"",VLOOKUP(Q123,configuration!$P$7:$Q$10,2,FALSE))</f>
        <v/>
      </c>
      <c r="S123" s="56"/>
      <c r="T123" s="55"/>
      <c r="U123" s="78"/>
      <c r="V123" s="76" t="str">
        <f t="shared" si="8"/>
        <v/>
      </c>
      <c r="W123" s="48" t="str">
        <f t="shared" si="8"/>
        <v/>
      </c>
      <c r="X123" s="48" t="str">
        <f t="shared" si="8"/>
        <v/>
      </c>
      <c r="Y123" s="48" t="str">
        <f t="shared" si="8"/>
        <v/>
      </c>
      <c r="Z123" s="49" t="str">
        <f t="shared" si="6"/>
        <v/>
      </c>
      <c r="AA123" s="50" t="str">
        <f t="shared" si="9"/>
        <v/>
      </c>
      <c r="AB123" s="48" t="str">
        <f t="shared" si="9"/>
        <v/>
      </c>
      <c r="AC123" s="48" t="str">
        <f t="shared" si="9"/>
        <v/>
      </c>
      <c r="AD123" s="48" t="str">
        <f t="shared" si="9"/>
        <v/>
      </c>
      <c r="AE123" s="48" t="str">
        <f t="shared" si="7"/>
        <v/>
      </c>
    </row>
    <row r="124" spans="1:31" x14ac:dyDescent="0.25">
      <c r="A124" s="2"/>
      <c r="B124" s="2"/>
      <c r="C124" s="2"/>
      <c r="D124" s="2" t="str">
        <f>IF(ISBLANK(C124),"",VLOOKUP(C124,configuration!$G$7:$H$10,2,FALSE))</f>
        <v/>
      </c>
      <c r="E124" s="2"/>
      <c r="F124" s="2"/>
      <c r="G124" s="2"/>
      <c r="H124" s="2" t="str">
        <f>IF(ISBLANK(G124),"",VLOOKUP(G124,configuration!$J$7:$K$10,2,FALSE))</f>
        <v/>
      </c>
      <c r="I124" s="30"/>
      <c r="J124" s="2"/>
      <c r="K124" s="31"/>
      <c r="L124" s="35"/>
      <c r="M124" s="2" t="str">
        <f>IF(ISBLANK(L124),"",VLOOKUP(L124,configuration!$M$7:$N$10,2,FALSE))</f>
        <v/>
      </c>
      <c r="N124" s="30"/>
      <c r="O124" s="2"/>
      <c r="P124" s="31"/>
      <c r="Q124" s="54"/>
      <c r="R124" s="55" t="str">
        <f>IF(ISBLANK(Q124),"",VLOOKUP(Q124,configuration!$P$7:$Q$10,2,FALSE))</f>
        <v/>
      </c>
      <c r="S124" s="56"/>
      <c r="T124" s="55"/>
      <c r="U124" s="78"/>
      <c r="V124" s="76" t="str">
        <f t="shared" si="8"/>
        <v/>
      </c>
      <c r="W124" s="48" t="str">
        <f t="shared" si="8"/>
        <v/>
      </c>
      <c r="X124" s="48" t="str">
        <f t="shared" si="8"/>
        <v/>
      </c>
      <c r="Y124" s="48" t="str">
        <f t="shared" si="8"/>
        <v/>
      </c>
      <c r="Z124" s="49" t="str">
        <f t="shared" si="6"/>
        <v/>
      </c>
      <c r="AA124" s="50" t="str">
        <f t="shared" si="9"/>
        <v/>
      </c>
      <c r="AB124" s="48" t="str">
        <f t="shared" si="9"/>
        <v/>
      </c>
      <c r="AC124" s="48" t="str">
        <f t="shared" si="9"/>
        <v/>
      </c>
      <c r="AD124" s="48" t="str">
        <f t="shared" si="9"/>
        <v/>
      </c>
      <c r="AE124" s="48" t="str">
        <f t="shared" si="7"/>
        <v/>
      </c>
    </row>
    <row r="125" spans="1:31" x14ac:dyDescent="0.25">
      <c r="A125" s="2"/>
      <c r="B125" s="2"/>
      <c r="C125" s="2"/>
      <c r="D125" s="2" t="str">
        <f>IF(ISBLANK(C125),"",VLOOKUP(C125,configuration!$G$7:$H$10,2,FALSE))</f>
        <v/>
      </c>
      <c r="E125" s="2"/>
      <c r="F125" s="2"/>
      <c r="G125" s="2"/>
      <c r="H125" s="2" t="str">
        <f>IF(ISBLANK(G125),"",VLOOKUP(G125,configuration!$J$7:$K$10,2,FALSE))</f>
        <v/>
      </c>
      <c r="I125" s="30"/>
      <c r="J125" s="2"/>
      <c r="K125" s="31"/>
      <c r="L125" s="35"/>
      <c r="M125" s="2" t="str">
        <f>IF(ISBLANK(L125),"",VLOOKUP(L125,configuration!$M$7:$N$10,2,FALSE))</f>
        <v/>
      </c>
      <c r="N125" s="30"/>
      <c r="O125" s="2"/>
      <c r="P125" s="31"/>
      <c r="Q125" s="54"/>
      <c r="R125" s="55" t="str">
        <f>IF(ISBLANK(Q125),"",VLOOKUP(Q125,configuration!$P$7:$Q$10,2,FALSE))</f>
        <v/>
      </c>
      <c r="S125" s="56"/>
      <c r="T125" s="55"/>
      <c r="U125" s="78"/>
      <c r="V125" s="76" t="str">
        <f t="shared" si="8"/>
        <v/>
      </c>
      <c r="W125" s="48" t="str">
        <f t="shared" si="8"/>
        <v/>
      </c>
      <c r="X125" s="48" t="str">
        <f t="shared" si="8"/>
        <v/>
      </c>
      <c r="Y125" s="48" t="str">
        <f t="shared" si="8"/>
        <v/>
      </c>
      <c r="Z125" s="49" t="str">
        <f t="shared" si="6"/>
        <v/>
      </c>
      <c r="AA125" s="50" t="str">
        <f t="shared" si="9"/>
        <v/>
      </c>
      <c r="AB125" s="48" t="str">
        <f t="shared" si="9"/>
        <v/>
      </c>
      <c r="AC125" s="48" t="str">
        <f t="shared" si="9"/>
        <v/>
      </c>
      <c r="AD125" s="48" t="str">
        <f t="shared" si="9"/>
        <v/>
      </c>
      <c r="AE125" s="48" t="str">
        <f t="shared" si="7"/>
        <v/>
      </c>
    </row>
    <row r="126" spans="1:31" x14ac:dyDescent="0.25">
      <c r="A126" s="2"/>
      <c r="B126" s="2"/>
      <c r="C126" s="2"/>
      <c r="D126" s="2" t="str">
        <f>IF(ISBLANK(C126),"",VLOOKUP(C126,configuration!$G$7:$H$10,2,FALSE))</f>
        <v/>
      </c>
      <c r="E126" s="2"/>
      <c r="F126" s="2"/>
      <c r="G126" s="2"/>
      <c r="H126" s="2" t="str">
        <f>IF(ISBLANK(G126),"",VLOOKUP(G126,configuration!$J$7:$K$10,2,FALSE))</f>
        <v/>
      </c>
      <c r="I126" s="30"/>
      <c r="J126" s="2"/>
      <c r="K126" s="31"/>
      <c r="L126" s="35"/>
      <c r="M126" s="2" t="str">
        <f>IF(ISBLANK(L126),"",VLOOKUP(L126,configuration!$M$7:$N$10,2,FALSE))</f>
        <v/>
      </c>
      <c r="N126" s="30"/>
      <c r="O126" s="2"/>
      <c r="P126" s="31"/>
      <c r="Q126" s="54"/>
      <c r="R126" s="55" t="str">
        <f>IF(ISBLANK(Q126),"",VLOOKUP(Q126,configuration!$P$7:$Q$10,2,FALSE))</f>
        <v/>
      </c>
      <c r="S126" s="56"/>
      <c r="T126" s="55"/>
      <c r="U126" s="78"/>
      <c r="V126" s="76" t="str">
        <f t="shared" si="8"/>
        <v/>
      </c>
      <c r="W126" s="48" t="str">
        <f t="shared" si="8"/>
        <v/>
      </c>
      <c r="X126" s="48" t="str">
        <f t="shared" si="8"/>
        <v/>
      </c>
      <c r="Y126" s="48" t="str">
        <f t="shared" si="8"/>
        <v/>
      </c>
      <c r="Z126" s="49" t="str">
        <f t="shared" si="6"/>
        <v/>
      </c>
      <c r="AA126" s="50" t="str">
        <f t="shared" si="9"/>
        <v/>
      </c>
      <c r="AB126" s="48" t="str">
        <f t="shared" si="9"/>
        <v/>
      </c>
      <c r="AC126" s="48" t="str">
        <f t="shared" si="9"/>
        <v/>
      </c>
      <c r="AD126" s="48" t="str">
        <f t="shared" si="9"/>
        <v/>
      </c>
      <c r="AE126" s="48" t="str">
        <f t="shared" si="7"/>
        <v/>
      </c>
    </row>
    <row r="127" spans="1:31" x14ac:dyDescent="0.25">
      <c r="A127" s="2"/>
      <c r="B127" s="2"/>
      <c r="C127" s="2"/>
      <c r="D127" s="2" t="str">
        <f>IF(ISBLANK(C127),"",VLOOKUP(C127,configuration!$G$7:$H$10,2,FALSE))</f>
        <v/>
      </c>
      <c r="E127" s="2"/>
      <c r="F127" s="2"/>
      <c r="G127" s="2"/>
      <c r="H127" s="2" t="str">
        <f>IF(ISBLANK(G127),"",VLOOKUP(G127,configuration!$J$7:$K$10,2,FALSE))</f>
        <v/>
      </c>
      <c r="I127" s="30"/>
      <c r="J127" s="2"/>
      <c r="K127" s="31"/>
      <c r="L127" s="35"/>
      <c r="M127" s="2" t="str">
        <f>IF(ISBLANK(L127),"",VLOOKUP(L127,configuration!$M$7:$N$10,2,FALSE))</f>
        <v/>
      </c>
      <c r="N127" s="30"/>
      <c r="O127" s="2"/>
      <c r="P127" s="31"/>
      <c r="Q127" s="54"/>
      <c r="R127" s="55" t="str">
        <f>IF(ISBLANK(Q127),"",VLOOKUP(Q127,configuration!$P$7:$Q$10,2,FALSE))</f>
        <v/>
      </c>
      <c r="S127" s="56"/>
      <c r="T127" s="55"/>
      <c r="U127" s="78"/>
      <c r="V127" s="76" t="str">
        <f t="shared" si="8"/>
        <v/>
      </c>
      <c r="W127" s="48" t="str">
        <f t="shared" si="8"/>
        <v/>
      </c>
      <c r="X127" s="48" t="str">
        <f t="shared" si="8"/>
        <v/>
      </c>
      <c r="Y127" s="48" t="str">
        <f t="shared" si="8"/>
        <v/>
      </c>
      <c r="Z127" s="49" t="str">
        <f t="shared" si="6"/>
        <v/>
      </c>
      <c r="AA127" s="50" t="str">
        <f t="shared" si="9"/>
        <v/>
      </c>
      <c r="AB127" s="48" t="str">
        <f t="shared" si="9"/>
        <v/>
      </c>
      <c r="AC127" s="48" t="str">
        <f t="shared" si="9"/>
        <v/>
      </c>
      <c r="AD127" s="48" t="str">
        <f t="shared" si="9"/>
        <v/>
      </c>
      <c r="AE127" s="48" t="str">
        <f t="shared" si="7"/>
        <v/>
      </c>
    </row>
    <row r="128" spans="1:31" x14ac:dyDescent="0.25">
      <c r="A128" s="2"/>
      <c r="B128" s="2"/>
      <c r="C128" s="2"/>
      <c r="D128" s="2" t="str">
        <f>IF(ISBLANK(C128),"",VLOOKUP(C128,configuration!$G$7:$H$10,2,FALSE))</f>
        <v/>
      </c>
      <c r="E128" s="2"/>
      <c r="F128" s="2"/>
      <c r="G128" s="2"/>
      <c r="H128" s="2" t="str">
        <f>IF(ISBLANK(G128),"",VLOOKUP(G128,configuration!$J$7:$K$10,2,FALSE))</f>
        <v/>
      </c>
      <c r="I128" s="30"/>
      <c r="J128" s="2"/>
      <c r="K128" s="31"/>
      <c r="L128" s="35"/>
      <c r="M128" s="2" t="str">
        <f>IF(ISBLANK(L128),"",VLOOKUP(L128,configuration!$M$7:$N$10,2,FALSE))</f>
        <v/>
      </c>
      <c r="N128" s="30"/>
      <c r="O128" s="2"/>
      <c r="P128" s="31"/>
      <c r="Q128" s="54"/>
      <c r="R128" s="55" t="str">
        <f>IF(ISBLANK(Q128),"",VLOOKUP(Q128,configuration!$P$7:$Q$10,2,FALSE))</f>
        <v/>
      </c>
      <c r="S128" s="56"/>
      <c r="T128" s="55"/>
      <c r="U128" s="78"/>
      <c r="V128" s="76" t="str">
        <f t="shared" si="8"/>
        <v/>
      </c>
      <c r="W128" s="48" t="str">
        <f t="shared" si="8"/>
        <v/>
      </c>
      <c r="X128" s="48" t="str">
        <f t="shared" si="8"/>
        <v/>
      </c>
      <c r="Y128" s="48" t="str">
        <f t="shared" si="8"/>
        <v/>
      </c>
      <c r="Z128" s="49" t="str">
        <f t="shared" si="6"/>
        <v/>
      </c>
      <c r="AA128" s="50" t="str">
        <f t="shared" si="9"/>
        <v/>
      </c>
      <c r="AB128" s="48" t="str">
        <f t="shared" si="9"/>
        <v/>
      </c>
      <c r="AC128" s="48" t="str">
        <f t="shared" si="9"/>
        <v/>
      </c>
      <c r="AD128" s="48" t="str">
        <f t="shared" si="9"/>
        <v/>
      </c>
      <c r="AE128" s="48" t="str">
        <f t="shared" si="7"/>
        <v/>
      </c>
    </row>
    <row r="129" spans="1:31" x14ac:dyDescent="0.25">
      <c r="A129" s="2"/>
      <c r="B129" s="2"/>
      <c r="C129" s="2"/>
      <c r="D129" s="2" t="str">
        <f>IF(ISBLANK(C129),"",VLOOKUP(C129,configuration!$G$7:$H$10,2,FALSE))</f>
        <v/>
      </c>
      <c r="E129" s="2"/>
      <c r="F129" s="2"/>
      <c r="G129" s="2"/>
      <c r="H129" s="2" t="str">
        <f>IF(ISBLANK(G129),"",VLOOKUP(G129,configuration!$J$7:$K$10,2,FALSE))</f>
        <v/>
      </c>
      <c r="I129" s="30"/>
      <c r="J129" s="2"/>
      <c r="K129" s="31"/>
      <c r="L129" s="35"/>
      <c r="M129" s="2" t="str">
        <f>IF(ISBLANK(L129),"",VLOOKUP(L129,configuration!$M$7:$N$10,2,FALSE))</f>
        <v/>
      </c>
      <c r="N129" s="30"/>
      <c r="O129" s="2"/>
      <c r="P129" s="31"/>
      <c r="Q129" s="54"/>
      <c r="R129" s="55" t="str">
        <f>IF(ISBLANK(Q129),"",VLOOKUP(Q129,configuration!$P$7:$Q$10,2,FALSE))</f>
        <v/>
      </c>
      <c r="S129" s="56"/>
      <c r="T129" s="55"/>
      <c r="U129" s="78"/>
      <c r="V129" s="76" t="str">
        <f t="shared" si="8"/>
        <v/>
      </c>
      <c r="W129" s="48" t="str">
        <f t="shared" si="8"/>
        <v/>
      </c>
      <c r="X129" s="48" t="str">
        <f t="shared" si="8"/>
        <v/>
      </c>
      <c r="Y129" s="48" t="str">
        <f t="shared" si="8"/>
        <v/>
      </c>
      <c r="Z129" s="49" t="str">
        <f t="shared" si="6"/>
        <v/>
      </c>
      <c r="AA129" s="50" t="str">
        <f t="shared" si="9"/>
        <v/>
      </c>
      <c r="AB129" s="48" t="str">
        <f t="shared" si="9"/>
        <v/>
      </c>
      <c r="AC129" s="48" t="str">
        <f t="shared" si="9"/>
        <v/>
      </c>
      <c r="AD129" s="48" t="str">
        <f t="shared" si="9"/>
        <v/>
      </c>
      <c r="AE129" s="48" t="str">
        <f t="shared" si="7"/>
        <v/>
      </c>
    </row>
    <row r="130" spans="1:31" x14ac:dyDescent="0.25">
      <c r="A130" s="2"/>
      <c r="B130" s="2"/>
      <c r="C130" s="2"/>
      <c r="D130" s="2" t="str">
        <f>IF(ISBLANK(C130),"",VLOOKUP(C130,configuration!$G$7:$H$10,2,FALSE))</f>
        <v/>
      </c>
      <c r="E130" s="2"/>
      <c r="F130" s="2"/>
      <c r="G130" s="2"/>
      <c r="H130" s="2" t="str">
        <f>IF(ISBLANK(G130),"",VLOOKUP(G130,configuration!$J$7:$K$10,2,FALSE))</f>
        <v/>
      </c>
      <c r="I130" s="30"/>
      <c r="J130" s="2"/>
      <c r="K130" s="31"/>
      <c r="L130" s="35"/>
      <c r="M130" s="2" t="str">
        <f>IF(ISBLANK(L130),"",VLOOKUP(L130,configuration!$M$7:$N$10,2,FALSE))</f>
        <v/>
      </c>
      <c r="N130" s="30"/>
      <c r="O130" s="2"/>
      <c r="P130" s="31"/>
      <c r="Q130" s="54"/>
      <c r="R130" s="55" t="str">
        <f>IF(ISBLANK(Q130),"",VLOOKUP(Q130,configuration!$P$7:$Q$10,2,FALSE))</f>
        <v/>
      </c>
      <c r="S130" s="56"/>
      <c r="T130" s="55"/>
      <c r="U130" s="78"/>
      <c r="V130" s="76" t="str">
        <f t="shared" si="8"/>
        <v/>
      </c>
      <c r="W130" s="48" t="str">
        <f t="shared" si="8"/>
        <v/>
      </c>
      <c r="X130" s="48" t="str">
        <f t="shared" si="8"/>
        <v/>
      </c>
      <c r="Y130" s="48" t="str">
        <f t="shared" si="8"/>
        <v/>
      </c>
      <c r="Z130" s="49" t="str">
        <f t="shared" si="6"/>
        <v/>
      </c>
      <c r="AA130" s="50" t="str">
        <f t="shared" si="9"/>
        <v/>
      </c>
      <c r="AB130" s="48" t="str">
        <f t="shared" si="9"/>
        <v/>
      </c>
      <c r="AC130" s="48" t="str">
        <f t="shared" si="9"/>
        <v/>
      </c>
      <c r="AD130" s="48" t="str">
        <f t="shared" si="9"/>
        <v/>
      </c>
      <c r="AE130" s="48" t="str">
        <f t="shared" si="7"/>
        <v/>
      </c>
    </row>
    <row r="131" spans="1:31" x14ac:dyDescent="0.25">
      <c r="A131" s="2"/>
      <c r="B131" s="2"/>
      <c r="C131" s="2"/>
      <c r="D131" s="2" t="str">
        <f>IF(ISBLANK(C131),"",VLOOKUP(C131,configuration!$G$7:$H$10,2,FALSE))</f>
        <v/>
      </c>
      <c r="E131" s="2"/>
      <c r="F131" s="2"/>
      <c r="G131" s="2"/>
      <c r="H131" s="2" t="str">
        <f>IF(ISBLANK(G131),"",VLOOKUP(G131,configuration!$J$7:$K$10,2,FALSE))</f>
        <v/>
      </c>
      <c r="I131" s="30"/>
      <c r="J131" s="2"/>
      <c r="K131" s="31"/>
      <c r="L131" s="35"/>
      <c r="M131" s="2" t="str">
        <f>IF(ISBLANK(L131),"",VLOOKUP(L131,configuration!$M$7:$N$10,2,FALSE))</f>
        <v/>
      </c>
      <c r="N131" s="30"/>
      <c r="O131" s="2"/>
      <c r="P131" s="31"/>
      <c r="Q131" s="54"/>
      <c r="R131" s="55" t="str">
        <f>IF(ISBLANK(Q131),"",VLOOKUP(Q131,configuration!$P$7:$Q$10,2,FALSE))</f>
        <v/>
      </c>
      <c r="S131" s="56"/>
      <c r="T131" s="55"/>
      <c r="U131" s="78"/>
      <c r="V131" s="76" t="str">
        <f t="shared" si="8"/>
        <v/>
      </c>
      <c r="W131" s="48" t="str">
        <f t="shared" si="8"/>
        <v/>
      </c>
      <c r="X131" s="48" t="str">
        <f t="shared" si="8"/>
        <v/>
      </c>
      <c r="Y131" s="48" t="str">
        <f t="shared" si="8"/>
        <v/>
      </c>
      <c r="Z131" s="49" t="str">
        <f t="shared" si="6"/>
        <v/>
      </c>
      <c r="AA131" s="50" t="str">
        <f t="shared" si="9"/>
        <v/>
      </c>
      <c r="AB131" s="48" t="str">
        <f t="shared" si="9"/>
        <v/>
      </c>
      <c r="AC131" s="48" t="str">
        <f t="shared" si="9"/>
        <v/>
      </c>
      <c r="AD131" s="48" t="str">
        <f t="shared" si="9"/>
        <v/>
      </c>
      <c r="AE131" s="48" t="str">
        <f t="shared" si="7"/>
        <v/>
      </c>
    </row>
    <row r="132" spans="1:31" x14ac:dyDescent="0.25">
      <c r="A132" s="2"/>
      <c r="B132" s="2"/>
      <c r="C132" s="2"/>
      <c r="D132" s="2" t="str">
        <f>IF(ISBLANK(C132),"",VLOOKUP(C132,configuration!$G$7:$H$10,2,FALSE))</f>
        <v/>
      </c>
      <c r="E132" s="2"/>
      <c r="F132" s="2"/>
      <c r="G132" s="2"/>
      <c r="H132" s="2" t="str">
        <f>IF(ISBLANK(G132),"",VLOOKUP(G132,configuration!$J$7:$K$10,2,FALSE))</f>
        <v/>
      </c>
      <c r="I132" s="30"/>
      <c r="J132" s="2"/>
      <c r="K132" s="31"/>
      <c r="L132" s="35"/>
      <c r="M132" s="2" t="str">
        <f>IF(ISBLANK(L132),"",VLOOKUP(L132,configuration!$M$7:$N$10,2,FALSE))</f>
        <v/>
      </c>
      <c r="N132" s="30"/>
      <c r="O132" s="2"/>
      <c r="P132" s="31"/>
      <c r="Q132" s="54"/>
      <c r="R132" s="55" t="str">
        <f>IF(ISBLANK(Q132),"",VLOOKUP(Q132,configuration!$P$7:$Q$10,2,FALSE))</f>
        <v/>
      </c>
      <c r="S132" s="56"/>
      <c r="T132" s="55"/>
      <c r="U132" s="78"/>
      <c r="V132" s="76" t="str">
        <f t="shared" si="8"/>
        <v/>
      </c>
      <c r="W132" s="48" t="str">
        <f t="shared" si="8"/>
        <v/>
      </c>
      <c r="X132" s="48" t="str">
        <f t="shared" si="8"/>
        <v/>
      </c>
      <c r="Y132" s="48" t="str">
        <f t="shared" si="8"/>
        <v/>
      </c>
      <c r="Z132" s="49" t="str">
        <f t="shared" si="6"/>
        <v/>
      </c>
      <c r="AA132" s="50" t="str">
        <f t="shared" si="9"/>
        <v/>
      </c>
      <c r="AB132" s="48" t="str">
        <f t="shared" si="9"/>
        <v/>
      </c>
      <c r="AC132" s="48" t="str">
        <f t="shared" si="9"/>
        <v/>
      </c>
      <c r="AD132" s="48" t="str">
        <f t="shared" si="9"/>
        <v/>
      </c>
      <c r="AE132" s="48" t="str">
        <f t="shared" si="7"/>
        <v/>
      </c>
    </row>
    <row r="133" spans="1:31" x14ac:dyDescent="0.25">
      <c r="A133" s="2"/>
      <c r="B133" s="2"/>
      <c r="C133" s="2"/>
      <c r="D133" s="2" t="str">
        <f>IF(ISBLANK(C133),"",VLOOKUP(C133,configuration!$G$7:$H$10,2,FALSE))</f>
        <v/>
      </c>
      <c r="E133" s="2"/>
      <c r="F133" s="2"/>
      <c r="G133" s="2"/>
      <c r="H133" s="2" t="str">
        <f>IF(ISBLANK(G133),"",VLOOKUP(G133,configuration!$J$7:$K$10,2,FALSE))</f>
        <v/>
      </c>
      <c r="I133" s="30"/>
      <c r="J133" s="2"/>
      <c r="K133" s="31"/>
      <c r="L133" s="35"/>
      <c r="M133" s="2" t="str">
        <f>IF(ISBLANK(L133),"",VLOOKUP(L133,configuration!$M$7:$N$10,2,FALSE))</f>
        <v/>
      </c>
      <c r="N133" s="30"/>
      <c r="O133" s="2"/>
      <c r="P133" s="31"/>
      <c r="Q133" s="54"/>
      <c r="R133" s="55" t="str">
        <f>IF(ISBLANK(Q133),"",VLOOKUP(Q133,configuration!$P$7:$Q$10,2,FALSE))</f>
        <v/>
      </c>
      <c r="S133" s="56"/>
      <c r="T133" s="55"/>
      <c r="U133" s="78"/>
      <c r="V133" s="76" t="str">
        <f t="shared" si="8"/>
        <v/>
      </c>
      <c r="W133" s="48" t="str">
        <f t="shared" si="8"/>
        <v/>
      </c>
      <c r="X133" s="48" t="str">
        <f t="shared" si="8"/>
        <v/>
      </c>
      <c r="Y133" s="48" t="str">
        <f t="shared" si="8"/>
        <v/>
      </c>
      <c r="Z133" s="49" t="str">
        <f t="shared" si="6"/>
        <v/>
      </c>
      <c r="AA133" s="50" t="str">
        <f t="shared" si="9"/>
        <v/>
      </c>
      <c r="AB133" s="48" t="str">
        <f t="shared" si="9"/>
        <v/>
      </c>
      <c r="AC133" s="48" t="str">
        <f t="shared" si="9"/>
        <v/>
      </c>
      <c r="AD133" s="48" t="str">
        <f t="shared" si="9"/>
        <v/>
      </c>
      <c r="AE133" s="48" t="str">
        <f t="shared" si="7"/>
        <v/>
      </c>
    </row>
    <row r="134" spans="1:31" x14ac:dyDescent="0.25">
      <c r="A134" s="2"/>
      <c r="B134" s="2"/>
      <c r="C134" s="2"/>
      <c r="D134" s="2" t="str">
        <f>IF(ISBLANK(C134),"",VLOOKUP(C134,configuration!$G$7:$H$10,2,FALSE))</f>
        <v/>
      </c>
      <c r="E134" s="2"/>
      <c r="F134" s="2"/>
      <c r="G134" s="2"/>
      <c r="H134" s="2" t="str">
        <f>IF(ISBLANK(G134),"",VLOOKUP(G134,configuration!$J$7:$K$10,2,FALSE))</f>
        <v/>
      </c>
      <c r="I134" s="30"/>
      <c r="J134" s="2"/>
      <c r="K134" s="31"/>
      <c r="L134" s="35"/>
      <c r="M134" s="2" t="str">
        <f>IF(ISBLANK(L134),"",VLOOKUP(L134,configuration!$M$7:$N$10,2,FALSE))</f>
        <v/>
      </c>
      <c r="N134" s="30"/>
      <c r="O134" s="2"/>
      <c r="P134" s="31"/>
      <c r="Q134" s="54"/>
      <c r="R134" s="55" t="str">
        <f>IF(ISBLANK(Q134),"",VLOOKUP(Q134,configuration!$P$7:$Q$10,2,FALSE))</f>
        <v/>
      </c>
      <c r="S134" s="56"/>
      <c r="T134" s="55"/>
      <c r="U134" s="78"/>
      <c r="V134" s="76" t="str">
        <f t="shared" si="8"/>
        <v/>
      </c>
      <c r="W134" s="48" t="str">
        <f t="shared" si="8"/>
        <v/>
      </c>
      <c r="X134" s="48" t="str">
        <f t="shared" si="8"/>
        <v/>
      </c>
      <c r="Y134" s="48" t="str">
        <f t="shared" si="8"/>
        <v/>
      </c>
      <c r="Z134" s="49" t="str">
        <f t="shared" ref="Z134:Z197" si="10">IF(AND($G134="",A134&lt;&gt;""),1,"")</f>
        <v/>
      </c>
      <c r="AA134" s="50" t="str">
        <f t="shared" si="9"/>
        <v/>
      </c>
      <c r="AB134" s="48" t="str">
        <f t="shared" si="9"/>
        <v/>
      </c>
      <c r="AC134" s="48" t="str">
        <f t="shared" si="9"/>
        <v/>
      </c>
      <c r="AD134" s="48" t="str">
        <f t="shared" si="9"/>
        <v/>
      </c>
      <c r="AE134" s="48" t="str">
        <f t="shared" ref="AE134:AE197" si="11">IF(AND($L134="",A134&lt;&gt;""),1,"")</f>
        <v/>
      </c>
    </row>
    <row r="135" spans="1:31" x14ac:dyDescent="0.25">
      <c r="A135" s="2"/>
      <c r="B135" s="2"/>
      <c r="C135" s="2"/>
      <c r="D135" s="2" t="str">
        <f>IF(ISBLANK(C135),"",VLOOKUP(C135,configuration!$G$7:$H$10,2,FALSE))</f>
        <v/>
      </c>
      <c r="E135" s="2"/>
      <c r="F135" s="2"/>
      <c r="G135" s="2"/>
      <c r="H135" s="2" t="str">
        <f>IF(ISBLANK(G135),"",VLOOKUP(G135,configuration!$J$7:$K$10,2,FALSE))</f>
        <v/>
      </c>
      <c r="I135" s="30"/>
      <c r="J135" s="2"/>
      <c r="K135" s="31"/>
      <c r="L135" s="35"/>
      <c r="M135" s="2" t="str">
        <f>IF(ISBLANK(L135),"",VLOOKUP(L135,configuration!$M$7:$N$10,2,FALSE))</f>
        <v/>
      </c>
      <c r="N135" s="30"/>
      <c r="O135" s="2"/>
      <c r="P135" s="31"/>
      <c r="Q135" s="54"/>
      <c r="R135" s="55" t="str">
        <f>IF(ISBLANK(Q135),"",VLOOKUP(Q135,configuration!$P$7:$Q$10,2,FALSE))</f>
        <v/>
      </c>
      <c r="S135" s="56"/>
      <c r="T135" s="55"/>
      <c r="U135" s="78"/>
      <c r="V135" s="76" t="str">
        <f t="shared" si="8"/>
        <v/>
      </c>
      <c r="W135" s="48" t="str">
        <f t="shared" si="8"/>
        <v/>
      </c>
      <c r="X135" s="48" t="str">
        <f t="shared" si="8"/>
        <v/>
      </c>
      <c r="Y135" s="48" t="str">
        <f t="shared" si="8"/>
        <v/>
      </c>
      <c r="Z135" s="49" t="str">
        <f t="shared" si="10"/>
        <v/>
      </c>
      <c r="AA135" s="50" t="str">
        <f t="shared" si="9"/>
        <v/>
      </c>
      <c r="AB135" s="48" t="str">
        <f t="shared" si="9"/>
        <v/>
      </c>
      <c r="AC135" s="48" t="str">
        <f t="shared" si="9"/>
        <v/>
      </c>
      <c r="AD135" s="48" t="str">
        <f t="shared" si="9"/>
        <v/>
      </c>
      <c r="AE135" s="48" t="str">
        <f t="shared" si="11"/>
        <v/>
      </c>
    </row>
    <row r="136" spans="1:31" x14ac:dyDescent="0.25">
      <c r="A136" s="2"/>
      <c r="B136" s="2"/>
      <c r="C136" s="2"/>
      <c r="D136" s="2" t="str">
        <f>IF(ISBLANK(C136),"",VLOOKUP(C136,configuration!$G$7:$H$10,2,FALSE))</f>
        <v/>
      </c>
      <c r="E136" s="2"/>
      <c r="F136" s="2"/>
      <c r="G136" s="2"/>
      <c r="H136" s="2" t="str">
        <f>IF(ISBLANK(G136),"",VLOOKUP(G136,configuration!$J$7:$K$10,2,FALSE))</f>
        <v/>
      </c>
      <c r="I136" s="30"/>
      <c r="J136" s="2"/>
      <c r="K136" s="31"/>
      <c r="L136" s="35"/>
      <c r="M136" s="2" t="str">
        <f>IF(ISBLANK(L136),"",VLOOKUP(L136,configuration!$M$7:$N$10,2,FALSE))</f>
        <v/>
      </c>
      <c r="N136" s="30"/>
      <c r="O136" s="2"/>
      <c r="P136" s="31"/>
      <c r="Q136" s="54"/>
      <c r="R136" s="55" t="str">
        <f>IF(ISBLANK(Q136),"",VLOOKUP(Q136,configuration!$P$7:$Q$10,2,FALSE))</f>
        <v/>
      </c>
      <c r="S136" s="56"/>
      <c r="T136" s="55"/>
      <c r="U136" s="78"/>
      <c r="V136" s="76" t="str">
        <f t="shared" si="8"/>
        <v/>
      </c>
      <c r="W136" s="48" t="str">
        <f t="shared" si="8"/>
        <v/>
      </c>
      <c r="X136" s="48" t="str">
        <f t="shared" si="8"/>
        <v/>
      </c>
      <c r="Y136" s="48" t="str">
        <f t="shared" si="8"/>
        <v/>
      </c>
      <c r="Z136" s="49" t="str">
        <f t="shared" si="10"/>
        <v/>
      </c>
      <c r="AA136" s="50" t="str">
        <f t="shared" si="9"/>
        <v/>
      </c>
      <c r="AB136" s="48" t="str">
        <f t="shared" si="9"/>
        <v/>
      </c>
      <c r="AC136" s="48" t="str">
        <f t="shared" si="9"/>
        <v/>
      </c>
      <c r="AD136" s="48" t="str">
        <f t="shared" si="9"/>
        <v/>
      </c>
      <c r="AE136" s="48" t="str">
        <f t="shared" si="11"/>
        <v/>
      </c>
    </row>
    <row r="137" spans="1:31" x14ac:dyDescent="0.25">
      <c r="A137" s="2"/>
      <c r="B137" s="2"/>
      <c r="C137" s="2"/>
      <c r="D137" s="2" t="str">
        <f>IF(ISBLANK(C137),"",VLOOKUP(C137,configuration!$G$7:$H$10,2,FALSE))</f>
        <v/>
      </c>
      <c r="E137" s="2"/>
      <c r="F137" s="2"/>
      <c r="G137" s="2"/>
      <c r="H137" s="2" t="str">
        <f>IF(ISBLANK(G137),"",VLOOKUP(G137,configuration!$J$7:$K$10,2,FALSE))</f>
        <v/>
      </c>
      <c r="I137" s="30"/>
      <c r="J137" s="2"/>
      <c r="K137" s="31"/>
      <c r="L137" s="35"/>
      <c r="M137" s="2" t="str">
        <f>IF(ISBLANK(L137),"",VLOOKUP(L137,configuration!$M$7:$N$10,2,FALSE))</f>
        <v/>
      </c>
      <c r="N137" s="30"/>
      <c r="O137" s="2"/>
      <c r="P137" s="31"/>
      <c r="Q137" s="54"/>
      <c r="R137" s="55" t="str">
        <f>IF(ISBLANK(Q137),"",VLOOKUP(Q137,configuration!$P$7:$Q$10,2,FALSE))</f>
        <v/>
      </c>
      <c r="S137" s="56"/>
      <c r="T137" s="55"/>
      <c r="U137" s="78"/>
      <c r="V137" s="76" t="str">
        <f t="shared" si="8"/>
        <v/>
      </c>
      <c r="W137" s="48" t="str">
        <f t="shared" si="8"/>
        <v/>
      </c>
      <c r="X137" s="48" t="str">
        <f t="shared" si="8"/>
        <v/>
      </c>
      <c r="Y137" s="48" t="str">
        <f t="shared" si="8"/>
        <v/>
      </c>
      <c r="Z137" s="49" t="str">
        <f t="shared" si="10"/>
        <v/>
      </c>
      <c r="AA137" s="50" t="str">
        <f t="shared" si="9"/>
        <v/>
      </c>
      <c r="AB137" s="48" t="str">
        <f t="shared" si="9"/>
        <v/>
      </c>
      <c r="AC137" s="48" t="str">
        <f t="shared" si="9"/>
        <v/>
      </c>
      <c r="AD137" s="48" t="str">
        <f t="shared" si="9"/>
        <v/>
      </c>
      <c r="AE137" s="48" t="str">
        <f t="shared" si="11"/>
        <v/>
      </c>
    </row>
    <row r="138" spans="1:31" x14ac:dyDescent="0.25">
      <c r="A138" s="2"/>
      <c r="B138" s="2"/>
      <c r="C138" s="2"/>
      <c r="D138" s="2" t="str">
        <f>IF(ISBLANK(C138),"",VLOOKUP(C138,configuration!$G$7:$H$10,2,FALSE))</f>
        <v/>
      </c>
      <c r="E138" s="2"/>
      <c r="F138" s="2"/>
      <c r="G138" s="2"/>
      <c r="H138" s="2" t="str">
        <f>IF(ISBLANK(G138),"",VLOOKUP(G138,configuration!$J$7:$K$10,2,FALSE))</f>
        <v/>
      </c>
      <c r="I138" s="30"/>
      <c r="J138" s="2"/>
      <c r="K138" s="31"/>
      <c r="L138" s="35"/>
      <c r="M138" s="2" t="str">
        <f>IF(ISBLANK(L138),"",VLOOKUP(L138,configuration!$M$7:$N$10,2,FALSE))</f>
        <v/>
      </c>
      <c r="N138" s="30"/>
      <c r="O138" s="2"/>
      <c r="P138" s="31"/>
      <c r="Q138" s="54"/>
      <c r="R138" s="55" t="str">
        <f>IF(ISBLANK(Q138),"",VLOOKUP(Q138,configuration!$P$7:$Q$10,2,FALSE))</f>
        <v/>
      </c>
      <c r="S138" s="56"/>
      <c r="T138" s="55"/>
      <c r="U138" s="78"/>
      <c r="V138" s="76" t="str">
        <f t="shared" si="8"/>
        <v/>
      </c>
      <c r="W138" s="48" t="str">
        <f t="shared" si="8"/>
        <v/>
      </c>
      <c r="X138" s="48" t="str">
        <f t="shared" si="8"/>
        <v/>
      </c>
      <c r="Y138" s="48" t="str">
        <f t="shared" si="8"/>
        <v/>
      </c>
      <c r="Z138" s="49" t="str">
        <f t="shared" si="10"/>
        <v/>
      </c>
      <c r="AA138" s="50" t="str">
        <f t="shared" si="9"/>
        <v/>
      </c>
      <c r="AB138" s="48" t="str">
        <f t="shared" si="9"/>
        <v/>
      </c>
      <c r="AC138" s="48" t="str">
        <f t="shared" si="9"/>
        <v/>
      </c>
      <c r="AD138" s="48" t="str">
        <f t="shared" si="9"/>
        <v/>
      </c>
      <c r="AE138" s="48" t="str">
        <f t="shared" si="11"/>
        <v/>
      </c>
    </row>
    <row r="139" spans="1:31" x14ac:dyDescent="0.25">
      <c r="A139" s="2"/>
      <c r="B139" s="2"/>
      <c r="C139" s="2"/>
      <c r="D139" s="2" t="str">
        <f>IF(ISBLANK(C139),"",VLOOKUP(C139,configuration!$G$7:$H$10,2,FALSE))</f>
        <v/>
      </c>
      <c r="E139" s="2"/>
      <c r="F139" s="2"/>
      <c r="G139" s="2"/>
      <c r="H139" s="2" t="str">
        <f>IF(ISBLANK(G139),"",VLOOKUP(G139,configuration!$J$7:$K$10,2,FALSE))</f>
        <v/>
      </c>
      <c r="I139" s="30"/>
      <c r="J139" s="2"/>
      <c r="K139" s="31"/>
      <c r="L139" s="35"/>
      <c r="M139" s="2" t="str">
        <f>IF(ISBLANK(L139),"",VLOOKUP(L139,configuration!$M$7:$N$10,2,FALSE))</f>
        <v/>
      </c>
      <c r="N139" s="30"/>
      <c r="O139" s="2"/>
      <c r="P139" s="31"/>
      <c r="Q139" s="54"/>
      <c r="R139" s="55" t="str">
        <f>IF(ISBLANK(Q139),"",VLOOKUP(Q139,configuration!$P$7:$Q$10,2,FALSE))</f>
        <v/>
      </c>
      <c r="S139" s="56"/>
      <c r="T139" s="55"/>
      <c r="U139" s="78"/>
      <c r="V139" s="76" t="str">
        <f t="shared" si="8"/>
        <v/>
      </c>
      <c r="W139" s="48" t="str">
        <f t="shared" si="8"/>
        <v/>
      </c>
      <c r="X139" s="48" t="str">
        <f t="shared" si="8"/>
        <v/>
      </c>
      <c r="Y139" s="48" t="str">
        <f t="shared" si="8"/>
        <v/>
      </c>
      <c r="Z139" s="49" t="str">
        <f t="shared" si="10"/>
        <v/>
      </c>
      <c r="AA139" s="50" t="str">
        <f t="shared" si="9"/>
        <v/>
      </c>
      <c r="AB139" s="48" t="str">
        <f t="shared" si="9"/>
        <v/>
      </c>
      <c r="AC139" s="48" t="str">
        <f t="shared" si="9"/>
        <v/>
      </c>
      <c r="AD139" s="48" t="str">
        <f t="shared" si="9"/>
        <v/>
      </c>
      <c r="AE139" s="48" t="str">
        <f t="shared" si="11"/>
        <v/>
      </c>
    </row>
    <row r="140" spans="1:31" x14ac:dyDescent="0.25">
      <c r="A140" s="2"/>
      <c r="B140" s="2"/>
      <c r="C140" s="2"/>
      <c r="D140" s="2" t="str">
        <f>IF(ISBLANK(C140),"",VLOOKUP(C140,configuration!$G$7:$H$10,2,FALSE))</f>
        <v/>
      </c>
      <c r="E140" s="2"/>
      <c r="F140" s="2"/>
      <c r="G140" s="2"/>
      <c r="H140" s="2" t="str">
        <f>IF(ISBLANK(G140),"",VLOOKUP(G140,configuration!$J$7:$K$10,2,FALSE))</f>
        <v/>
      </c>
      <c r="I140" s="30"/>
      <c r="J140" s="2"/>
      <c r="K140" s="31"/>
      <c r="L140" s="35"/>
      <c r="M140" s="2" t="str">
        <f>IF(ISBLANK(L140),"",VLOOKUP(L140,configuration!$M$7:$N$10,2,FALSE))</f>
        <v/>
      </c>
      <c r="N140" s="30"/>
      <c r="O140" s="2"/>
      <c r="P140" s="31"/>
      <c r="Q140" s="54"/>
      <c r="R140" s="55" t="str">
        <f>IF(ISBLANK(Q140),"",VLOOKUP(Q140,configuration!$P$7:$Q$10,2,FALSE))</f>
        <v/>
      </c>
      <c r="S140" s="56"/>
      <c r="T140" s="55"/>
      <c r="U140" s="78"/>
      <c r="V140" s="76" t="str">
        <f t="shared" si="8"/>
        <v/>
      </c>
      <c r="W140" s="48" t="str">
        <f t="shared" si="8"/>
        <v/>
      </c>
      <c r="X140" s="48" t="str">
        <f t="shared" si="8"/>
        <v/>
      </c>
      <c r="Y140" s="48" t="str">
        <f t="shared" si="8"/>
        <v/>
      </c>
      <c r="Z140" s="49" t="str">
        <f t="shared" si="10"/>
        <v/>
      </c>
      <c r="AA140" s="50" t="str">
        <f t="shared" si="9"/>
        <v/>
      </c>
      <c r="AB140" s="48" t="str">
        <f t="shared" si="9"/>
        <v/>
      </c>
      <c r="AC140" s="48" t="str">
        <f t="shared" si="9"/>
        <v/>
      </c>
      <c r="AD140" s="48" t="str">
        <f t="shared" si="9"/>
        <v/>
      </c>
      <c r="AE140" s="48" t="str">
        <f t="shared" si="11"/>
        <v/>
      </c>
    </row>
    <row r="141" spans="1:31" x14ac:dyDescent="0.25">
      <c r="A141" s="2"/>
      <c r="B141" s="2"/>
      <c r="C141" s="2"/>
      <c r="D141" s="2" t="str">
        <f>IF(ISBLANK(C141),"",VLOOKUP(C141,configuration!$G$7:$H$10,2,FALSE))</f>
        <v/>
      </c>
      <c r="E141" s="2"/>
      <c r="F141" s="2"/>
      <c r="G141" s="2"/>
      <c r="H141" s="2" t="str">
        <f>IF(ISBLANK(G141),"",VLOOKUP(G141,configuration!$J$7:$K$10,2,FALSE))</f>
        <v/>
      </c>
      <c r="I141" s="30"/>
      <c r="J141" s="2"/>
      <c r="K141" s="31"/>
      <c r="L141" s="35"/>
      <c r="M141" s="2" t="str">
        <f>IF(ISBLANK(L141),"",VLOOKUP(L141,configuration!$M$7:$N$10,2,FALSE))</f>
        <v/>
      </c>
      <c r="N141" s="30"/>
      <c r="O141" s="2"/>
      <c r="P141" s="31"/>
      <c r="Q141" s="54"/>
      <c r="R141" s="55" t="str">
        <f>IF(ISBLANK(Q141),"",VLOOKUP(Q141,configuration!$P$7:$Q$10,2,FALSE))</f>
        <v/>
      </c>
      <c r="S141" s="56"/>
      <c r="T141" s="55"/>
      <c r="U141" s="78"/>
      <c r="V141" s="76" t="str">
        <f t="shared" si="8"/>
        <v/>
      </c>
      <c r="W141" s="48" t="str">
        <f t="shared" si="8"/>
        <v/>
      </c>
      <c r="X141" s="48" t="str">
        <f t="shared" si="8"/>
        <v/>
      </c>
      <c r="Y141" s="48" t="str">
        <f t="shared" si="8"/>
        <v/>
      </c>
      <c r="Z141" s="49" t="str">
        <f t="shared" si="10"/>
        <v/>
      </c>
      <c r="AA141" s="50" t="str">
        <f t="shared" si="9"/>
        <v/>
      </c>
      <c r="AB141" s="48" t="str">
        <f t="shared" si="9"/>
        <v/>
      </c>
      <c r="AC141" s="48" t="str">
        <f t="shared" si="9"/>
        <v/>
      </c>
      <c r="AD141" s="48" t="str">
        <f t="shared" si="9"/>
        <v/>
      </c>
      <c r="AE141" s="48" t="str">
        <f t="shared" si="11"/>
        <v/>
      </c>
    </row>
    <row r="142" spans="1:31" x14ac:dyDescent="0.25">
      <c r="A142" s="2"/>
      <c r="B142" s="2"/>
      <c r="C142" s="2"/>
      <c r="D142" s="2" t="str">
        <f>IF(ISBLANK(C142),"",VLOOKUP(C142,configuration!$G$7:$H$10,2,FALSE))</f>
        <v/>
      </c>
      <c r="E142" s="2"/>
      <c r="F142" s="2"/>
      <c r="G142" s="2"/>
      <c r="H142" s="2" t="str">
        <f>IF(ISBLANK(G142),"",VLOOKUP(G142,configuration!$J$7:$K$10,2,FALSE))</f>
        <v/>
      </c>
      <c r="I142" s="30"/>
      <c r="J142" s="2"/>
      <c r="K142" s="31"/>
      <c r="L142" s="35"/>
      <c r="M142" s="2" t="str">
        <f>IF(ISBLANK(L142),"",VLOOKUP(L142,configuration!$M$7:$N$10,2,FALSE))</f>
        <v/>
      </c>
      <c r="N142" s="30"/>
      <c r="O142" s="2"/>
      <c r="P142" s="31"/>
      <c r="Q142" s="54"/>
      <c r="R142" s="55" t="str">
        <f>IF(ISBLANK(Q142),"",VLOOKUP(Q142,configuration!$P$7:$Q$10,2,FALSE))</f>
        <v/>
      </c>
      <c r="S142" s="56"/>
      <c r="T142" s="55"/>
      <c r="U142" s="78"/>
      <c r="V142" s="76" t="str">
        <f t="shared" si="8"/>
        <v/>
      </c>
      <c r="W142" s="48" t="str">
        <f t="shared" si="8"/>
        <v/>
      </c>
      <c r="X142" s="48" t="str">
        <f t="shared" si="8"/>
        <v/>
      </c>
      <c r="Y142" s="48" t="str">
        <f t="shared" si="8"/>
        <v/>
      </c>
      <c r="Z142" s="49" t="str">
        <f t="shared" si="10"/>
        <v/>
      </c>
      <c r="AA142" s="50" t="str">
        <f t="shared" si="9"/>
        <v/>
      </c>
      <c r="AB142" s="48" t="str">
        <f t="shared" si="9"/>
        <v/>
      </c>
      <c r="AC142" s="48" t="str">
        <f t="shared" si="9"/>
        <v/>
      </c>
      <c r="AD142" s="48" t="str">
        <f t="shared" si="9"/>
        <v/>
      </c>
      <c r="AE142" s="48" t="str">
        <f t="shared" si="11"/>
        <v/>
      </c>
    </row>
    <row r="143" spans="1:31" x14ac:dyDescent="0.25">
      <c r="A143" s="2"/>
      <c r="B143" s="2"/>
      <c r="C143" s="2"/>
      <c r="D143" s="2" t="str">
        <f>IF(ISBLANK(C143),"",VLOOKUP(C143,configuration!$G$7:$H$10,2,FALSE))</f>
        <v/>
      </c>
      <c r="E143" s="2"/>
      <c r="F143" s="2"/>
      <c r="G143" s="2"/>
      <c r="H143" s="2" t="str">
        <f>IF(ISBLANK(G143),"",VLOOKUP(G143,configuration!$J$7:$K$10,2,FALSE))</f>
        <v/>
      </c>
      <c r="I143" s="30"/>
      <c r="J143" s="2"/>
      <c r="K143" s="31"/>
      <c r="L143" s="35"/>
      <c r="M143" s="2" t="str">
        <f>IF(ISBLANK(L143),"",VLOOKUP(L143,configuration!$M$7:$N$10,2,FALSE))</f>
        <v/>
      </c>
      <c r="N143" s="30"/>
      <c r="O143" s="2"/>
      <c r="P143" s="31"/>
      <c r="Q143" s="54"/>
      <c r="R143" s="55" t="str">
        <f>IF(ISBLANK(Q143),"",VLOOKUP(Q143,configuration!$P$7:$Q$10,2,FALSE))</f>
        <v/>
      </c>
      <c r="S143" s="56"/>
      <c r="T143" s="55"/>
      <c r="U143" s="78"/>
      <c r="V143" s="76" t="str">
        <f t="shared" si="8"/>
        <v/>
      </c>
      <c r="W143" s="48" t="str">
        <f t="shared" si="8"/>
        <v/>
      </c>
      <c r="X143" s="48" t="str">
        <f t="shared" si="8"/>
        <v/>
      </c>
      <c r="Y143" s="48" t="str">
        <f t="shared" si="8"/>
        <v/>
      </c>
      <c r="Z143" s="49" t="str">
        <f t="shared" si="10"/>
        <v/>
      </c>
      <c r="AA143" s="50" t="str">
        <f t="shared" si="9"/>
        <v/>
      </c>
      <c r="AB143" s="48" t="str">
        <f t="shared" si="9"/>
        <v/>
      </c>
      <c r="AC143" s="48" t="str">
        <f t="shared" si="9"/>
        <v/>
      </c>
      <c r="AD143" s="48" t="str">
        <f t="shared" si="9"/>
        <v/>
      </c>
      <c r="AE143" s="48" t="str">
        <f t="shared" si="11"/>
        <v/>
      </c>
    </row>
    <row r="144" spans="1:31" x14ac:dyDescent="0.25">
      <c r="A144" s="2"/>
      <c r="B144" s="2"/>
      <c r="C144" s="2"/>
      <c r="D144" s="2" t="str">
        <f>IF(ISBLANK(C144),"",VLOOKUP(C144,configuration!$G$7:$H$10,2,FALSE))</f>
        <v/>
      </c>
      <c r="E144" s="2"/>
      <c r="F144" s="2"/>
      <c r="G144" s="2"/>
      <c r="H144" s="2" t="str">
        <f>IF(ISBLANK(G144),"",VLOOKUP(G144,configuration!$J$7:$K$10,2,FALSE))</f>
        <v/>
      </c>
      <c r="I144" s="30"/>
      <c r="J144" s="2"/>
      <c r="K144" s="31"/>
      <c r="L144" s="35"/>
      <c r="M144" s="2" t="str">
        <f>IF(ISBLANK(L144),"",VLOOKUP(L144,configuration!$M$7:$N$10,2,FALSE))</f>
        <v/>
      </c>
      <c r="N144" s="30"/>
      <c r="O144" s="2"/>
      <c r="P144" s="31"/>
      <c r="Q144" s="54"/>
      <c r="R144" s="55" t="str">
        <f>IF(ISBLANK(Q144),"",VLOOKUP(Q144,configuration!$P$7:$Q$10,2,FALSE))</f>
        <v/>
      </c>
      <c r="S144" s="56"/>
      <c r="T144" s="55"/>
      <c r="U144" s="78"/>
      <c r="V144" s="76" t="str">
        <f t="shared" si="8"/>
        <v/>
      </c>
      <c r="W144" s="48" t="str">
        <f t="shared" si="8"/>
        <v/>
      </c>
      <c r="X144" s="48" t="str">
        <f t="shared" si="8"/>
        <v/>
      </c>
      <c r="Y144" s="48" t="str">
        <f t="shared" si="8"/>
        <v/>
      </c>
      <c r="Z144" s="49" t="str">
        <f t="shared" si="10"/>
        <v/>
      </c>
      <c r="AA144" s="50" t="str">
        <f t="shared" si="9"/>
        <v/>
      </c>
      <c r="AB144" s="48" t="str">
        <f t="shared" si="9"/>
        <v/>
      </c>
      <c r="AC144" s="48" t="str">
        <f t="shared" si="9"/>
        <v/>
      </c>
      <c r="AD144" s="48" t="str">
        <f t="shared" si="9"/>
        <v/>
      </c>
      <c r="AE144" s="48" t="str">
        <f t="shared" si="11"/>
        <v/>
      </c>
    </row>
    <row r="145" spans="1:31" x14ac:dyDescent="0.25">
      <c r="A145" s="2"/>
      <c r="B145" s="2"/>
      <c r="C145" s="2"/>
      <c r="D145" s="2" t="str">
        <f>IF(ISBLANK(C145),"",VLOOKUP(C145,configuration!$G$7:$H$10,2,FALSE))</f>
        <v/>
      </c>
      <c r="E145" s="2"/>
      <c r="F145" s="2"/>
      <c r="G145" s="2"/>
      <c r="H145" s="2" t="str">
        <f>IF(ISBLANK(G145),"",VLOOKUP(G145,configuration!$J$7:$K$10,2,FALSE))</f>
        <v/>
      </c>
      <c r="I145" s="30"/>
      <c r="J145" s="2"/>
      <c r="K145" s="31"/>
      <c r="L145" s="35"/>
      <c r="M145" s="2" t="str">
        <f>IF(ISBLANK(L145),"",VLOOKUP(L145,configuration!$M$7:$N$10,2,FALSE))</f>
        <v/>
      </c>
      <c r="N145" s="30"/>
      <c r="O145" s="2"/>
      <c r="P145" s="31"/>
      <c r="Q145" s="54"/>
      <c r="R145" s="55" t="str">
        <f>IF(ISBLANK(Q145),"",VLOOKUP(Q145,configuration!$P$7:$Q$10,2,FALSE))</f>
        <v/>
      </c>
      <c r="S145" s="56"/>
      <c r="T145" s="55"/>
      <c r="U145" s="78"/>
      <c r="V145" s="76" t="str">
        <f t="shared" si="8"/>
        <v/>
      </c>
      <c r="W145" s="48" t="str">
        <f t="shared" si="8"/>
        <v/>
      </c>
      <c r="X145" s="48" t="str">
        <f t="shared" si="8"/>
        <v/>
      </c>
      <c r="Y145" s="48" t="str">
        <f t="shared" si="8"/>
        <v/>
      </c>
      <c r="Z145" s="49" t="str">
        <f t="shared" si="10"/>
        <v/>
      </c>
      <c r="AA145" s="50" t="str">
        <f t="shared" si="9"/>
        <v/>
      </c>
      <c r="AB145" s="48" t="str">
        <f t="shared" si="9"/>
        <v/>
      </c>
      <c r="AC145" s="48" t="str">
        <f t="shared" si="9"/>
        <v/>
      </c>
      <c r="AD145" s="48" t="str">
        <f t="shared" si="9"/>
        <v/>
      </c>
      <c r="AE145" s="48" t="str">
        <f t="shared" si="11"/>
        <v/>
      </c>
    </row>
    <row r="146" spans="1:31" x14ac:dyDescent="0.25">
      <c r="A146" s="2"/>
      <c r="B146" s="2"/>
      <c r="C146" s="2"/>
      <c r="D146" s="2" t="str">
        <f>IF(ISBLANK(C146),"",VLOOKUP(C146,configuration!$G$7:$H$10,2,FALSE))</f>
        <v/>
      </c>
      <c r="E146" s="2"/>
      <c r="F146" s="2"/>
      <c r="G146" s="2"/>
      <c r="H146" s="2" t="str">
        <f>IF(ISBLANK(G146),"",VLOOKUP(G146,configuration!$J$7:$K$10,2,FALSE))</f>
        <v/>
      </c>
      <c r="I146" s="30"/>
      <c r="J146" s="2"/>
      <c r="K146" s="31"/>
      <c r="L146" s="35"/>
      <c r="M146" s="2" t="str">
        <f>IF(ISBLANK(L146),"",VLOOKUP(L146,configuration!$M$7:$N$10,2,FALSE))</f>
        <v/>
      </c>
      <c r="N146" s="30"/>
      <c r="O146" s="2"/>
      <c r="P146" s="31"/>
      <c r="Q146" s="54"/>
      <c r="R146" s="55" t="str">
        <f>IF(ISBLANK(Q146),"",VLOOKUP(Q146,configuration!$P$7:$Q$10,2,FALSE))</f>
        <v/>
      </c>
      <c r="S146" s="56"/>
      <c r="T146" s="55"/>
      <c r="U146" s="78"/>
      <c r="V146" s="76" t="str">
        <f t="shared" si="8"/>
        <v/>
      </c>
      <c r="W146" s="48" t="str">
        <f t="shared" si="8"/>
        <v/>
      </c>
      <c r="X146" s="48" t="str">
        <f t="shared" si="8"/>
        <v/>
      </c>
      <c r="Y146" s="48" t="str">
        <f t="shared" si="8"/>
        <v/>
      </c>
      <c r="Z146" s="49" t="str">
        <f t="shared" si="10"/>
        <v/>
      </c>
      <c r="AA146" s="50" t="str">
        <f t="shared" si="9"/>
        <v/>
      </c>
      <c r="AB146" s="48" t="str">
        <f t="shared" si="9"/>
        <v/>
      </c>
      <c r="AC146" s="48" t="str">
        <f t="shared" si="9"/>
        <v/>
      </c>
      <c r="AD146" s="48" t="str">
        <f t="shared" si="9"/>
        <v/>
      </c>
      <c r="AE146" s="48" t="str">
        <f t="shared" si="11"/>
        <v/>
      </c>
    </row>
    <row r="147" spans="1:31" x14ac:dyDescent="0.25">
      <c r="A147" s="2"/>
      <c r="B147" s="2"/>
      <c r="C147" s="2"/>
      <c r="D147" s="2" t="str">
        <f>IF(ISBLANK(C147),"",VLOOKUP(C147,configuration!$G$7:$H$10,2,FALSE))</f>
        <v/>
      </c>
      <c r="E147" s="2"/>
      <c r="F147" s="2"/>
      <c r="G147" s="2"/>
      <c r="H147" s="2" t="str">
        <f>IF(ISBLANK(G147),"",VLOOKUP(G147,configuration!$J$7:$K$10,2,FALSE))</f>
        <v/>
      </c>
      <c r="I147" s="30"/>
      <c r="J147" s="2"/>
      <c r="K147" s="31"/>
      <c r="L147" s="35"/>
      <c r="M147" s="2" t="str">
        <f>IF(ISBLANK(L147),"",VLOOKUP(L147,configuration!$M$7:$N$10,2,FALSE))</f>
        <v/>
      </c>
      <c r="N147" s="30"/>
      <c r="O147" s="2"/>
      <c r="P147" s="31"/>
      <c r="Q147" s="54"/>
      <c r="R147" s="55" t="str">
        <f>IF(ISBLANK(Q147),"",VLOOKUP(Q147,configuration!$P$7:$Q$10,2,FALSE))</f>
        <v/>
      </c>
      <c r="S147" s="56"/>
      <c r="T147" s="55"/>
      <c r="U147" s="78"/>
      <c r="V147" s="76" t="str">
        <f t="shared" si="8"/>
        <v/>
      </c>
      <c r="W147" s="48" t="str">
        <f t="shared" si="8"/>
        <v/>
      </c>
      <c r="X147" s="48" t="str">
        <f t="shared" si="8"/>
        <v/>
      </c>
      <c r="Y147" s="48" t="str">
        <f t="shared" si="8"/>
        <v/>
      </c>
      <c r="Z147" s="49" t="str">
        <f t="shared" si="10"/>
        <v/>
      </c>
      <c r="AA147" s="50" t="str">
        <f t="shared" si="9"/>
        <v/>
      </c>
      <c r="AB147" s="48" t="str">
        <f t="shared" si="9"/>
        <v/>
      </c>
      <c r="AC147" s="48" t="str">
        <f t="shared" si="9"/>
        <v/>
      </c>
      <c r="AD147" s="48" t="str">
        <f t="shared" si="9"/>
        <v/>
      </c>
      <c r="AE147" s="48" t="str">
        <f t="shared" si="11"/>
        <v/>
      </c>
    </row>
    <row r="148" spans="1:31" x14ac:dyDescent="0.25">
      <c r="A148" s="2"/>
      <c r="B148" s="2"/>
      <c r="C148" s="2"/>
      <c r="D148" s="2" t="str">
        <f>IF(ISBLANK(C148),"",VLOOKUP(C148,configuration!$G$7:$H$10,2,FALSE))</f>
        <v/>
      </c>
      <c r="E148" s="2"/>
      <c r="F148" s="2"/>
      <c r="G148" s="2"/>
      <c r="H148" s="2" t="str">
        <f>IF(ISBLANK(G148),"",VLOOKUP(G148,configuration!$J$7:$K$10,2,FALSE))</f>
        <v/>
      </c>
      <c r="I148" s="30"/>
      <c r="J148" s="2"/>
      <c r="K148" s="31"/>
      <c r="L148" s="35"/>
      <c r="M148" s="2" t="str">
        <f>IF(ISBLANK(L148),"",VLOOKUP(L148,configuration!$M$7:$N$10,2,FALSE))</f>
        <v/>
      </c>
      <c r="N148" s="30"/>
      <c r="O148" s="2"/>
      <c r="P148" s="31"/>
      <c r="Q148" s="54"/>
      <c r="R148" s="55" t="str">
        <f>IF(ISBLANK(Q148),"",VLOOKUP(Q148,configuration!$P$7:$Q$10,2,FALSE))</f>
        <v/>
      </c>
      <c r="S148" s="56"/>
      <c r="T148" s="55"/>
      <c r="U148" s="78"/>
      <c r="V148" s="76" t="str">
        <f t="shared" si="8"/>
        <v/>
      </c>
      <c r="W148" s="48" t="str">
        <f t="shared" si="8"/>
        <v/>
      </c>
      <c r="X148" s="48" t="str">
        <f t="shared" si="8"/>
        <v/>
      </c>
      <c r="Y148" s="48" t="str">
        <f t="shared" si="8"/>
        <v/>
      </c>
      <c r="Z148" s="49" t="str">
        <f t="shared" si="10"/>
        <v/>
      </c>
      <c r="AA148" s="50" t="str">
        <f t="shared" si="9"/>
        <v/>
      </c>
      <c r="AB148" s="48" t="str">
        <f t="shared" si="9"/>
        <v/>
      </c>
      <c r="AC148" s="48" t="str">
        <f t="shared" si="9"/>
        <v/>
      </c>
      <c r="AD148" s="48" t="str">
        <f t="shared" si="9"/>
        <v/>
      </c>
      <c r="AE148" s="48" t="str">
        <f t="shared" si="11"/>
        <v/>
      </c>
    </row>
    <row r="149" spans="1:31" x14ac:dyDescent="0.25">
      <c r="A149" s="2"/>
      <c r="B149" s="2"/>
      <c r="C149" s="2"/>
      <c r="D149" s="2" t="str">
        <f>IF(ISBLANK(C149),"",VLOOKUP(C149,configuration!$G$7:$H$10,2,FALSE))</f>
        <v/>
      </c>
      <c r="E149" s="2"/>
      <c r="F149" s="2"/>
      <c r="G149" s="2"/>
      <c r="H149" s="2" t="str">
        <f>IF(ISBLANK(G149),"",VLOOKUP(G149,configuration!$J$7:$K$10,2,FALSE))</f>
        <v/>
      </c>
      <c r="I149" s="30"/>
      <c r="J149" s="2"/>
      <c r="K149" s="31"/>
      <c r="L149" s="35"/>
      <c r="M149" s="2" t="str">
        <f>IF(ISBLANK(L149),"",VLOOKUP(L149,configuration!$M$7:$N$10,2,FALSE))</f>
        <v/>
      </c>
      <c r="N149" s="30"/>
      <c r="O149" s="2"/>
      <c r="P149" s="31"/>
      <c r="Q149" s="54"/>
      <c r="R149" s="55" t="str">
        <f>IF(ISBLANK(Q149),"",VLOOKUP(Q149,configuration!$P$7:$Q$10,2,FALSE))</f>
        <v/>
      </c>
      <c r="S149" s="56"/>
      <c r="T149" s="55"/>
      <c r="U149" s="78"/>
      <c r="V149" s="76" t="str">
        <f t="shared" si="8"/>
        <v/>
      </c>
      <c r="W149" s="48" t="str">
        <f t="shared" si="8"/>
        <v/>
      </c>
      <c r="X149" s="48" t="str">
        <f t="shared" si="8"/>
        <v/>
      </c>
      <c r="Y149" s="48" t="str">
        <f t="shared" ref="V149:Y212" si="12">IF($G149=Y$4,1,"")</f>
        <v/>
      </c>
      <c r="Z149" s="49" t="str">
        <f t="shared" si="10"/>
        <v/>
      </c>
      <c r="AA149" s="50" t="str">
        <f t="shared" si="9"/>
        <v/>
      </c>
      <c r="AB149" s="48" t="str">
        <f t="shared" si="9"/>
        <v/>
      </c>
      <c r="AC149" s="48" t="str">
        <f t="shared" si="9"/>
        <v/>
      </c>
      <c r="AD149" s="48" t="str">
        <f t="shared" ref="AA149:AD212" si="13">IF($L149=AD$4,1,"")</f>
        <v/>
      </c>
      <c r="AE149" s="48" t="str">
        <f t="shared" si="11"/>
        <v/>
      </c>
    </row>
    <row r="150" spans="1:31" x14ac:dyDescent="0.25">
      <c r="A150" s="2"/>
      <c r="B150" s="2"/>
      <c r="C150" s="2"/>
      <c r="D150" s="2" t="str">
        <f>IF(ISBLANK(C150),"",VLOOKUP(C150,configuration!$G$7:$H$10,2,FALSE))</f>
        <v/>
      </c>
      <c r="E150" s="2"/>
      <c r="F150" s="2"/>
      <c r="G150" s="2"/>
      <c r="H150" s="2" t="str">
        <f>IF(ISBLANK(G150),"",VLOOKUP(G150,configuration!$J$7:$K$10,2,FALSE))</f>
        <v/>
      </c>
      <c r="I150" s="30"/>
      <c r="J150" s="2"/>
      <c r="K150" s="31"/>
      <c r="L150" s="35"/>
      <c r="M150" s="2" t="str">
        <f>IF(ISBLANK(L150),"",VLOOKUP(L150,configuration!$M$7:$N$10,2,FALSE))</f>
        <v/>
      </c>
      <c r="N150" s="30"/>
      <c r="O150" s="2"/>
      <c r="P150" s="31"/>
      <c r="Q150" s="54"/>
      <c r="R150" s="55" t="str">
        <f>IF(ISBLANK(Q150),"",VLOOKUP(Q150,configuration!$P$7:$Q$10,2,FALSE))</f>
        <v/>
      </c>
      <c r="S150" s="56"/>
      <c r="T150" s="55"/>
      <c r="U150" s="78"/>
      <c r="V150" s="76" t="str">
        <f t="shared" si="12"/>
        <v/>
      </c>
      <c r="W150" s="48" t="str">
        <f t="shared" si="12"/>
        <v/>
      </c>
      <c r="X150" s="48" t="str">
        <f t="shared" si="12"/>
        <v/>
      </c>
      <c r="Y150" s="48" t="str">
        <f t="shared" si="12"/>
        <v/>
      </c>
      <c r="Z150" s="49" t="str">
        <f t="shared" si="10"/>
        <v/>
      </c>
      <c r="AA150" s="50" t="str">
        <f t="shared" si="13"/>
        <v/>
      </c>
      <c r="AB150" s="48" t="str">
        <f t="shared" si="13"/>
        <v/>
      </c>
      <c r="AC150" s="48" t="str">
        <f t="shared" si="13"/>
        <v/>
      </c>
      <c r="AD150" s="48" t="str">
        <f t="shared" si="13"/>
        <v/>
      </c>
      <c r="AE150" s="48" t="str">
        <f t="shared" si="11"/>
        <v/>
      </c>
    </row>
    <row r="151" spans="1:31" x14ac:dyDescent="0.25">
      <c r="A151" s="2"/>
      <c r="B151" s="2"/>
      <c r="C151" s="2"/>
      <c r="D151" s="2" t="str">
        <f>IF(ISBLANK(C151),"",VLOOKUP(C151,configuration!$G$7:$H$10,2,FALSE))</f>
        <v/>
      </c>
      <c r="E151" s="2"/>
      <c r="F151" s="2"/>
      <c r="G151" s="2"/>
      <c r="H151" s="2" t="str">
        <f>IF(ISBLANK(G151),"",VLOOKUP(G151,configuration!$J$7:$K$10,2,FALSE))</f>
        <v/>
      </c>
      <c r="I151" s="30"/>
      <c r="J151" s="2"/>
      <c r="K151" s="31"/>
      <c r="L151" s="35"/>
      <c r="M151" s="2" t="str">
        <f>IF(ISBLANK(L151),"",VLOOKUP(L151,configuration!$M$7:$N$10,2,FALSE))</f>
        <v/>
      </c>
      <c r="N151" s="30"/>
      <c r="O151" s="2"/>
      <c r="P151" s="31"/>
      <c r="Q151" s="54"/>
      <c r="R151" s="55" t="str">
        <f>IF(ISBLANK(Q151),"",VLOOKUP(Q151,configuration!$P$7:$Q$10,2,FALSE))</f>
        <v/>
      </c>
      <c r="S151" s="56"/>
      <c r="T151" s="55"/>
      <c r="U151" s="78"/>
      <c r="V151" s="76" t="str">
        <f t="shared" si="12"/>
        <v/>
      </c>
      <c r="W151" s="48" t="str">
        <f t="shared" si="12"/>
        <v/>
      </c>
      <c r="X151" s="48" t="str">
        <f t="shared" si="12"/>
        <v/>
      </c>
      <c r="Y151" s="48" t="str">
        <f t="shared" si="12"/>
        <v/>
      </c>
      <c r="Z151" s="49" t="str">
        <f t="shared" si="10"/>
        <v/>
      </c>
      <c r="AA151" s="50" t="str">
        <f t="shared" si="13"/>
        <v/>
      </c>
      <c r="AB151" s="48" t="str">
        <f t="shared" si="13"/>
        <v/>
      </c>
      <c r="AC151" s="48" t="str">
        <f t="shared" si="13"/>
        <v/>
      </c>
      <c r="AD151" s="48" t="str">
        <f t="shared" si="13"/>
        <v/>
      </c>
      <c r="AE151" s="48" t="str">
        <f t="shared" si="11"/>
        <v/>
      </c>
    </row>
    <row r="152" spans="1:31" x14ac:dyDescent="0.25">
      <c r="A152" s="2"/>
      <c r="B152" s="2"/>
      <c r="C152" s="2"/>
      <c r="D152" s="2" t="str">
        <f>IF(ISBLANK(C152),"",VLOOKUP(C152,configuration!$G$7:$H$10,2,FALSE))</f>
        <v/>
      </c>
      <c r="E152" s="2"/>
      <c r="F152" s="2"/>
      <c r="G152" s="2"/>
      <c r="H152" s="2" t="str">
        <f>IF(ISBLANK(G152),"",VLOOKUP(G152,configuration!$J$7:$K$10,2,FALSE))</f>
        <v/>
      </c>
      <c r="I152" s="30"/>
      <c r="J152" s="2"/>
      <c r="K152" s="31"/>
      <c r="L152" s="35"/>
      <c r="M152" s="2" t="str">
        <f>IF(ISBLANK(L152),"",VLOOKUP(L152,configuration!$M$7:$N$10,2,FALSE))</f>
        <v/>
      </c>
      <c r="N152" s="30"/>
      <c r="O152" s="2"/>
      <c r="P152" s="31"/>
      <c r="Q152" s="54"/>
      <c r="R152" s="55" t="str">
        <f>IF(ISBLANK(Q152),"",VLOOKUP(Q152,configuration!$P$7:$Q$10,2,FALSE))</f>
        <v/>
      </c>
      <c r="S152" s="56"/>
      <c r="T152" s="55"/>
      <c r="U152" s="78"/>
      <c r="V152" s="76" t="str">
        <f t="shared" si="12"/>
        <v/>
      </c>
      <c r="W152" s="48" t="str">
        <f t="shared" si="12"/>
        <v/>
      </c>
      <c r="X152" s="48" t="str">
        <f t="shared" si="12"/>
        <v/>
      </c>
      <c r="Y152" s="48" t="str">
        <f t="shared" si="12"/>
        <v/>
      </c>
      <c r="Z152" s="49" t="str">
        <f t="shared" si="10"/>
        <v/>
      </c>
      <c r="AA152" s="50" t="str">
        <f t="shared" si="13"/>
        <v/>
      </c>
      <c r="AB152" s="48" t="str">
        <f t="shared" si="13"/>
        <v/>
      </c>
      <c r="AC152" s="48" t="str">
        <f t="shared" si="13"/>
        <v/>
      </c>
      <c r="AD152" s="48" t="str">
        <f t="shared" si="13"/>
        <v/>
      </c>
      <c r="AE152" s="48" t="str">
        <f t="shared" si="11"/>
        <v/>
      </c>
    </row>
    <row r="153" spans="1:31" x14ac:dyDescent="0.25">
      <c r="A153" s="2"/>
      <c r="B153" s="2"/>
      <c r="C153" s="2"/>
      <c r="D153" s="2" t="str">
        <f>IF(ISBLANK(C153),"",VLOOKUP(C153,configuration!$G$7:$H$10,2,FALSE))</f>
        <v/>
      </c>
      <c r="E153" s="2"/>
      <c r="F153" s="2"/>
      <c r="G153" s="2"/>
      <c r="H153" s="2" t="str">
        <f>IF(ISBLANK(G153),"",VLOOKUP(G153,configuration!$J$7:$K$10,2,FALSE))</f>
        <v/>
      </c>
      <c r="I153" s="30"/>
      <c r="J153" s="2"/>
      <c r="K153" s="31"/>
      <c r="L153" s="35"/>
      <c r="M153" s="2" t="str">
        <f>IF(ISBLANK(L153),"",VLOOKUP(L153,configuration!$M$7:$N$10,2,FALSE))</f>
        <v/>
      </c>
      <c r="N153" s="30"/>
      <c r="O153" s="2"/>
      <c r="P153" s="31"/>
      <c r="Q153" s="54"/>
      <c r="R153" s="55" t="str">
        <f>IF(ISBLANK(Q153),"",VLOOKUP(Q153,configuration!$P$7:$Q$10,2,FALSE))</f>
        <v/>
      </c>
      <c r="S153" s="56"/>
      <c r="T153" s="55"/>
      <c r="U153" s="78"/>
      <c r="V153" s="76" t="str">
        <f t="shared" si="12"/>
        <v/>
      </c>
      <c r="W153" s="48" t="str">
        <f t="shared" si="12"/>
        <v/>
      </c>
      <c r="X153" s="48" t="str">
        <f t="shared" si="12"/>
        <v/>
      </c>
      <c r="Y153" s="48" t="str">
        <f t="shared" si="12"/>
        <v/>
      </c>
      <c r="Z153" s="49" t="str">
        <f t="shared" si="10"/>
        <v/>
      </c>
      <c r="AA153" s="50" t="str">
        <f t="shared" si="13"/>
        <v/>
      </c>
      <c r="AB153" s="48" t="str">
        <f t="shared" si="13"/>
        <v/>
      </c>
      <c r="AC153" s="48" t="str">
        <f t="shared" si="13"/>
        <v/>
      </c>
      <c r="AD153" s="48" t="str">
        <f t="shared" si="13"/>
        <v/>
      </c>
      <c r="AE153" s="48" t="str">
        <f t="shared" si="11"/>
        <v/>
      </c>
    </row>
    <row r="154" spans="1:31" x14ac:dyDescent="0.25">
      <c r="A154" s="2"/>
      <c r="B154" s="2"/>
      <c r="C154" s="2"/>
      <c r="D154" s="2" t="str">
        <f>IF(ISBLANK(C154),"",VLOOKUP(C154,configuration!$G$7:$H$10,2,FALSE))</f>
        <v/>
      </c>
      <c r="E154" s="2"/>
      <c r="F154" s="2"/>
      <c r="G154" s="2"/>
      <c r="H154" s="2" t="str">
        <f>IF(ISBLANK(G154),"",VLOOKUP(G154,configuration!$J$7:$K$10,2,FALSE))</f>
        <v/>
      </c>
      <c r="I154" s="30"/>
      <c r="J154" s="2"/>
      <c r="K154" s="31"/>
      <c r="L154" s="35"/>
      <c r="M154" s="2" t="str">
        <f>IF(ISBLANK(L154),"",VLOOKUP(L154,configuration!$M$7:$N$10,2,FALSE))</f>
        <v/>
      </c>
      <c r="N154" s="30"/>
      <c r="O154" s="2"/>
      <c r="P154" s="31"/>
      <c r="Q154" s="54"/>
      <c r="R154" s="55" t="str">
        <f>IF(ISBLANK(Q154),"",VLOOKUP(Q154,configuration!$P$7:$Q$10,2,FALSE))</f>
        <v/>
      </c>
      <c r="S154" s="56"/>
      <c r="T154" s="55"/>
      <c r="U154" s="78"/>
      <c r="V154" s="76" t="str">
        <f t="shared" si="12"/>
        <v/>
      </c>
      <c r="W154" s="48" t="str">
        <f t="shared" si="12"/>
        <v/>
      </c>
      <c r="X154" s="48" t="str">
        <f t="shared" si="12"/>
        <v/>
      </c>
      <c r="Y154" s="48" t="str">
        <f t="shared" si="12"/>
        <v/>
      </c>
      <c r="Z154" s="49" t="str">
        <f t="shared" si="10"/>
        <v/>
      </c>
      <c r="AA154" s="50" t="str">
        <f t="shared" si="13"/>
        <v/>
      </c>
      <c r="AB154" s="48" t="str">
        <f t="shared" si="13"/>
        <v/>
      </c>
      <c r="AC154" s="48" t="str">
        <f t="shared" si="13"/>
        <v/>
      </c>
      <c r="AD154" s="48" t="str">
        <f t="shared" si="13"/>
        <v/>
      </c>
      <c r="AE154" s="48" t="str">
        <f t="shared" si="11"/>
        <v/>
      </c>
    </row>
    <row r="155" spans="1:31" x14ac:dyDescent="0.25">
      <c r="A155" s="2"/>
      <c r="B155" s="2"/>
      <c r="C155" s="2"/>
      <c r="D155" s="2" t="str">
        <f>IF(ISBLANK(C155),"",VLOOKUP(C155,configuration!$G$7:$H$10,2,FALSE))</f>
        <v/>
      </c>
      <c r="E155" s="2"/>
      <c r="F155" s="2"/>
      <c r="G155" s="2"/>
      <c r="H155" s="2" t="str">
        <f>IF(ISBLANK(G155),"",VLOOKUP(G155,configuration!$J$7:$K$10,2,FALSE))</f>
        <v/>
      </c>
      <c r="I155" s="30"/>
      <c r="J155" s="2"/>
      <c r="K155" s="31"/>
      <c r="L155" s="35"/>
      <c r="M155" s="2" t="str">
        <f>IF(ISBLANK(L155),"",VLOOKUP(L155,configuration!$M$7:$N$10,2,FALSE))</f>
        <v/>
      </c>
      <c r="N155" s="30"/>
      <c r="O155" s="2"/>
      <c r="P155" s="31"/>
      <c r="Q155" s="54"/>
      <c r="R155" s="55" t="str">
        <f>IF(ISBLANK(Q155),"",VLOOKUP(Q155,configuration!$P$7:$Q$10,2,FALSE))</f>
        <v/>
      </c>
      <c r="S155" s="56"/>
      <c r="T155" s="55"/>
      <c r="U155" s="78"/>
      <c r="V155" s="76" t="str">
        <f t="shared" si="12"/>
        <v/>
      </c>
      <c r="W155" s="48" t="str">
        <f t="shared" si="12"/>
        <v/>
      </c>
      <c r="X155" s="48" t="str">
        <f t="shared" si="12"/>
        <v/>
      </c>
      <c r="Y155" s="48" t="str">
        <f t="shared" si="12"/>
        <v/>
      </c>
      <c r="Z155" s="49" t="str">
        <f t="shared" si="10"/>
        <v/>
      </c>
      <c r="AA155" s="50" t="str">
        <f t="shared" si="13"/>
        <v/>
      </c>
      <c r="AB155" s="48" t="str">
        <f t="shared" si="13"/>
        <v/>
      </c>
      <c r="AC155" s="48" t="str">
        <f t="shared" si="13"/>
        <v/>
      </c>
      <c r="AD155" s="48" t="str">
        <f t="shared" si="13"/>
        <v/>
      </c>
      <c r="AE155" s="48" t="str">
        <f t="shared" si="11"/>
        <v/>
      </c>
    </row>
    <row r="156" spans="1:31" x14ac:dyDescent="0.25">
      <c r="A156" s="2"/>
      <c r="B156" s="2"/>
      <c r="C156" s="2"/>
      <c r="D156" s="2" t="str">
        <f>IF(ISBLANK(C156),"",VLOOKUP(C156,configuration!$G$7:$H$10,2,FALSE))</f>
        <v/>
      </c>
      <c r="E156" s="2"/>
      <c r="F156" s="2"/>
      <c r="G156" s="2"/>
      <c r="H156" s="2" t="str">
        <f>IF(ISBLANK(G156),"",VLOOKUP(G156,configuration!$J$7:$K$10,2,FALSE))</f>
        <v/>
      </c>
      <c r="I156" s="30"/>
      <c r="J156" s="2"/>
      <c r="K156" s="31"/>
      <c r="L156" s="35"/>
      <c r="M156" s="2" t="str">
        <f>IF(ISBLANK(L156),"",VLOOKUP(L156,configuration!$M$7:$N$10,2,FALSE))</f>
        <v/>
      </c>
      <c r="N156" s="30"/>
      <c r="O156" s="2"/>
      <c r="P156" s="31"/>
      <c r="Q156" s="54"/>
      <c r="R156" s="55" t="str">
        <f>IF(ISBLANK(Q156),"",VLOOKUP(Q156,configuration!$P$7:$Q$10,2,FALSE))</f>
        <v/>
      </c>
      <c r="S156" s="56"/>
      <c r="T156" s="55"/>
      <c r="U156" s="78"/>
      <c r="V156" s="76" t="str">
        <f t="shared" si="12"/>
        <v/>
      </c>
      <c r="W156" s="48" t="str">
        <f t="shared" si="12"/>
        <v/>
      </c>
      <c r="X156" s="48" t="str">
        <f t="shared" si="12"/>
        <v/>
      </c>
      <c r="Y156" s="48" t="str">
        <f t="shared" si="12"/>
        <v/>
      </c>
      <c r="Z156" s="49" t="str">
        <f t="shared" si="10"/>
        <v/>
      </c>
      <c r="AA156" s="50" t="str">
        <f t="shared" si="13"/>
        <v/>
      </c>
      <c r="AB156" s="48" t="str">
        <f t="shared" si="13"/>
        <v/>
      </c>
      <c r="AC156" s="48" t="str">
        <f t="shared" si="13"/>
        <v/>
      </c>
      <c r="AD156" s="48" t="str">
        <f t="shared" si="13"/>
        <v/>
      </c>
      <c r="AE156" s="48" t="str">
        <f t="shared" si="11"/>
        <v/>
      </c>
    </row>
    <row r="157" spans="1:31" x14ac:dyDescent="0.25">
      <c r="A157" s="2"/>
      <c r="B157" s="2"/>
      <c r="C157" s="2"/>
      <c r="D157" s="2" t="str">
        <f>IF(ISBLANK(C157),"",VLOOKUP(C157,configuration!$G$7:$H$10,2,FALSE))</f>
        <v/>
      </c>
      <c r="E157" s="2"/>
      <c r="F157" s="2"/>
      <c r="G157" s="2"/>
      <c r="H157" s="2" t="str">
        <f>IF(ISBLANK(G157),"",VLOOKUP(G157,configuration!$J$7:$K$10,2,FALSE))</f>
        <v/>
      </c>
      <c r="I157" s="30"/>
      <c r="J157" s="2"/>
      <c r="K157" s="31"/>
      <c r="L157" s="35"/>
      <c r="M157" s="2" t="str">
        <f>IF(ISBLANK(L157),"",VLOOKUP(L157,configuration!$M$7:$N$10,2,FALSE))</f>
        <v/>
      </c>
      <c r="N157" s="30"/>
      <c r="O157" s="2"/>
      <c r="P157" s="31"/>
      <c r="Q157" s="54"/>
      <c r="R157" s="55" t="str">
        <f>IF(ISBLANK(Q157),"",VLOOKUP(Q157,configuration!$P$7:$Q$10,2,FALSE))</f>
        <v/>
      </c>
      <c r="S157" s="56"/>
      <c r="T157" s="55"/>
      <c r="U157" s="78"/>
      <c r="V157" s="76" t="str">
        <f t="shared" si="12"/>
        <v/>
      </c>
      <c r="W157" s="48" t="str">
        <f t="shared" si="12"/>
        <v/>
      </c>
      <c r="X157" s="48" t="str">
        <f t="shared" si="12"/>
        <v/>
      </c>
      <c r="Y157" s="48" t="str">
        <f t="shared" si="12"/>
        <v/>
      </c>
      <c r="Z157" s="49" t="str">
        <f t="shared" si="10"/>
        <v/>
      </c>
      <c r="AA157" s="50" t="str">
        <f t="shared" si="13"/>
        <v/>
      </c>
      <c r="AB157" s="48" t="str">
        <f t="shared" si="13"/>
        <v/>
      </c>
      <c r="AC157" s="48" t="str">
        <f t="shared" si="13"/>
        <v/>
      </c>
      <c r="AD157" s="48" t="str">
        <f t="shared" si="13"/>
        <v/>
      </c>
      <c r="AE157" s="48" t="str">
        <f t="shared" si="11"/>
        <v/>
      </c>
    </row>
    <row r="158" spans="1:31" x14ac:dyDescent="0.25">
      <c r="A158" s="2"/>
      <c r="B158" s="2"/>
      <c r="C158" s="2"/>
      <c r="D158" s="2" t="str">
        <f>IF(ISBLANK(C158),"",VLOOKUP(C158,configuration!$G$7:$H$10,2,FALSE))</f>
        <v/>
      </c>
      <c r="E158" s="2"/>
      <c r="F158" s="2"/>
      <c r="G158" s="2"/>
      <c r="H158" s="2" t="str">
        <f>IF(ISBLANK(G158),"",VLOOKUP(G158,configuration!$J$7:$K$10,2,FALSE))</f>
        <v/>
      </c>
      <c r="I158" s="30"/>
      <c r="J158" s="2"/>
      <c r="K158" s="31"/>
      <c r="L158" s="35"/>
      <c r="M158" s="2" t="str">
        <f>IF(ISBLANK(L158),"",VLOOKUP(L158,configuration!$M$7:$N$10,2,FALSE))</f>
        <v/>
      </c>
      <c r="N158" s="30"/>
      <c r="O158" s="2"/>
      <c r="P158" s="31"/>
      <c r="Q158" s="54"/>
      <c r="R158" s="55" t="str">
        <f>IF(ISBLANK(Q158),"",VLOOKUP(Q158,configuration!$P$7:$Q$10,2,FALSE))</f>
        <v/>
      </c>
      <c r="S158" s="56"/>
      <c r="T158" s="55"/>
      <c r="U158" s="78"/>
      <c r="V158" s="76" t="str">
        <f t="shared" si="12"/>
        <v/>
      </c>
      <c r="W158" s="48" t="str">
        <f t="shared" si="12"/>
        <v/>
      </c>
      <c r="X158" s="48" t="str">
        <f t="shared" si="12"/>
        <v/>
      </c>
      <c r="Y158" s="48" t="str">
        <f t="shared" si="12"/>
        <v/>
      </c>
      <c r="Z158" s="49" t="str">
        <f t="shared" si="10"/>
        <v/>
      </c>
      <c r="AA158" s="50" t="str">
        <f t="shared" si="13"/>
        <v/>
      </c>
      <c r="AB158" s="48" t="str">
        <f t="shared" si="13"/>
        <v/>
      </c>
      <c r="AC158" s="48" t="str">
        <f t="shared" si="13"/>
        <v/>
      </c>
      <c r="AD158" s="48" t="str">
        <f t="shared" si="13"/>
        <v/>
      </c>
      <c r="AE158" s="48" t="str">
        <f t="shared" si="11"/>
        <v/>
      </c>
    </row>
    <row r="159" spans="1:31" x14ac:dyDescent="0.25">
      <c r="A159" s="2"/>
      <c r="B159" s="2"/>
      <c r="C159" s="2"/>
      <c r="D159" s="2" t="str">
        <f>IF(ISBLANK(C159),"",VLOOKUP(C159,configuration!$G$7:$H$10,2,FALSE))</f>
        <v/>
      </c>
      <c r="E159" s="2"/>
      <c r="F159" s="2"/>
      <c r="G159" s="2"/>
      <c r="H159" s="2" t="str">
        <f>IF(ISBLANK(G159),"",VLOOKUP(G159,configuration!$J$7:$K$10,2,FALSE))</f>
        <v/>
      </c>
      <c r="I159" s="30"/>
      <c r="J159" s="2"/>
      <c r="K159" s="31"/>
      <c r="L159" s="35"/>
      <c r="M159" s="2" t="str">
        <f>IF(ISBLANK(L159),"",VLOOKUP(L159,configuration!$M$7:$N$10,2,FALSE))</f>
        <v/>
      </c>
      <c r="N159" s="30"/>
      <c r="O159" s="2"/>
      <c r="P159" s="31"/>
      <c r="Q159" s="54"/>
      <c r="R159" s="55" t="str">
        <f>IF(ISBLANK(Q159),"",VLOOKUP(Q159,configuration!$P$7:$Q$10,2,FALSE))</f>
        <v/>
      </c>
      <c r="S159" s="56"/>
      <c r="T159" s="55"/>
      <c r="U159" s="78"/>
      <c r="V159" s="76" t="str">
        <f t="shared" si="12"/>
        <v/>
      </c>
      <c r="W159" s="48" t="str">
        <f t="shared" si="12"/>
        <v/>
      </c>
      <c r="X159" s="48" t="str">
        <f t="shared" si="12"/>
        <v/>
      </c>
      <c r="Y159" s="48" t="str">
        <f t="shared" si="12"/>
        <v/>
      </c>
      <c r="Z159" s="49" t="str">
        <f t="shared" si="10"/>
        <v/>
      </c>
      <c r="AA159" s="50" t="str">
        <f t="shared" si="13"/>
        <v/>
      </c>
      <c r="AB159" s="48" t="str">
        <f t="shared" si="13"/>
        <v/>
      </c>
      <c r="AC159" s="48" t="str">
        <f t="shared" si="13"/>
        <v/>
      </c>
      <c r="AD159" s="48" t="str">
        <f t="shared" si="13"/>
        <v/>
      </c>
      <c r="AE159" s="48" t="str">
        <f t="shared" si="11"/>
        <v/>
      </c>
    </row>
    <row r="160" spans="1:31" x14ac:dyDescent="0.25">
      <c r="A160" s="2"/>
      <c r="B160" s="2"/>
      <c r="C160" s="2"/>
      <c r="D160" s="2" t="str">
        <f>IF(ISBLANK(C160),"",VLOOKUP(C160,configuration!$G$7:$H$10,2,FALSE))</f>
        <v/>
      </c>
      <c r="E160" s="2"/>
      <c r="F160" s="2"/>
      <c r="G160" s="2"/>
      <c r="H160" s="2" t="str">
        <f>IF(ISBLANK(G160),"",VLOOKUP(G160,configuration!$J$7:$K$10,2,FALSE))</f>
        <v/>
      </c>
      <c r="I160" s="30"/>
      <c r="J160" s="2"/>
      <c r="K160" s="31"/>
      <c r="L160" s="35"/>
      <c r="M160" s="2" t="str">
        <f>IF(ISBLANK(L160),"",VLOOKUP(L160,configuration!$M$7:$N$10,2,FALSE))</f>
        <v/>
      </c>
      <c r="N160" s="30"/>
      <c r="O160" s="2"/>
      <c r="P160" s="31"/>
      <c r="Q160" s="54"/>
      <c r="R160" s="55" t="str">
        <f>IF(ISBLANK(Q160),"",VLOOKUP(Q160,configuration!$P$7:$Q$10,2,FALSE))</f>
        <v/>
      </c>
      <c r="S160" s="56"/>
      <c r="T160" s="55"/>
      <c r="U160" s="78"/>
      <c r="V160" s="76" t="str">
        <f t="shared" si="12"/>
        <v/>
      </c>
      <c r="W160" s="48" t="str">
        <f t="shared" si="12"/>
        <v/>
      </c>
      <c r="X160" s="48" t="str">
        <f t="shared" si="12"/>
        <v/>
      </c>
      <c r="Y160" s="48" t="str">
        <f t="shared" si="12"/>
        <v/>
      </c>
      <c r="Z160" s="49" t="str">
        <f t="shared" si="10"/>
        <v/>
      </c>
      <c r="AA160" s="50" t="str">
        <f t="shared" si="13"/>
        <v/>
      </c>
      <c r="AB160" s="48" t="str">
        <f t="shared" si="13"/>
        <v/>
      </c>
      <c r="AC160" s="48" t="str">
        <f t="shared" si="13"/>
        <v/>
      </c>
      <c r="AD160" s="48" t="str">
        <f t="shared" si="13"/>
        <v/>
      </c>
      <c r="AE160" s="48" t="str">
        <f t="shared" si="11"/>
        <v/>
      </c>
    </row>
    <row r="161" spans="1:31" x14ac:dyDescent="0.25">
      <c r="A161" s="2"/>
      <c r="B161" s="2"/>
      <c r="C161" s="2"/>
      <c r="D161" s="2" t="str">
        <f>IF(ISBLANK(C161),"",VLOOKUP(C161,configuration!$G$7:$H$10,2,FALSE))</f>
        <v/>
      </c>
      <c r="E161" s="2"/>
      <c r="F161" s="2"/>
      <c r="G161" s="2"/>
      <c r="H161" s="2" t="str">
        <f>IF(ISBLANK(G161),"",VLOOKUP(G161,configuration!$J$7:$K$10,2,FALSE))</f>
        <v/>
      </c>
      <c r="I161" s="30"/>
      <c r="J161" s="2"/>
      <c r="K161" s="31"/>
      <c r="L161" s="35"/>
      <c r="M161" s="2" t="str">
        <f>IF(ISBLANK(L161),"",VLOOKUP(L161,configuration!$M$7:$N$10,2,FALSE))</f>
        <v/>
      </c>
      <c r="N161" s="30"/>
      <c r="O161" s="2"/>
      <c r="P161" s="31"/>
      <c r="Q161" s="54"/>
      <c r="R161" s="55" t="str">
        <f>IF(ISBLANK(Q161),"",VLOOKUP(Q161,configuration!$P$7:$Q$10,2,FALSE))</f>
        <v/>
      </c>
      <c r="S161" s="56"/>
      <c r="T161" s="55"/>
      <c r="U161" s="78"/>
      <c r="V161" s="76" t="str">
        <f t="shared" si="12"/>
        <v/>
      </c>
      <c r="W161" s="48" t="str">
        <f t="shared" si="12"/>
        <v/>
      </c>
      <c r="X161" s="48" t="str">
        <f t="shared" si="12"/>
        <v/>
      </c>
      <c r="Y161" s="48" t="str">
        <f t="shared" si="12"/>
        <v/>
      </c>
      <c r="Z161" s="49" t="str">
        <f t="shared" si="10"/>
        <v/>
      </c>
      <c r="AA161" s="50" t="str">
        <f t="shared" si="13"/>
        <v/>
      </c>
      <c r="AB161" s="48" t="str">
        <f t="shared" si="13"/>
        <v/>
      </c>
      <c r="AC161" s="48" t="str">
        <f t="shared" si="13"/>
        <v/>
      </c>
      <c r="AD161" s="48" t="str">
        <f t="shared" si="13"/>
        <v/>
      </c>
      <c r="AE161" s="48" t="str">
        <f t="shared" si="11"/>
        <v/>
      </c>
    </row>
    <row r="162" spans="1:31" x14ac:dyDescent="0.25">
      <c r="A162" s="2"/>
      <c r="B162" s="2"/>
      <c r="C162" s="2"/>
      <c r="D162" s="2" t="str">
        <f>IF(ISBLANK(C162),"",VLOOKUP(C162,configuration!$G$7:$H$10,2,FALSE))</f>
        <v/>
      </c>
      <c r="E162" s="2"/>
      <c r="F162" s="2"/>
      <c r="G162" s="2"/>
      <c r="H162" s="2" t="str">
        <f>IF(ISBLANK(G162),"",VLOOKUP(G162,configuration!$J$7:$K$10,2,FALSE))</f>
        <v/>
      </c>
      <c r="I162" s="30"/>
      <c r="J162" s="2"/>
      <c r="K162" s="31"/>
      <c r="L162" s="35"/>
      <c r="M162" s="2" t="str">
        <f>IF(ISBLANK(L162),"",VLOOKUP(L162,configuration!$M$7:$N$10,2,FALSE))</f>
        <v/>
      </c>
      <c r="N162" s="30"/>
      <c r="O162" s="2"/>
      <c r="P162" s="31"/>
      <c r="Q162" s="54"/>
      <c r="R162" s="55" t="str">
        <f>IF(ISBLANK(Q162),"",VLOOKUP(Q162,configuration!$P$7:$Q$10,2,FALSE))</f>
        <v/>
      </c>
      <c r="S162" s="56"/>
      <c r="T162" s="55"/>
      <c r="U162" s="78"/>
      <c r="V162" s="76" t="str">
        <f t="shared" si="12"/>
        <v/>
      </c>
      <c r="W162" s="48" t="str">
        <f t="shared" si="12"/>
        <v/>
      </c>
      <c r="X162" s="48" t="str">
        <f t="shared" si="12"/>
        <v/>
      </c>
      <c r="Y162" s="48" t="str">
        <f t="shared" si="12"/>
        <v/>
      </c>
      <c r="Z162" s="49" t="str">
        <f t="shared" si="10"/>
        <v/>
      </c>
      <c r="AA162" s="50" t="str">
        <f t="shared" si="13"/>
        <v/>
      </c>
      <c r="AB162" s="48" t="str">
        <f t="shared" si="13"/>
        <v/>
      </c>
      <c r="AC162" s="48" t="str">
        <f t="shared" si="13"/>
        <v/>
      </c>
      <c r="AD162" s="48" t="str">
        <f t="shared" si="13"/>
        <v/>
      </c>
      <c r="AE162" s="48" t="str">
        <f t="shared" si="11"/>
        <v/>
      </c>
    </row>
    <row r="163" spans="1:31" x14ac:dyDescent="0.25">
      <c r="A163" s="2"/>
      <c r="B163" s="2"/>
      <c r="C163" s="2"/>
      <c r="D163" s="2" t="str">
        <f>IF(ISBLANK(C163),"",VLOOKUP(C163,configuration!$G$7:$H$10,2,FALSE))</f>
        <v/>
      </c>
      <c r="E163" s="2"/>
      <c r="F163" s="2"/>
      <c r="G163" s="2"/>
      <c r="H163" s="2" t="str">
        <f>IF(ISBLANK(G163),"",VLOOKUP(G163,configuration!$J$7:$K$10,2,FALSE))</f>
        <v/>
      </c>
      <c r="I163" s="30"/>
      <c r="J163" s="2"/>
      <c r="K163" s="31"/>
      <c r="L163" s="35"/>
      <c r="M163" s="2" t="str">
        <f>IF(ISBLANK(L163),"",VLOOKUP(L163,configuration!$M$7:$N$10,2,FALSE))</f>
        <v/>
      </c>
      <c r="N163" s="30"/>
      <c r="O163" s="2"/>
      <c r="P163" s="31"/>
      <c r="Q163" s="54"/>
      <c r="R163" s="55" t="str">
        <f>IF(ISBLANK(Q163),"",VLOOKUP(Q163,configuration!$P$7:$Q$10,2,FALSE))</f>
        <v/>
      </c>
      <c r="S163" s="56"/>
      <c r="T163" s="55"/>
      <c r="U163" s="78"/>
      <c r="V163" s="76" t="str">
        <f t="shared" si="12"/>
        <v/>
      </c>
      <c r="W163" s="48" t="str">
        <f t="shared" si="12"/>
        <v/>
      </c>
      <c r="X163" s="48" t="str">
        <f t="shared" si="12"/>
        <v/>
      </c>
      <c r="Y163" s="48" t="str">
        <f t="shared" si="12"/>
        <v/>
      </c>
      <c r="Z163" s="49" t="str">
        <f t="shared" si="10"/>
        <v/>
      </c>
      <c r="AA163" s="50" t="str">
        <f t="shared" si="13"/>
        <v/>
      </c>
      <c r="AB163" s="48" t="str">
        <f t="shared" si="13"/>
        <v/>
      </c>
      <c r="AC163" s="48" t="str">
        <f t="shared" si="13"/>
        <v/>
      </c>
      <c r="AD163" s="48" t="str">
        <f t="shared" si="13"/>
        <v/>
      </c>
      <c r="AE163" s="48" t="str">
        <f t="shared" si="11"/>
        <v/>
      </c>
    </row>
    <row r="164" spans="1:31" x14ac:dyDescent="0.25">
      <c r="A164" s="2"/>
      <c r="B164" s="2"/>
      <c r="C164" s="2"/>
      <c r="D164" s="2" t="str">
        <f>IF(ISBLANK(C164),"",VLOOKUP(C164,configuration!$G$7:$H$10,2,FALSE))</f>
        <v/>
      </c>
      <c r="E164" s="2"/>
      <c r="F164" s="2"/>
      <c r="G164" s="2"/>
      <c r="H164" s="2" t="str">
        <f>IF(ISBLANK(G164),"",VLOOKUP(G164,configuration!$J$7:$K$10,2,FALSE))</f>
        <v/>
      </c>
      <c r="I164" s="30"/>
      <c r="J164" s="2"/>
      <c r="K164" s="31"/>
      <c r="L164" s="35"/>
      <c r="M164" s="2" t="str">
        <f>IF(ISBLANK(L164),"",VLOOKUP(L164,configuration!$M$7:$N$10,2,FALSE))</f>
        <v/>
      </c>
      <c r="N164" s="30"/>
      <c r="O164" s="2"/>
      <c r="P164" s="31"/>
      <c r="Q164" s="54"/>
      <c r="R164" s="55" t="str">
        <f>IF(ISBLANK(Q164),"",VLOOKUP(Q164,configuration!$P$7:$Q$10,2,FALSE))</f>
        <v/>
      </c>
      <c r="S164" s="56"/>
      <c r="T164" s="55"/>
      <c r="U164" s="78"/>
      <c r="V164" s="76" t="str">
        <f t="shared" si="12"/>
        <v/>
      </c>
      <c r="W164" s="48" t="str">
        <f t="shared" si="12"/>
        <v/>
      </c>
      <c r="X164" s="48" t="str">
        <f t="shared" si="12"/>
        <v/>
      </c>
      <c r="Y164" s="48" t="str">
        <f t="shared" si="12"/>
        <v/>
      </c>
      <c r="Z164" s="49" t="str">
        <f t="shared" si="10"/>
        <v/>
      </c>
      <c r="AA164" s="50" t="str">
        <f t="shared" si="13"/>
        <v/>
      </c>
      <c r="AB164" s="48" t="str">
        <f t="shared" si="13"/>
        <v/>
      </c>
      <c r="AC164" s="48" t="str">
        <f t="shared" si="13"/>
        <v/>
      </c>
      <c r="AD164" s="48" t="str">
        <f t="shared" si="13"/>
        <v/>
      </c>
      <c r="AE164" s="48" t="str">
        <f t="shared" si="11"/>
        <v/>
      </c>
    </row>
    <row r="165" spans="1:31" x14ac:dyDescent="0.25">
      <c r="A165" s="2"/>
      <c r="B165" s="2"/>
      <c r="C165" s="2"/>
      <c r="D165" s="2" t="str">
        <f>IF(ISBLANK(C165),"",VLOOKUP(C165,configuration!$G$7:$H$10,2,FALSE))</f>
        <v/>
      </c>
      <c r="E165" s="2"/>
      <c r="F165" s="2"/>
      <c r="G165" s="2"/>
      <c r="H165" s="2" t="str">
        <f>IF(ISBLANK(G165),"",VLOOKUP(G165,configuration!$J$7:$K$10,2,FALSE))</f>
        <v/>
      </c>
      <c r="I165" s="30"/>
      <c r="J165" s="2"/>
      <c r="K165" s="31"/>
      <c r="L165" s="35"/>
      <c r="M165" s="2" t="str">
        <f>IF(ISBLANK(L165),"",VLOOKUP(L165,configuration!$M$7:$N$10,2,FALSE))</f>
        <v/>
      </c>
      <c r="N165" s="30"/>
      <c r="O165" s="2"/>
      <c r="P165" s="31"/>
      <c r="Q165" s="54"/>
      <c r="R165" s="55" t="str">
        <f>IF(ISBLANK(Q165),"",VLOOKUP(Q165,configuration!$P$7:$Q$10,2,FALSE))</f>
        <v/>
      </c>
      <c r="S165" s="56"/>
      <c r="T165" s="55"/>
      <c r="U165" s="78"/>
      <c r="V165" s="76" t="str">
        <f t="shared" si="12"/>
        <v/>
      </c>
      <c r="W165" s="48" t="str">
        <f t="shared" si="12"/>
        <v/>
      </c>
      <c r="X165" s="48" t="str">
        <f t="shared" si="12"/>
        <v/>
      </c>
      <c r="Y165" s="48" t="str">
        <f t="shared" si="12"/>
        <v/>
      </c>
      <c r="Z165" s="49" t="str">
        <f t="shared" si="10"/>
        <v/>
      </c>
      <c r="AA165" s="50" t="str">
        <f t="shared" si="13"/>
        <v/>
      </c>
      <c r="AB165" s="48" t="str">
        <f t="shared" si="13"/>
        <v/>
      </c>
      <c r="AC165" s="48" t="str">
        <f t="shared" si="13"/>
        <v/>
      </c>
      <c r="AD165" s="48" t="str">
        <f t="shared" si="13"/>
        <v/>
      </c>
      <c r="AE165" s="48" t="str">
        <f t="shared" si="11"/>
        <v/>
      </c>
    </row>
    <row r="166" spans="1:31" x14ac:dyDescent="0.25">
      <c r="A166" s="2"/>
      <c r="B166" s="2"/>
      <c r="C166" s="2"/>
      <c r="D166" s="2" t="str">
        <f>IF(ISBLANK(C166),"",VLOOKUP(C166,configuration!$G$7:$H$10,2,FALSE))</f>
        <v/>
      </c>
      <c r="E166" s="2"/>
      <c r="F166" s="2"/>
      <c r="G166" s="2"/>
      <c r="H166" s="2" t="str">
        <f>IF(ISBLANK(G166),"",VLOOKUP(G166,configuration!$J$7:$K$10,2,FALSE))</f>
        <v/>
      </c>
      <c r="I166" s="30"/>
      <c r="J166" s="2"/>
      <c r="K166" s="31"/>
      <c r="L166" s="35"/>
      <c r="M166" s="2" t="str">
        <f>IF(ISBLANK(L166),"",VLOOKUP(L166,configuration!$M$7:$N$10,2,FALSE))</f>
        <v/>
      </c>
      <c r="N166" s="30"/>
      <c r="O166" s="2"/>
      <c r="P166" s="31"/>
      <c r="Q166" s="54"/>
      <c r="R166" s="55" t="str">
        <f>IF(ISBLANK(Q166),"",VLOOKUP(Q166,configuration!$P$7:$Q$10,2,FALSE))</f>
        <v/>
      </c>
      <c r="S166" s="56"/>
      <c r="T166" s="55"/>
      <c r="U166" s="78"/>
      <c r="V166" s="76" t="str">
        <f t="shared" si="12"/>
        <v/>
      </c>
      <c r="W166" s="48" t="str">
        <f t="shared" si="12"/>
        <v/>
      </c>
      <c r="X166" s="48" t="str">
        <f t="shared" si="12"/>
        <v/>
      </c>
      <c r="Y166" s="48" t="str">
        <f t="shared" si="12"/>
        <v/>
      </c>
      <c r="Z166" s="49" t="str">
        <f t="shared" si="10"/>
        <v/>
      </c>
      <c r="AA166" s="50" t="str">
        <f t="shared" si="13"/>
        <v/>
      </c>
      <c r="AB166" s="48" t="str">
        <f t="shared" si="13"/>
        <v/>
      </c>
      <c r="AC166" s="48" t="str">
        <f t="shared" si="13"/>
        <v/>
      </c>
      <c r="AD166" s="48" t="str">
        <f t="shared" si="13"/>
        <v/>
      </c>
      <c r="AE166" s="48" t="str">
        <f t="shared" si="11"/>
        <v/>
      </c>
    </row>
    <row r="167" spans="1:31" x14ac:dyDescent="0.25">
      <c r="A167" s="2"/>
      <c r="B167" s="2"/>
      <c r="C167" s="2"/>
      <c r="D167" s="2" t="str">
        <f>IF(ISBLANK(C167),"",VLOOKUP(C167,configuration!$G$7:$H$10,2,FALSE))</f>
        <v/>
      </c>
      <c r="E167" s="2"/>
      <c r="F167" s="2"/>
      <c r="G167" s="2"/>
      <c r="H167" s="2" t="str">
        <f>IF(ISBLANK(G167),"",VLOOKUP(G167,configuration!$J$7:$K$10,2,FALSE))</f>
        <v/>
      </c>
      <c r="I167" s="30"/>
      <c r="J167" s="2"/>
      <c r="K167" s="31"/>
      <c r="L167" s="35"/>
      <c r="M167" s="2" t="str">
        <f>IF(ISBLANK(L167),"",VLOOKUP(L167,configuration!$M$7:$N$10,2,FALSE))</f>
        <v/>
      </c>
      <c r="N167" s="30"/>
      <c r="O167" s="2"/>
      <c r="P167" s="31"/>
      <c r="Q167" s="54"/>
      <c r="R167" s="55" t="str">
        <f>IF(ISBLANK(Q167),"",VLOOKUP(Q167,configuration!$P$7:$Q$10,2,FALSE))</f>
        <v/>
      </c>
      <c r="S167" s="56"/>
      <c r="T167" s="55"/>
      <c r="U167" s="78"/>
      <c r="V167" s="76" t="str">
        <f t="shared" si="12"/>
        <v/>
      </c>
      <c r="W167" s="48" t="str">
        <f t="shared" si="12"/>
        <v/>
      </c>
      <c r="X167" s="48" t="str">
        <f t="shared" si="12"/>
        <v/>
      </c>
      <c r="Y167" s="48" t="str">
        <f t="shared" si="12"/>
        <v/>
      </c>
      <c r="Z167" s="49" t="str">
        <f t="shared" si="10"/>
        <v/>
      </c>
      <c r="AA167" s="50" t="str">
        <f t="shared" si="13"/>
        <v/>
      </c>
      <c r="AB167" s="48" t="str">
        <f t="shared" si="13"/>
        <v/>
      </c>
      <c r="AC167" s="48" t="str">
        <f t="shared" si="13"/>
        <v/>
      </c>
      <c r="AD167" s="48" t="str">
        <f t="shared" si="13"/>
        <v/>
      </c>
      <c r="AE167" s="48" t="str">
        <f t="shared" si="11"/>
        <v/>
      </c>
    </row>
    <row r="168" spans="1:31" x14ac:dyDescent="0.25">
      <c r="A168" s="2"/>
      <c r="B168" s="2"/>
      <c r="C168" s="2"/>
      <c r="D168" s="2" t="str">
        <f>IF(ISBLANK(C168),"",VLOOKUP(C168,configuration!$G$7:$H$10,2,FALSE))</f>
        <v/>
      </c>
      <c r="E168" s="2"/>
      <c r="F168" s="2"/>
      <c r="G168" s="2"/>
      <c r="H168" s="2" t="str">
        <f>IF(ISBLANK(G168),"",VLOOKUP(G168,configuration!$J$7:$K$10,2,FALSE))</f>
        <v/>
      </c>
      <c r="I168" s="30"/>
      <c r="J168" s="2"/>
      <c r="K168" s="31"/>
      <c r="L168" s="35"/>
      <c r="M168" s="2" t="str">
        <f>IF(ISBLANK(L168),"",VLOOKUP(L168,configuration!$M$7:$N$10,2,FALSE))</f>
        <v/>
      </c>
      <c r="N168" s="30"/>
      <c r="O168" s="2"/>
      <c r="P168" s="31"/>
      <c r="Q168" s="54"/>
      <c r="R168" s="55" t="str">
        <f>IF(ISBLANK(Q168),"",VLOOKUP(Q168,configuration!$P$7:$Q$10,2,FALSE))</f>
        <v/>
      </c>
      <c r="S168" s="56"/>
      <c r="T168" s="55"/>
      <c r="U168" s="78"/>
      <c r="V168" s="76" t="str">
        <f t="shared" si="12"/>
        <v/>
      </c>
      <c r="W168" s="48" t="str">
        <f t="shared" si="12"/>
        <v/>
      </c>
      <c r="X168" s="48" t="str">
        <f t="shared" si="12"/>
        <v/>
      </c>
      <c r="Y168" s="48" t="str">
        <f t="shared" si="12"/>
        <v/>
      </c>
      <c r="Z168" s="49" t="str">
        <f t="shared" si="10"/>
        <v/>
      </c>
      <c r="AA168" s="50" t="str">
        <f t="shared" si="13"/>
        <v/>
      </c>
      <c r="AB168" s="48" t="str">
        <f t="shared" si="13"/>
        <v/>
      </c>
      <c r="AC168" s="48" t="str">
        <f t="shared" si="13"/>
        <v/>
      </c>
      <c r="AD168" s="48" t="str">
        <f t="shared" si="13"/>
        <v/>
      </c>
      <c r="AE168" s="48" t="str">
        <f t="shared" si="11"/>
        <v/>
      </c>
    </row>
    <row r="169" spans="1:31" x14ac:dyDescent="0.25">
      <c r="A169" s="2"/>
      <c r="B169" s="2"/>
      <c r="C169" s="2"/>
      <c r="D169" s="2" t="str">
        <f>IF(ISBLANK(C169),"",VLOOKUP(C169,configuration!$G$7:$H$10,2,FALSE))</f>
        <v/>
      </c>
      <c r="E169" s="2"/>
      <c r="F169" s="2"/>
      <c r="G169" s="2"/>
      <c r="H169" s="2" t="str">
        <f>IF(ISBLANK(G169),"",VLOOKUP(G169,configuration!$J$7:$K$10,2,FALSE))</f>
        <v/>
      </c>
      <c r="I169" s="30"/>
      <c r="J169" s="2"/>
      <c r="K169" s="31"/>
      <c r="L169" s="35"/>
      <c r="M169" s="2" t="str">
        <f>IF(ISBLANK(L169),"",VLOOKUP(L169,configuration!$M$7:$N$10,2,FALSE))</f>
        <v/>
      </c>
      <c r="N169" s="30"/>
      <c r="O169" s="2"/>
      <c r="P169" s="31"/>
      <c r="Q169" s="54"/>
      <c r="R169" s="55" t="str">
        <f>IF(ISBLANK(Q169),"",VLOOKUP(Q169,configuration!$P$7:$Q$10,2,FALSE))</f>
        <v/>
      </c>
      <c r="S169" s="56"/>
      <c r="T169" s="55"/>
      <c r="U169" s="78"/>
      <c r="V169" s="76" t="str">
        <f t="shared" si="12"/>
        <v/>
      </c>
      <c r="W169" s="48" t="str">
        <f t="shared" si="12"/>
        <v/>
      </c>
      <c r="X169" s="48" t="str">
        <f t="shared" si="12"/>
        <v/>
      </c>
      <c r="Y169" s="48" t="str">
        <f t="shared" si="12"/>
        <v/>
      </c>
      <c r="Z169" s="49" t="str">
        <f t="shared" si="10"/>
        <v/>
      </c>
      <c r="AA169" s="50" t="str">
        <f t="shared" si="13"/>
        <v/>
      </c>
      <c r="AB169" s="48" t="str">
        <f t="shared" si="13"/>
        <v/>
      </c>
      <c r="AC169" s="48" t="str">
        <f t="shared" si="13"/>
        <v/>
      </c>
      <c r="AD169" s="48" t="str">
        <f t="shared" si="13"/>
        <v/>
      </c>
      <c r="AE169" s="48" t="str">
        <f t="shared" si="11"/>
        <v/>
      </c>
    </row>
    <row r="170" spans="1:31" x14ac:dyDescent="0.25">
      <c r="A170" s="2"/>
      <c r="B170" s="2"/>
      <c r="C170" s="2"/>
      <c r="D170" s="2" t="str">
        <f>IF(ISBLANK(C170),"",VLOOKUP(C170,configuration!$G$7:$H$10,2,FALSE))</f>
        <v/>
      </c>
      <c r="E170" s="2"/>
      <c r="F170" s="2"/>
      <c r="G170" s="2"/>
      <c r="H170" s="2" t="str">
        <f>IF(ISBLANK(G170),"",VLOOKUP(G170,configuration!$J$7:$K$10,2,FALSE))</f>
        <v/>
      </c>
      <c r="I170" s="30"/>
      <c r="J170" s="2"/>
      <c r="K170" s="31"/>
      <c r="L170" s="35"/>
      <c r="M170" s="2" t="str">
        <f>IF(ISBLANK(L170),"",VLOOKUP(L170,configuration!$M$7:$N$10,2,FALSE))</f>
        <v/>
      </c>
      <c r="N170" s="30"/>
      <c r="O170" s="2"/>
      <c r="P170" s="31"/>
      <c r="Q170" s="54"/>
      <c r="R170" s="55" t="str">
        <f>IF(ISBLANK(Q170),"",VLOOKUP(Q170,configuration!$P$7:$Q$10,2,FALSE))</f>
        <v/>
      </c>
      <c r="S170" s="56"/>
      <c r="T170" s="55"/>
      <c r="U170" s="78"/>
      <c r="V170" s="76" t="str">
        <f t="shared" si="12"/>
        <v/>
      </c>
      <c r="W170" s="48" t="str">
        <f t="shared" si="12"/>
        <v/>
      </c>
      <c r="X170" s="48" t="str">
        <f t="shared" si="12"/>
        <v/>
      </c>
      <c r="Y170" s="48" t="str">
        <f t="shared" si="12"/>
        <v/>
      </c>
      <c r="Z170" s="49" t="str">
        <f t="shared" si="10"/>
        <v/>
      </c>
      <c r="AA170" s="50" t="str">
        <f t="shared" si="13"/>
        <v/>
      </c>
      <c r="AB170" s="48" t="str">
        <f t="shared" si="13"/>
        <v/>
      </c>
      <c r="AC170" s="48" t="str">
        <f t="shared" si="13"/>
        <v/>
      </c>
      <c r="AD170" s="48" t="str">
        <f t="shared" si="13"/>
        <v/>
      </c>
      <c r="AE170" s="48" t="str">
        <f t="shared" si="11"/>
        <v/>
      </c>
    </row>
    <row r="171" spans="1:31" x14ac:dyDescent="0.25">
      <c r="A171" s="2"/>
      <c r="B171" s="2"/>
      <c r="C171" s="2"/>
      <c r="D171" s="2" t="str">
        <f>IF(ISBLANK(C171),"",VLOOKUP(C171,configuration!$G$7:$H$10,2,FALSE))</f>
        <v/>
      </c>
      <c r="E171" s="2"/>
      <c r="F171" s="2"/>
      <c r="G171" s="2"/>
      <c r="H171" s="2" t="str">
        <f>IF(ISBLANK(G171),"",VLOOKUP(G171,configuration!$J$7:$K$10,2,FALSE))</f>
        <v/>
      </c>
      <c r="I171" s="30"/>
      <c r="J171" s="2"/>
      <c r="K171" s="31"/>
      <c r="L171" s="35"/>
      <c r="M171" s="2" t="str">
        <f>IF(ISBLANK(L171),"",VLOOKUP(L171,configuration!$M$7:$N$10,2,FALSE))</f>
        <v/>
      </c>
      <c r="N171" s="30"/>
      <c r="O171" s="2"/>
      <c r="P171" s="31"/>
      <c r="Q171" s="54"/>
      <c r="R171" s="55" t="str">
        <f>IF(ISBLANK(Q171),"",VLOOKUP(Q171,configuration!$P$7:$Q$10,2,FALSE))</f>
        <v/>
      </c>
      <c r="S171" s="56"/>
      <c r="T171" s="55"/>
      <c r="U171" s="78"/>
      <c r="V171" s="76" t="str">
        <f t="shared" si="12"/>
        <v/>
      </c>
      <c r="W171" s="48" t="str">
        <f t="shared" si="12"/>
        <v/>
      </c>
      <c r="X171" s="48" t="str">
        <f t="shared" si="12"/>
        <v/>
      </c>
      <c r="Y171" s="48" t="str">
        <f t="shared" si="12"/>
        <v/>
      </c>
      <c r="Z171" s="49" t="str">
        <f t="shared" si="10"/>
        <v/>
      </c>
      <c r="AA171" s="50" t="str">
        <f t="shared" si="13"/>
        <v/>
      </c>
      <c r="AB171" s="48" t="str">
        <f t="shared" si="13"/>
        <v/>
      </c>
      <c r="AC171" s="48" t="str">
        <f t="shared" si="13"/>
        <v/>
      </c>
      <c r="AD171" s="48" t="str">
        <f t="shared" si="13"/>
        <v/>
      </c>
      <c r="AE171" s="48" t="str">
        <f t="shared" si="11"/>
        <v/>
      </c>
    </row>
    <row r="172" spans="1:31" x14ac:dyDescent="0.25">
      <c r="A172" s="2"/>
      <c r="B172" s="2"/>
      <c r="C172" s="2"/>
      <c r="D172" s="2" t="str">
        <f>IF(ISBLANK(C172),"",VLOOKUP(C172,configuration!$G$7:$H$10,2,FALSE))</f>
        <v/>
      </c>
      <c r="E172" s="2"/>
      <c r="F172" s="2"/>
      <c r="G172" s="2"/>
      <c r="H172" s="2" t="str">
        <f>IF(ISBLANK(G172),"",VLOOKUP(G172,configuration!$J$7:$K$10,2,FALSE))</f>
        <v/>
      </c>
      <c r="I172" s="30"/>
      <c r="J172" s="2"/>
      <c r="K172" s="31"/>
      <c r="L172" s="35"/>
      <c r="M172" s="2" t="str">
        <f>IF(ISBLANK(L172),"",VLOOKUP(L172,configuration!$M$7:$N$10,2,FALSE))</f>
        <v/>
      </c>
      <c r="N172" s="30"/>
      <c r="O172" s="2"/>
      <c r="P172" s="31"/>
      <c r="Q172" s="54"/>
      <c r="R172" s="55" t="str">
        <f>IF(ISBLANK(Q172),"",VLOOKUP(Q172,configuration!$P$7:$Q$10,2,FALSE))</f>
        <v/>
      </c>
      <c r="S172" s="56"/>
      <c r="T172" s="55"/>
      <c r="U172" s="78"/>
      <c r="V172" s="76" t="str">
        <f t="shared" si="12"/>
        <v/>
      </c>
      <c r="W172" s="48" t="str">
        <f t="shared" si="12"/>
        <v/>
      </c>
      <c r="X172" s="48" t="str">
        <f t="shared" si="12"/>
        <v/>
      </c>
      <c r="Y172" s="48" t="str">
        <f t="shared" si="12"/>
        <v/>
      </c>
      <c r="Z172" s="49" t="str">
        <f t="shared" si="10"/>
        <v/>
      </c>
      <c r="AA172" s="50" t="str">
        <f t="shared" si="13"/>
        <v/>
      </c>
      <c r="AB172" s="48" t="str">
        <f t="shared" si="13"/>
        <v/>
      </c>
      <c r="AC172" s="48" t="str">
        <f t="shared" si="13"/>
        <v/>
      </c>
      <c r="AD172" s="48" t="str">
        <f t="shared" si="13"/>
        <v/>
      </c>
      <c r="AE172" s="48" t="str">
        <f t="shared" si="11"/>
        <v/>
      </c>
    </row>
    <row r="173" spans="1:31" x14ac:dyDescent="0.25">
      <c r="A173" s="2"/>
      <c r="B173" s="2"/>
      <c r="C173" s="2"/>
      <c r="D173" s="2" t="str">
        <f>IF(ISBLANK(C173),"",VLOOKUP(C173,configuration!$G$7:$H$10,2,FALSE))</f>
        <v/>
      </c>
      <c r="E173" s="2"/>
      <c r="F173" s="2"/>
      <c r="G173" s="2"/>
      <c r="H173" s="2" t="str">
        <f>IF(ISBLANK(G173),"",VLOOKUP(G173,configuration!$J$7:$K$10,2,FALSE))</f>
        <v/>
      </c>
      <c r="I173" s="30"/>
      <c r="J173" s="2"/>
      <c r="K173" s="31"/>
      <c r="L173" s="35"/>
      <c r="M173" s="2" t="str">
        <f>IF(ISBLANK(L173),"",VLOOKUP(L173,configuration!$M$7:$N$10,2,FALSE))</f>
        <v/>
      </c>
      <c r="N173" s="30"/>
      <c r="O173" s="2"/>
      <c r="P173" s="31"/>
      <c r="Q173" s="54"/>
      <c r="R173" s="55" t="str">
        <f>IF(ISBLANK(Q173),"",VLOOKUP(Q173,configuration!$P$7:$Q$10,2,FALSE))</f>
        <v/>
      </c>
      <c r="S173" s="56"/>
      <c r="T173" s="55"/>
      <c r="U173" s="78"/>
      <c r="V173" s="76" t="str">
        <f t="shared" si="12"/>
        <v/>
      </c>
      <c r="W173" s="48" t="str">
        <f t="shared" si="12"/>
        <v/>
      </c>
      <c r="X173" s="48" t="str">
        <f t="shared" si="12"/>
        <v/>
      </c>
      <c r="Y173" s="48" t="str">
        <f t="shared" si="12"/>
        <v/>
      </c>
      <c r="Z173" s="49" t="str">
        <f t="shared" si="10"/>
        <v/>
      </c>
      <c r="AA173" s="50" t="str">
        <f t="shared" si="13"/>
        <v/>
      </c>
      <c r="AB173" s="48" t="str">
        <f t="shared" si="13"/>
        <v/>
      </c>
      <c r="AC173" s="48" t="str">
        <f t="shared" si="13"/>
        <v/>
      </c>
      <c r="AD173" s="48" t="str">
        <f t="shared" si="13"/>
        <v/>
      </c>
      <c r="AE173" s="48" t="str">
        <f t="shared" si="11"/>
        <v/>
      </c>
    </row>
    <row r="174" spans="1:31" x14ac:dyDescent="0.25">
      <c r="A174" s="2"/>
      <c r="B174" s="2"/>
      <c r="C174" s="2"/>
      <c r="D174" s="2" t="str">
        <f>IF(ISBLANK(C174),"",VLOOKUP(C174,configuration!$G$7:$H$10,2,FALSE))</f>
        <v/>
      </c>
      <c r="E174" s="2"/>
      <c r="F174" s="2"/>
      <c r="G174" s="2"/>
      <c r="H174" s="2" t="str">
        <f>IF(ISBLANK(G174),"",VLOOKUP(G174,configuration!$J$7:$K$10,2,FALSE))</f>
        <v/>
      </c>
      <c r="I174" s="30"/>
      <c r="J174" s="2"/>
      <c r="K174" s="31"/>
      <c r="L174" s="35"/>
      <c r="M174" s="2" t="str">
        <f>IF(ISBLANK(L174),"",VLOOKUP(L174,configuration!$M$7:$N$10,2,FALSE))</f>
        <v/>
      </c>
      <c r="N174" s="30"/>
      <c r="O174" s="2"/>
      <c r="P174" s="31"/>
      <c r="Q174" s="54"/>
      <c r="R174" s="55" t="str">
        <f>IF(ISBLANK(Q174),"",VLOOKUP(Q174,configuration!$P$7:$Q$10,2,FALSE))</f>
        <v/>
      </c>
      <c r="S174" s="56"/>
      <c r="T174" s="55"/>
      <c r="U174" s="78"/>
      <c r="V174" s="76" t="str">
        <f t="shared" si="12"/>
        <v/>
      </c>
      <c r="W174" s="48" t="str">
        <f t="shared" si="12"/>
        <v/>
      </c>
      <c r="X174" s="48" t="str">
        <f t="shared" si="12"/>
        <v/>
      </c>
      <c r="Y174" s="48" t="str">
        <f t="shared" si="12"/>
        <v/>
      </c>
      <c r="Z174" s="49" t="str">
        <f t="shared" si="10"/>
        <v/>
      </c>
      <c r="AA174" s="50" t="str">
        <f t="shared" si="13"/>
        <v/>
      </c>
      <c r="AB174" s="48" t="str">
        <f t="shared" si="13"/>
        <v/>
      </c>
      <c r="AC174" s="48" t="str">
        <f t="shared" si="13"/>
        <v/>
      </c>
      <c r="AD174" s="48" t="str">
        <f t="shared" si="13"/>
        <v/>
      </c>
      <c r="AE174" s="48" t="str">
        <f t="shared" si="11"/>
        <v/>
      </c>
    </row>
    <row r="175" spans="1:31" x14ac:dyDescent="0.25">
      <c r="A175" s="2"/>
      <c r="B175" s="2"/>
      <c r="C175" s="2"/>
      <c r="D175" s="2" t="str">
        <f>IF(ISBLANK(C175),"",VLOOKUP(C175,configuration!$G$7:$H$10,2,FALSE))</f>
        <v/>
      </c>
      <c r="E175" s="2"/>
      <c r="F175" s="2"/>
      <c r="G175" s="2"/>
      <c r="H175" s="2" t="str">
        <f>IF(ISBLANK(G175),"",VLOOKUP(G175,configuration!$J$7:$K$10,2,FALSE))</f>
        <v/>
      </c>
      <c r="I175" s="30"/>
      <c r="J175" s="2"/>
      <c r="K175" s="31"/>
      <c r="L175" s="35"/>
      <c r="M175" s="2" t="str">
        <f>IF(ISBLANK(L175),"",VLOOKUP(L175,configuration!$M$7:$N$10,2,FALSE))</f>
        <v/>
      </c>
      <c r="N175" s="30"/>
      <c r="O175" s="2"/>
      <c r="P175" s="31"/>
      <c r="Q175" s="54"/>
      <c r="R175" s="55" t="str">
        <f>IF(ISBLANK(Q175),"",VLOOKUP(Q175,configuration!$P$7:$Q$10,2,FALSE))</f>
        <v/>
      </c>
      <c r="S175" s="56"/>
      <c r="T175" s="55"/>
      <c r="U175" s="78"/>
      <c r="V175" s="76" t="str">
        <f t="shared" si="12"/>
        <v/>
      </c>
      <c r="W175" s="48" t="str">
        <f t="shared" si="12"/>
        <v/>
      </c>
      <c r="X175" s="48" t="str">
        <f t="shared" si="12"/>
        <v/>
      </c>
      <c r="Y175" s="48" t="str">
        <f t="shared" si="12"/>
        <v/>
      </c>
      <c r="Z175" s="49" t="str">
        <f t="shared" si="10"/>
        <v/>
      </c>
      <c r="AA175" s="50" t="str">
        <f t="shared" si="13"/>
        <v/>
      </c>
      <c r="AB175" s="48" t="str">
        <f t="shared" si="13"/>
        <v/>
      </c>
      <c r="AC175" s="48" t="str">
        <f t="shared" si="13"/>
        <v/>
      </c>
      <c r="AD175" s="48" t="str">
        <f t="shared" si="13"/>
        <v/>
      </c>
      <c r="AE175" s="48" t="str">
        <f t="shared" si="11"/>
        <v/>
      </c>
    </row>
    <row r="176" spans="1:31" x14ac:dyDescent="0.25">
      <c r="A176" s="2"/>
      <c r="B176" s="2"/>
      <c r="C176" s="2"/>
      <c r="D176" s="2" t="str">
        <f>IF(ISBLANK(C176),"",VLOOKUP(C176,configuration!$G$7:$H$10,2,FALSE))</f>
        <v/>
      </c>
      <c r="E176" s="2"/>
      <c r="F176" s="2"/>
      <c r="G176" s="2"/>
      <c r="H176" s="2" t="str">
        <f>IF(ISBLANK(G176),"",VLOOKUP(G176,configuration!$J$7:$K$10,2,FALSE))</f>
        <v/>
      </c>
      <c r="I176" s="30"/>
      <c r="J176" s="2"/>
      <c r="K176" s="31"/>
      <c r="L176" s="35"/>
      <c r="M176" s="2" t="str">
        <f>IF(ISBLANK(L176),"",VLOOKUP(L176,configuration!$M$7:$N$10,2,FALSE))</f>
        <v/>
      </c>
      <c r="N176" s="30"/>
      <c r="O176" s="2"/>
      <c r="P176" s="31"/>
      <c r="Q176" s="54"/>
      <c r="R176" s="55" t="str">
        <f>IF(ISBLANK(Q176),"",VLOOKUP(Q176,configuration!$P$7:$Q$10,2,FALSE))</f>
        <v/>
      </c>
      <c r="S176" s="56"/>
      <c r="T176" s="55"/>
      <c r="U176" s="78"/>
      <c r="V176" s="76" t="str">
        <f t="shared" si="12"/>
        <v/>
      </c>
      <c r="W176" s="48" t="str">
        <f t="shared" si="12"/>
        <v/>
      </c>
      <c r="X176" s="48" t="str">
        <f t="shared" si="12"/>
        <v/>
      </c>
      <c r="Y176" s="48" t="str">
        <f t="shared" si="12"/>
        <v/>
      </c>
      <c r="Z176" s="49" t="str">
        <f t="shared" si="10"/>
        <v/>
      </c>
      <c r="AA176" s="50" t="str">
        <f t="shared" si="13"/>
        <v/>
      </c>
      <c r="AB176" s="48" t="str">
        <f t="shared" si="13"/>
        <v/>
      </c>
      <c r="AC176" s="48" t="str">
        <f t="shared" si="13"/>
        <v/>
      </c>
      <c r="AD176" s="48" t="str">
        <f t="shared" si="13"/>
        <v/>
      </c>
      <c r="AE176" s="48" t="str">
        <f t="shared" si="11"/>
        <v/>
      </c>
    </row>
    <row r="177" spans="1:31" x14ac:dyDescent="0.25">
      <c r="A177" s="2"/>
      <c r="B177" s="2"/>
      <c r="C177" s="2"/>
      <c r="D177" s="2" t="str">
        <f>IF(ISBLANK(C177),"",VLOOKUP(C177,configuration!$G$7:$H$10,2,FALSE))</f>
        <v/>
      </c>
      <c r="E177" s="2"/>
      <c r="F177" s="2"/>
      <c r="G177" s="2"/>
      <c r="H177" s="2" t="str">
        <f>IF(ISBLANK(G177),"",VLOOKUP(G177,configuration!$J$7:$K$10,2,FALSE))</f>
        <v/>
      </c>
      <c r="I177" s="30"/>
      <c r="J177" s="2"/>
      <c r="K177" s="31"/>
      <c r="L177" s="35"/>
      <c r="M177" s="2" t="str">
        <f>IF(ISBLANK(L177),"",VLOOKUP(L177,configuration!$M$7:$N$10,2,FALSE))</f>
        <v/>
      </c>
      <c r="N177" s="30"/>
      <c r="O177" s="2"/>
      <c r="P177" s="31"/>
      <c r="Q177" s="54"/>
      <c r="R177" s="55" t="str">
        <f>IF(ISBLANK(Q177),"",VLOOKUP(Q177,configuration!$P$7:$Q$10,2,FALSE))</f>
        <v/>
      </c>
      <c r="S177" s="56"/>
      <c r="T177" s="55"/>
      <c r="U177" s="78"/>
      <c r="V177" s="76" t="str">
        <f t="shared" si="12"/>
        <v/>
      </c>
      <c r="W177" s="48" t="str">
        <f t="shared" si="12"/>
        <v/>
      </c>
      <c r="X177" s="48" t="str">
        <f t="shared" si="12"/>
        <v/>
      </c>
      <c r="Y177" s="48" t="str">
        <f t="shared" si="12"/>
        <v/>
      </c>
      <c r="Z177" s="49" t="str">
        <f t="shared" si="10"/>
        <v/>
      </c>
      <c r="AA177" s="50" t="str">
        <f t="shared" si="13"/>
        <v/>
      </c>
      <c r="AB177" s="48" t="str">
        <f t="shared" si="13"/>
        <v/>
      </c>
      <c r="AC177" s="48" t="str">
        <f t="shared" si="13"/>
        <v/>
      </c>
      <c r="AD177" s="48" t="str">
        <f t="shared" si="13"/>
        <v/>
      </c>
      <c r="AE177" s="48" t="str">
        <f t="shared" si="11"/>
        <v/>
      </c>
    </row>
    <row r="178" spans="1:31" x14ac:dyDescent="0.25">
      <c r="A178" s="2"/>
      <c r="B178" s="2"/>
      <c r="C178" s="2"/>
      <c r="D178" s="2" t="str">
        <f>IF(ISBLANK(C178),"",VLOOKUP(C178,configuration!$G$7:$H$10,2,FALSE))</f>
        <v/>
      </c>
      <c r="E178" s="2"/>
      <c r="F178" s="2"/>
      <c r="G178" s="2"/>
      <c r="H178" s="2" t="str">
        <f>IF(ISBLANK(G178),"",VLOOKUP(G178,configuration!$J$7:$K$10,2,FALSE))</f>
        <v/>
      </c>
      <c r="I178" s="30"/>
      <c r="J178" s="2"/>
      <c r="K178" s="31"/>
      <c r="L178" s="35"/>
      <c r="M178" s="2" t="str">
        <f>IF(ISBLANK(L178),"",VLOOKUP(L178,configuration!$M$7:$N$10,2,FALSE))</f>
        <v/>
      </c>
      <c r="N178" s="30"/>
      <c r="O178" s="2"/>
      <c r="P178" s="31"/>
      <c r="Q178" s="54"/>
      <c r="R178" s="55" t="str">
        <f>IF(ISBLANK(Q178),"",VLOOKUP(Q178,configuration!$P$7:$Q$10,2,FALSE))</f>
        <v/>
      </c>
      <c r="S178" s="56"/>
      <c r="T178" s="55"/>
      <c r="U178" s="78"/>
      <c r="V178" s="76" t="str">
        <f t="shared" si="12"/>
        <v/>
      </c>
      <c r="W178" s="48" t="str">
        <f t="shared" si="12"/>
        <v/>
      </c>
      <c r="X178" s="48" t="str">
        <f t="shared" si="12"/>
        <v/>
      </c>
      <c r="Y178" s="48" t="str">
        <f t="shared" si="12"/>
        <v/>
      </c>
      <c r="Z178" s="49" t="str">
        <f t="shared" si="10"/>
        <v/>
      </c>
      <c r="AA178" s="50" t="str">
        <f t="shared" si="13"/>
        <v/>
      </c>
      <c r="AB178" s="48" t="str">
        <f t="shared" si="13"/>
        <v/>
      </c>
      <c r="AC178" s="48" t="str">
        <f t="shared" si="13"/>
        <v/>
      </c>
      <c r="AD178" s="48" t="str">
        <f t="shared" si="13"/>
        <v/>
      </c>
      <c r="AE178" s="48" t="str">
        <f t="shared" si="11"/>
        <v/>
      </c>
    </row>
    <row r="179" spans="1:31" x14ac:dyDescent="0.25">
      <c r="A179" s="2"/>
      <c r="B179" s="2"/>
      <c r="C179" s="2"/>
      <c r="D179" s="2" t="str">
        <f>IF(ISBLANK(C179),"",VLOOKUP(C179,configuration!$G$7:$H$10,2,FALSE))</f>
        <v/>
      </c>
      <c r="E179" s="2"/>
      <c r="F179" s="2"/>
      <c r="G179" s="2"/>
      <c r="H179" s="2" t="str">
        <f>IF(ISBLANK(G179),"",VLOOKUP(G179,configuration!$J$7:$K$10,2,FALSE))</f>
        <v/>
      </c>
      <c r="I179" s="30"/>
      <c r="J179" s="2"/>
      <c r="K179" s="31"/>
      <c r="L179" s="35"/>
      <c r="M179" s="2" t="str">
        <f>IF(ISBLANK(L179),"",VLOOKUP(L179,configuration!$M$7:$N$10,2,FALSE))</f>
        <v/>
      </c>
      <c r="N179" s="30"/>
      <c r="O179" s="2"/>
      <c r="P179" s="31"/>
      <c r="Q179" s="54"/>
      <c r="R179" s="55" t="str">
        <f>IF(ISBLANK(Q179),"",VLOOKUP(Q179,configuration!$P$7:$Q$10,2,FALSE))</f>
        <v/>
      </c>
      <c r="S179" s="56"/>
      <c r="T179" s="55"/>
      <c r="U179" s="78"/>
      <c r="V179" s="76" t="str">
        <f t="shared" si="12"/>
        <v/>
      </c>
      <c r="W179" s="48" t="str">
        <f t="shared" si="12"/>
        <v/>
      </c>
      <c r="X179" s="48" t="str">
        <f t="shared" si="12"/>
        <v/>
      </c>
      <c r="Y179" s="48" t="str">
        <f t="shared" si="12"/>
        <v/>
      </c>
      <c r="Z179" s="49" t="str">
        <f t="shared" si="10"/>
        <v/>
      </c>
      <c r="AA179" s="50" t="str">
        <f t="shared" si="13"/>
        <v/>
      </c>
      <c r="AB179" s="48" t="str">
        <f t="shared" si="13"/>
        <v/>
      </c>
      <c r="AC179" s="48" t="str">
        <f t="shared" si="13"/>
        <v/>
      </c>
      <c r="AD179" s="48" t="str">
        <f t="shared" si="13"/>
        <v/>
      </c>
      <c r="AE179" s="48" t="str">
        <f t="shared" si="11"/>
        <v/>
      </c>
    </row>
    <row r="180" spans="1:31" x14ac:dyDescent="0.25">
      <c r="A180" s="2"/>
      <c r="B180" s="2"/>
      <c r="C180" s="2"/>
      <c r="D180" s="2" t="str">
        <f>IF(ISBLANK(C180),"",VLOOKUP(C180,configuration!$G$7:$H$10,2,FALSE))</f>
        <v/>
      </c>
      <c r="E180" s="2"/>
      <c r="F180" s="2"/>
      <c r="G180" s="2"/>
      <c r="H180" s="2" t="str">
        <f>IF(ISBLANK(G180),"",VLOOKUP(G180,configuration!$J$7:$K$10,2,FALSE))</f>
        <v/>
      </c>
      <c r="I180" s="30"/>
      <c r="J180" s="2"/>
      <c r="K180" s="31"/>
      <c r="L180" s="35"/>
      <c r="M180" s="2" t="str">
        <f>IF(ISBLANK(L180),"",VLOOKUP(L180,configuration!$M$7:$N$10,2,FALSE))</f>
        <v/>
      </c>
      <c r="N180" s="30"/>
      <c r="O180" s="2"/>
      <c r="P180" s="31"/>
      <c r="Q180" s="54"/>
      <c r="R180" s="55" t="str">
        <f>IF(ISBLANK(Q180),"",VLOOKUP(Q180,configuration!$P$7:$Q$10,2,FALSE))</f>
        <v/>
      </c>
      <c r="S180" s="56"/>
      <c r="T180" s="55"/>
      <c r="U180" s="78"/>
      <c r="V180" s="76" t="str">
        <f t="shared" si="12"/>
        <v/>
      </c>
      <c r="W180" s="48" t="str">
        <f t="shared" si="12"/>
        <v/>
      </c>
      <c r="X180" s="48" t="str">
        <f t="shared" si="12"/>
        <v/>
      </c>
      <c r="Y180" s="48" t="str">
        <f t="shared" si="12"/>
        <v/>
      </c>
      <c r="Z180" s="49" t="str">
        <f t="shared" si="10"/>
        <v/>
      </c>
      <c r="AA180" s="50" t="str">
        <f t="shared" si="13"/>
        <v/>
      </c>
      <c r="AB180" s="48" t="str">
        <f t="shared" si="13"/>
        <v/>
      </c>
      <c r="AC180" s="48" t="str">
        <f t="shared" si="13"/>
        <v/>
      </c>
      <c r="AD180" s="48" t="str">
        <f t="shared" si="13"/>
        <v/>
      </c>
      <c r="AE180" s="48" t="str">
        <f t="shared" si="11"/>
        <v/>
      </c>
    </row>
    <row r="181" spans="1:31" x14ac:dyDescent="0.25">
      <c r="A181" s="2"/>
      <c r="B181" s="2"/>
      <c r="C181" s="2"/>
      <c r="D181" s="2" t="str">
        <f>IF(ISBLANK(C181),"",VLOOKUP(C181,configuration!$G$7:$H$10,2,FALSE))</f>
        <v/>
      </c>
      <c r="E181" s="2"/>
      <c r="F181" s="2"/>
      <c r="G181" s="2"/>
      <c r="H181" s="2" t="str">
        <f>IF(ISBLANK(G181),"",VLOOKUP(G181,configuration!$J$7:$K$10,2,FALSE))</f>
        <v/>
      </c>
      <c r="I181" s="30"/>
      <c r="J181" s="2"/>
      <c r="K181" s="31"/>
      <c r="L181" s="35"/>
      <c r="M181" s="2" t="str">
        <f>IF(ISBLANK(L181),"",VLOOKUP(L181,configuration!$M$7:$N$10,2,FALSE))</f>
        <v/>
      </c>
      <c r="N181" s="30"/>
      <c r="O181" s="2"/>
      <c r="P181" s="31"/>
      <c r="Q181" s="54"/>
      <c r="R181" s="55" t="str">
        <f>IF(ISBLANK(Q181),"",VLOOKUP(Q181,configuration!$P$7:$Q$10,2,FALSE))</f>
        <v/>
      </c>
      <c r="S181" s="56"/>
      <c r="T181" s="55"/>
      <c r="U181" s="78"/>
      <c r="V181" s="76" t="str">
        <f t="shared" si="12"/>
        <v/>
      </c>
      <c r="W181" s="48" t="str">
        <f t="shared" si="12"/>
        <v/>
      </c>
      <c r="X181" s="48" t="str">
        <f t="shared" si="12"/>
        <v/>
      </c>
      <c r="Y181" s="48" t="str">
        <f t="shared" si="12"/>
        <v/>
      </c>
      <c r="Z181" s="49" t="str">
        <f t="shared" si="10"/>
        <v/>
      </c>
      <c r="AA181" s="50" t="str">
        <f t="shared" si="13"/>
        <v/>
      </c>
      <c r="AB181" s="48" t="str">
        <f t="shared" si="13"/>
        <v/>
      </c>
      <c r="AC181" s="48" t="str">
        <f t="shared" si="13"/>
        <v/>
      </c>
      <c r="AD181" s="48" t="str">
        <f t="shared" si="13"/>
        <v/>
      </c>
      <c r="AE181" s="48" t="str">
        <f t="shared" si="11"/>
        <v/>
      </c>
    </row>
    <row r="182" spans="1:31" x14ac:dyDescent="0.25">
      <c r="A182" s="2"/>
      <c r="B182" s="2"/>
      <c r="C182" s="2"/>
      <c r="D182" s="2" t="str">
        <f>IF(ISBLANK(C182),"",VLOOKUP(C182,configuration!$G$7:$H$10,2,FALSE))</f>
        <v/>
      </c>
      <c r="E182" s="2"/>
      <c r="F182" s="2"/>
      <c r="G182" s="2"/>
      <c r="H182" s="2" t="str">
        <f>IF(ISBLANK(G182),"",VLOOKUP(G182,configuration!$J$7:$K$10,2,FALSE))</f>
        <v/>
      </c>
      <c r="I182" s="30"/>
      <c r="J182" s="2"/>
      <c r="K182" s="31"/>
      <c r="L182" s="35"/>
      <c r="M182" s="2" t="str">
        <f>IF(ISBLANK(L182),"",VLOOKUP(L182,configuration!$M$7:$N$10,2,FALSE))</f>
        <v/>
      </c>
      <c r="N182" s="30"/>
      <c r="O182" s="2"/>
      <c r="P182" s="31"/>
      <c r="Q182" s="54"/>
      <c r="R182" s="55" t="str">
        <f>IF(ISBLANK(Q182),"",VLOOKUP(Q182,configuration!$P$7:$Q$10,2,FALSE))</f>
        <v/>
      </c>
      <c r="S182" s="56"/>
      <c r="T182" s="55"/>
      <c r="U182" s="78"/>
      <c r="V182" s="76" t="str">
        <f t="shared" si="12"/>
        <v/>
      </c>
      <c r="W182" s="48" t="str">
        <f t="shared" si="12"/>
        <v/>
      </c>
      <c r="X182" s="48" t="str">
        <f t="shared" si="12"/>
        <v/>
      </c>
      <c r="Y182" s="48" t="str">
        <f t="shared" si="12"/>
        <v/>
      </c>
      <c r="Z182" s="49" t="str">
        <f t="shared" si="10"/>
        <v/>
      </c>
      <c r="AA182" s="50" t="str">
        <f t="shared" si="13"/>
        <v/>
      </c>
      <c r="AB182" s="48" t="str">
        <f t="shared" si="13"/>
        <v/>
      </c>
      <c r="AC182" s="48" t="str">
        <f t="shared" si="13"/>
        <v/>
      </c>
      <c r="AD182" s="48" t="str">
        <f t="shared" si="13"/>
        <v/>
      </c>
      <c r="AE182" s="48" t="str">
        <f t="shared" si="11"/>
        <v/>
      </c>
    </row>
    <row r="183" spans="1:31" x14ac:dyDescent="0.25">
      <c r="A183" s="2"/>
      <c r="B183" s="2"/>
      <c r="C183" s="2"/>
      <c r="D183" s="2" t="str">
        <f>IF(ISBLANK(C183),"",VLOOKUP(C183,configuration!$G$7:$H$10,2,FALSE))</f>
        <v/>
      </c>
      <c r="E183" s="2"/>
      <c r="F183" s="2"/>
      <c r="G183" s="2"/>
      <c r="H183" s="2" t="str">
        <f>IF(ISBLANK(G183),"",VLOOKUP(G183,configuration!$J$7:$K$10,2,FALSE))</f>
        <v/>
      </c>
      <c r="I183" s="30"/>
      <c r="J183" s="2"/>
      <c r="K183" s="31"/>
      <c r="L183" s="35"/>
      <c r="M183" s="2" t="str">
        <f>IF(ISBLANK(L183),"",VLOOKUP(L183,configuration!$M$7:$N$10,2,FALSE))</f>
        <v/>
      </c>
      <c r="N183" s="30"/>
      <c r="O183" s="2"/>
      <c r="P183" s="31"/>
      <c r="Q183" s="54"/>
      <c r="R183" s="55" t="str">
        <f>IF(ISBLANK(Q183),"",VLOOKUP(Q183,configuration!$P$7:$Q$10,2,FALSE))</f>
        <v/>
      </c>
      <c r="S183" s="56"/>
      <c r="T183" s="55"/>
      <c r="U183" s="78"/>
      <c r="V183" s="76" t="str">
        <f t="shared" si="12"/>
        <v/>
      </c>
      <c r="W183" s="48" t="str">
        <f t="shared" si="12"/>
        <v/>
      </c>
      <c r="X183" s="48" t="str">
        <f t="shared" si="12"/>
        <v/>
      </c>
      <c r="Y183" s="48" t="str">
        <f t="shared" si="12"/>
        <v/>
      </c>
      <c r="Z183" s="49" t="str">
        <f t="shared" si="10"/>
        <v/>
      </c>
      <c r="AA183" s="50" t="str">
        <f t="shared" si="13"/>
        <v/>
      </c>
      <c r="AB183" s="48" t="str">
        <f t="shared" si="13"/>
        <v/>
      </c>
      <c r="AC183" s="48" t="str">
        <f t="shared" si="13"/>
        <v/>
      </c>
      <c r="AD183" s="48" t="str">
        <f t="shared" si="13"/>
        <v/>
      </c>
      <c r="AE183" s="48" t="str">
        <f t="shared" si="11"/>
        <v/>
      </c>
    </row>
    <row r="184" spans="1:31" x14ac:dyDescent="0.25">
      <c r="A184" s="2"/>
      <c r="B184" s="2"/>
      <c r="C184" s="2"/>
      <c r="D184" s="2" t="str">
        <f>IF(ISBLANK(C184),"",VLOOKUP(C184,configuration!$G$7:$H$10,2,FALSE))</f>
        <v/>
      </c>
      <c r="E184" s="2"/>
      <c r="F184" s="2"/>
      <c r="G184" s="2"/>
      <c r="H184" s="2" t="str">
        <f>IF(ISBLANK(G184),"",VLOOKUP(G184,configuration!$J$7:$K$10,2,FALSE))</f>
        <v/>
      </c>
      <c r="I184" s="30"/>
      <c r="J184" s="2"/>
      <c r="K184" s="31"/>
      <c r="L184" s="35"/>
      <c r="M184" s="2" t="str">
        <f>IF(ISBLANK(L184),"",VLOOKUP(L184,configuration!$M$7:$N$10,2,FALSE))</f>
        <v/>
      </c>
      <c r="N184" s="30"/>
      <c r="O184" s="2"/>
      <c r="P184" s="31"/>
      <c r="Q184" s="54"/>
      <c r="R184" s="55" t="str">
        <f>IF(ISBLANK(Q184),"",VLOOKUP(Q184,configuration!$P$7:$Q$10,2,FALSE))</f>
        <v/>
      </c>
      <c r="S184" s="56"/>
      <c r="T184" s="55"/>
      <c r="U184" s="78"/>
      <c r="V184" s="76" t="str">
        <f t="shared" si="12"/>
        <v/>
      </c>
      <c r="W184" s="48" t="str">
        <f t="shared" si="12"/>
        <v/>
      </c>
      <c r="X184" s="48" t="str">
        <f t="shared" si="12"/>
        <v/>
      </c>
      <c r="Y184" s="48" t="str">
        <f t="shared" si="12"/>
        <v/>
      </c>
      <c r="Z184" s="49" t="str">
        <f t="shared" si="10"/>
        <v/>
      </c>
      <c r="AA184" s="50" t="str">
        <f t="shared" si="13"/>
        <v/>
      </c>
      <c r="AB184" s="48" t="str">
        <f t="shared" si="13"/>
        <v/>
      </c>
      <c r="AC184" s="48" t="str">
        <f t="shared" si="13"/>
        <v/>
      </c>
      <c r="AD184" s="48" t="str">
        <f t="shared" si="13"/>
        <v/>
      </c>
      <c r="AE184" s="48" t="str">
        <f t="shared" si="11"/>
        <v/>
      </c>
    </row>
    <row r="185" spans="1:31" x14ac:dyDescent="0.25">
      <c r="A185" s="2"/>
      <c r="B185" s="2"/>
      <c r="C185" s="2"/>
      <c r="D185" s="2" t="str">
        <f>IF(ISBLANK(C185),"",VLOOKUP(C185,configuration!$G$7:$H$10,2,FALSE))</f>
        <v/>
      </c>
      <c r="E185" s="2"/>
      <c r="F185" s="2"/>
      <c r="G185" s="2"/>
      <c r="H185" s="2" t="str">
        <f>IF(ISBLANK(G185),"",VLOOKUP(G185,configuration!$J$7:$K$10,2,FALSE))</f>
        <v/>
      </c>
      <c r="I185" s="30"/>
      <c r="J185" s="2"/>
      <c r="K185" s="31"/>
      <c r="L185" s="35"/>
      <c r="M185" s="2" t="str">
        <f>IF(ISBLANK(L185),"",VLOOKUP(L185,configuration!$M$7:$N$10,2,FALSE))</f>
        <v/>
      </c>
      <c r="N185" s="30"/>
      <c r="O185" s="2"/>
      <c r="P185" s="31"/>
      <c r="Q185" s="54"/>
      <c r="R185" s="55" t="str">
        <f>IF(ISBLANK(Q185),"",VLOOKUP(Q185,configuration!$P$7:$Q$10,2,FALSE))</f>
        <v/>
      </c>
      <c r="S185" s="56"/>
      <c r="T185" s="55"/>
      <c r="U185" s="78"/>
      <c r="V185" s="76" t="str">
        <f t="shared" si="12"/>
        <v/>
      </c>
      <c r="W185" s="48" t="str">
        <f t="shared" si="12"/>
        <v/>
      </c>
      <c r="X185" s="48" t="str">
        <f t="shared" si="12"/>
        <v/>
      </c>
      <c r="Y185" s="48" t="str">
        <f t="shared" si="12"/>
        <v/>
      </c>
      <c r="Z185" s="49" t="str">
        <f t="shared" si="10"/>
        <v/>
      </c>
      <c r="AA185" s="50" t="str">
        <f t="shared" si="13"/>
        <v/>
      </c>
      <c r="AB185" s="48" t="str">
        <f t="shared" si="13"/>
        <v/>
      </c>
      <c r="AC185" s="48" t="str">
        <f t="shared" si="13"/>
        <v/>
      </c>
      <c r="AD185" s="48" t="str">
        <f t="shared" si="13"/>
        <v/>
      </c>
      <c r="AE185" s="48" t="str">
        <f t="shared" si="11"/>
        <v/>
      </c>
    </row>
    <row r="186" spans="1:31" x14ac:dyDescent="0.25">
      <c r="A186" s="2"/>
      <c r="B186" s="2"/>
      <c r="C186" s="2"/>
      <c r="D186" s="2" t="str">
        <f>IF(ISBLANK(C186),"",VLOOKUP(C186,configuration!$G$7:$H$10,2,FALSE))</f>
        <v/>
      </c>
      <c r="E186" s="2"/>
      <c r="F186" s="2"/>
      <c r="G186" s="2"/>
      <c r="H186" s="2" t="str">
        <f>IF(ISBLANK(G186),"",VLOOKUP(G186,configuration!$J$7:$K$10,2,FALSE))</f>
        <v/>
      </c>
      <c r="I186" s="30"/>
      <c r="J186" s="2"/>
      <c r="K186" s="31"/>
      <c r="L186" s="35"/>
      <c r="M186" s="2" t="str">
        <f>IF(ISBLANK(L186),"",VLOOKUP(L186,configuration!$M$7:$N$10,2,FALSE))</f>
        <v/>
      </c>
      <c r="N186" s="30"/>
      <c r="O186" s="2"/>
      <c r="P186" s="31"/>
      <c r="Q186" s="54"/>
      <c r="R186" s="55" t="str">
        <f>IF(ISBLANK(Q186),"",VLOOKUP(Q186,configuration!$P$7:$Q$10,2,FALSE))</f>
        <v/>
      </c>
      <c r="S186" s="56"/>
      <c r="T186" s="55"/>
      <c r="U186" s="78"/>
      <c r="V186" s="76" t="str">
        <f t="shared" si="12"/>
        <v/>
      </c>
      <c r="W186" s="48" t="str">
        <f t="shared" si="12"/>
        <v/>
      </c>
      <c r="X186" s="48" t="str">
        <f t="shared" si="12"/>
        <v/>
      </c>
      <c r="Y186" s="48" t="str">
        <f t="shared" si="12"/>
        <v/>
      </c>
      <c r="Z186" s="49" t="str">
        <f t="shared" si="10"/>
        <v/>
      </c>
      <c r="AA186" s="50" t="str">
        <f t="shared" si="13"/>
        <v/>
      </c>
      <c r="AB186" s="48" t="str">
        <f t="shared" si="13"/>
        <v/>
      </c>
      <c r="AC186" s="48" t="str">
        <f t="shared" si="13"/>
        <v/>
      </c>
      <c r="AD186" s="48" t="str">
        <f t="shared" si="13"/>
        <v/>
      </c>
      <c r="AE186" s="48" t="str">
        <f t="shared" si="11"/>
        <v/>
      </c>
    </row>
    <row r="187" spans="1:31" x14ac:dyDescent="0.25">
      <c r="A187" s="2"/>
      <c r="B187" s="2"/>
      <c r="C187" s="2"/>
      <c r="D187" s="2" t="str">
        <f>IF(ISBLANK(C187),"",VLOOKUP(C187,configuration!$G$7:$H$10,2,FALSE))</f>
        <v/>
      </c>
      <c r="E187" s="2"/>
      <c r="F187" s="2"/>
      <c r="G187" s="2"/>
      <c r="H187" s="2" t="str">
        <f>IF(ISBLANK(G187),"",VLOOKUP(G187,configuration!$J$7:$K$10,2,FALSE))</f>
        <v/>
      </c>
      <c r="I187" s="30"/>
      <c r="J187" s="2"/>
      <c r="K187" s="31"/>
      <c r="L187" s="35"/>
      <c r="M187" s="2" t="str">
        <f>IF(ISBLANK(L187),"",VLOOKUP(L187,configuration!$M$7:$N$10,2,FALSE))</f>
        <v/>
      </c>
      <c r="N187" s="30"/>
      <c r="O187" s="2"/>
      <c r="P187" s="31"/>
      <c r="Q187" s="54"/>
      <c r="R187" s="55" t="str">
        <f>IF(ISBLANK(Q187),"",VLOOKUP(Q187,configuration!$P$7:$Q$10,2,FALSE))</f>
        <v/>
      </c>
      <c r="S187" s="56"/>
      <c r="T187" s="55"/>
      <c r="U187" s="78"/>
      <c r="V187" s="76" t="str">
        <f t="shared" si="12"/>
        <v/>
      </c>
      <c r="W187" s="48" t="str">
        <f t="shared" si="12"/>
        <v/>
      </c>
      <c r="X187" s="48" t="str">
        <f t="shared" si="12"/>
        <v/>
      </c>
      <c r="Y187" s="48" t="str">
        <f t="shared" si="12"/>
        <v/>
      </c>
      <c r="Z187" s="49" t="str">
        <f t="shared" si="10"/>
        <v/>
      </c>
      <c r="AA187" s="50" t="str">
        <f t="shared" si="13"/>
        <v/>
      </c>
      <c r="AB187" s="48" t="str">
        <f t="shared" si="13"/>
        <v/>
      </c>
      <c r="AC187" s="48" t="str">
        <f t="shared" si="13"/>
        <v/>
      </c>
      <c r="AD187" s="48" t="str">
        <f t="shared" si="13"/>
        <v/>
      </c>
      <c r="AE187" s="48" t="str">
        <f t="shared" si="11"/>
        <v/>
      </c>
    </row>
    <row r="188" spans="1:31" x14ac:dyDescent="0.25">
      <c r="A188" s="2"/>
      <c r="B188" s="2"/>
      <c r="C188" s="2"/>
      <c r="D188" s="2" t="str">
        <f>IF(ISBLANK(C188),"",VLOOKUP(C188,configuration!$G$7:$H$10,2,FALSE))</f>
        <v/>
      </c>
      <c r="E188" s="2"/>
      <c r="F188" s="2"/>
      <c r="G188" s="2"/>
      <c r="H188" s="2" t="str">
        <f>IF(ISBLANK(G188),"",VLOOKUP(G188,configuration!$J$7:$K$10,2,FALSE))</f>
        <v/>
      </c>
      <c r="I188" s="30"/>
      <c r="J188" s="2"/>
      <c r="K188" s="31"/>
      <c r="L188" s="35"/>
      <c r="M188" s="2" t="str">
        <f>IF(ISBLANK(L188),"",VLOOKUP(L188,configuration!$M$7:$N$10,2,FALSE))</f>
        <v/>
      </c>
      <c r="N188" s="30"/>
      <c r="O188" s="2"/>
      <c r="P188" s="31"/>
      <c r="Q188" s="54"/>
      <c r="R188" s="55" t="str">
        <f>IF(ISBLANK(Q188),"",VLOOKUP(Q188,configuration!$P$7:$Q$10,2,FALSE))</f>
        <v/>
      </c>
      <c r="S188" s="56"/>
      <c r="T188" s="55"/>
      <c r="U188" s="78"/>
      <c r="V188" s="76" t="str">
        <f t="shared" si="12"/>
        <v/>
      </c>
      <c r="W188" s="48" t="str">
        <f t="shared" si="12"/>
        <v/>
      </c>
      <c r="X188" s="48" t="str">
        <f t="shared" si="12"/>
        <v/>
      </c>
      <c r="Y188" s="48" t="str">
        <f t="shared" si="12"/>
        <v/>
      </c>
      <c r="Z188" s="49" t="str">
        <f t="shared" si="10"/>
        <v/>
      </c>
      <c r="AA188" s="50" t="str">
        <f t="shared" si="13"/>
        <v/>
      </c>
      <c r="AB188" s="48" t="str">
        <f t="shared" si="13"/>
        <v/>
      </c>
      <c r="AC188" s="48" t="str">
        <f t="shared" si="13"/>
        <v/>
      </c>
      <c r="AD188" s="48" t="str">
        <f t="shared" si="13"/>
        <v/>
      </c>
      <c r="AE188" s="48" t="str">
        <f t="shared" si="11"/>
        <v/>
      </c>
    </row>
    <row r="189" spans="1:31" x14ac:dyDescent="0.25">
      <c r="A189" s="2"/>
      <c r="B189" s="2"/>
      <c r="C189" s="2"/>
      <c r="D189" s="2" t="str">
        <f>IF(ISBLANK(C189),"",VLOOKUP(C189,configuration!$G$7:$H$10,2,FALSE))</f>
        <v/>
      </c>
      <c r="E189" s="2"/>
      <c r="F189" s="2"/>
      <c r="G189" s="2"/>
      <c r="H189" s="2" t="str">
        <f>IF(ISBLANK(G189),"",VLOOKUP(G189,configuration!$J$7:$K$10,2,FALSE))</f>
        <v/>
      </c>
      <c r="I189" s="30"/>
      <c r="J189" s="2"/>
      <c r="K189" s="31"/>
      <c r="L189" s="35"/>
      <c r="M189" s="2" t="str">
        <f>IF(ISBLANK(L189),"",VLOOKUP(L189,configuration!$M$7:$N$10,2,FALSE))</f>
        <v/>
      </c>
      <c r="N189" s="30"/>
      <c r="O189" s="2"/>
      <c r="P189" s="31"/>
      <c r="Q189" s="54"/>
      <c r="R189" s="55" t="str">
        <f>IF(ISBLANK(Q189),"",VLOOKUP(Q189,configuration!$P$7:$Q$10,2,FALSE))</f>
        <v/>
      </c>
      <c r="S189" s="56"/>
      <c r="T189" s="55"/>
      <c r="U189" s="78"/>
      <c r="V189" s="76" t="str">
        <f t="shared" si="12"/>
        <v/>
      </c>
      <c r="W189" s="48" t="str">
        <f t="shared" si="12"/>
        <v/>
      </c>
      <c r="X189" s="48" t="str">
        <f t="shared" si="12"/>
        <v/>
      </c>
      <c r="Y189" s="48" t="str">
        <f t="shared" si="12"/>
        <v/>
      </c>
      <c r="Z189" s="49" t="str">
        <f t="shared" si="10"/>
        <v/>
      </c>
      <c r="AA189" s="50" t="str">
        <f t="shared" si="13"/>
        <v/>
      </c>
      <c r="AB189" s="48" t="str">
        <f t="shared" si="13"/>
        <v/>
      </c>
      <c r="AC189" s="48" t="str">
        <f t="shared" si="13"/>
        <v/>
      </c>
      <c r="AD189" s="48" t="str">
        <f t="shared" si="13"/>
        <v/>
      </c>
      <c r="AE189" s="48" t="str">
        <f t="shared" si="11"/>
        <v/>
      </c>
    </row>
    <row r="190" spans="1:31" x14ac:dyDescent="0.25">
      <c r="A190" s="2"/>
      <c r="B190" s="2"/>
      <c r="C190" s="2"/>
      <c r="D190" s="2" t="str">
        <f>IF(ISBLANK(C190),"",VLOOKUP(C190,configuration!$G$7:$H$10,2,FALSE))</f>
        <v/>
      </c>
      <c r="E190" s="2"/>
      <c r="F190" s="2"/>
      <c r="G190" s="2"/>
      <c r="H190" s="2" t="str">
        <f>IF(ISBLANK(G190),"",VLOOKUP(G190,configuration!$J$7:$K$10,2,FALSE))</f>
        <v/>
      </c>
      <c r="I190" s="30"/>
      <c r="J190" s="2"/>
      <c r="K190" s="31"/>
      <c r="L190" s="35"/>
      <c r="M190" s="2" t="str">
        <f>IF(ISBLANK(L190),"",VLOOKUP(L190,configuration!$M$7:$N$10,2,FALSE))</f>
        <v/>
      </c>
      <c r="N190" s="30"/>
      <c r="O190" s="2"/>
      <c r="P190" s="31"/>
      <c r="Q190" s="54"/>
      <c r="R190" s="55" t="str">
        <f>IF(ISBLANK(Q190),"",VLOOKUP(Q190,configuration!$P$7:$Q$10,2,FALSE))</f>
        <v/>
      </c>
      <c r="S190" s="56"/>
      <c r="T190" s="55"/>
      <c r="U190" s="78"/>
      <c r="V190" s="76" t="str">
        <f t="shared" si="12"/>
        <v/>
      </c>
      <c r="W190" s="48" t="str">
        <f t="shared" si="12"/>
        <v/>
      </c>
      <c r="X190" s="48" t="str">
        <f t="shared" si="12"/>
        <v/>
      </c>
      <c r="Y190" s="48" t="str">
        <f t="shared" si="12"/>
        <v/>
      </c>
      <c r="Z190" s="49" t="str">
        <f t="shared" si="10"/>
        <v/>
      </c>
      <c r="AA190" s="50" t="str">
        <f t="shared" si="13"/>
        <v/>
      </c>
      <c r="AB190" s="48" t="str">
        <f t="shared" si="13"/>
        <v/>
      </c>
      <c r="AC190" s="48" t="str">
        <f t="shared" si="13"/>
        <v/>
      </c>
      <c r="AD190" s="48" t="str">
        <f t="shared" si="13"/>
        <v/>
      </c>
      <c r="AE190" s="48" t="str">
        <f t="shared" si="11"/>
        <v/>
      </c>
    </row>
    <row r="191" spans="1:31" x14ac:dyDescent="0.25">
      <c r="A191" s="2"/>
      <c r="B191" s="2"/>
      <c r="C191" s="2"/>
      <c r="D191" s="2" t="str">
        <f>IF(ISBLANK(C191),"",VLOOKUP(C191,configuration!$G$7:$H$10,2,FALSE))</f>
        <v/>
      </c>
      <c r="E191" s="2"/>
      <c r="F191" s="2"/>
      <c r="G191" s="2"/>
      <c r="H191" s="2" t="str">
        <f>IF(ISBLANK(G191),"",VLOOKUP(G191,configuration!$J$7:$K$10,2,FALSE))</f>
        <v/>
      </c>
      <c r="I191" s="30"/>
      <c r="J191" s="2"/>
      <c r="K191" s="31"/>
      <c r="L191" s="35"/>
      <c r="M191" s="2" t="str">
        <f>IF(ISBLANK(L191),"",VLOOKUP(L191,configuration!$M$7:$N$10,2,FALSE))</f>
        <v/>
      </c>
      <c r="N191" s="30"/>
      <c r="O191" s="2"/>
      <c r="P191" s="31"/>
      <c r="Q191" s="54"/>
      <c r="R191" s="55" t="str">
        <f>IF(ISBLANK(Q191),"",VLOOKUP(Q191,configuration!$P$7:$Q$10,2,FALSE))</f>
        <v/>
      </c>
      <c r="S191" s="56"/>
      <c r="T191" s="55"/>
      <c r="U191" s="78"/>
      <c r="V191" s="76" t="str">
        <f t="shared" si="12"/>
        <v/>
      </c>
      <c r="W191" s="48" t="str">
        <f t="shared" si="12"/>
        <v/>
      </c>
      <c r="X191" s="48" t="str">
        <f t="shared" si="12"/>
        <v/>
      </c>
      <c r="Y191" s="48" t="str">
        <f t="shared" si="12"/>
        <v/>
      </c>
      <c r="Z191" s="49" t="str">
        <f t="shared" si="10"/>
        <v/>
      </c>
      <c r="AA191" s="50" t="str">
        <f t="shared" si="13"/>
        <v/>
      </c>
      <c r="AB191" s="48" t="str">
        <f t="shared" si="13"/>
        <v/>
      </c>
      <c r="AC191" s="48" t="str">
        <f t="shared" si="13"/>
        <v/>
      </c>
      <c r="AD191" s="48" t="str">
        <f t="shared" si="13"/>
        <v/>
      </c>
      <c r="AE191" s="48" t="str">
        <f t="shared" si="11"/>
        <v/>
      </c>
    </row>
    <row r="192" spans="1:31" x14ac:dyDescent="0.25">
      <c r="A192" s="2"/>
      <c r="B192" s="2"/>
      <c r="C192" s="2"/>
      <c r="D192" s="2" t="str">
        <f>IF(ISBLANK(C192),"",VLOOKUP(C192,configuration!$G$7:$H$10,2,FALSE))</f>
        <v/>
      </c>
      <c r="E192" s="2"/>
      <c r="F192" s="2"/>
      <c r="G192" s="2"/>
      <c r="H192" s="2" t="str">
        <f>IF(ISBLANK(G192),"",VLOOKUP(G192,configuration!$J$7:$K$10,2,FALSE))</f>
        <v/>
      </c>
      <c r="I192" s="30"/>
      <c r="J192" s="2"/>
      <c r="K192" s="31"/>
      <c r="L192" s="35"/>
      <c r="M192" s="2" t="str">
        <f>IF(ISBLANK(L192),"",VLOOKUP(L192,configuration!$M$7:$N$10,2,FALSE))</f>
        <v/>
      </c>
      <c r="N192" s="30"/>
      <c r="O192" s="2"/>
      <c r="P192" s="31"/>
      <c r="Q192" s="54"/>
      <c r="R192" s="55" t="str">
        <f>IF(ISBLANK(Q192),"",VLOOKUP(Q192,configuration!$P$7:$Q$10,2,FALSE))</f>
        <v/>
      </c>
      <c r="S192" s="56"/>
      <c r="T192" s="55"/>
      <c r="U192" s="78"/>
      <c r="V192" s="76" t="str">
        <f t="shared" si="12"/>
        <v/>
      </c>
      <c r="W192" s="48" t="str">
        <f t="shared" si="12"/>
        <v/>
      </c>
      <c r="X192" s="48" t="str">
        <f t="shared" si="12"/>
        <v/>
      </c>
      <c r="Y192" s="48" t="str">
        <f t="shared" si="12"/>
        <v/>
      </c>
      <c r="Z192" s="49" t="str">
        <f t="shared" si="10"/>
        <v/>
      </c>
      <c r="AA192" s="50" t="str">
        <f t="shared" si="13"/>
        <v/>
      </c>
      <c r="AB192" s="48" t="str">
        <f t="shared" si="13"/>
        <v/>
      </c>
      <c r="AC192" s="48" t="str">
        <f t="shared" si="13"/>
        <v/>
      </c>
      <c r="AD192" s="48" t="str">
        <f t="shared" si="13"/>
        <v/>
      </c>
      <c r="AE192" s="48" t="str">
        <f t="shared" si="11"/>
        <v/>
      </c>
    </row>
    <row r="193" spans="1:31" x14ac:dyDescent="0.25">
      <c r="A193" s="2"/>
      <c r="B193" s="2"/>
      <c r="C193" s="2"/>
      <c r="D193" s="2" t="str">
        <f>IF(ISBLANK(C193),"",VLOOKUP(C193,configuration!$G$7:$H$10,2,FALSE))</f>
        <v/>
      </c>
      <c r="E193" s="2"/>
      <c r="F193" s="2"/>
      <c r="G193" s="2"/>
      <c r="H193" s="2" t="str">
        <f>IF(ISBLANK(G193),"",VLOOKUP(G193,configuration!$J$7:$K$10,2,FALSE))</f>
        <v/>
      </c>
      <c r="I193" s="30"/>
      <c r="J193" s="2"/>
      <c r="K193" s="31"/>
      <c r="L193" s="35"/>
      <c r="M193" s="2" t="str">
        <f>IF(ISBLANK(L193),"",VLOOKUP(L193,configuration!$M$7:$N$10,2,FALSE))</f>
        <v/>
      </c>
      <c r="N193" s="30"/>
      <c r="O193" s="2"/>
      <c r="P193" s="31"/>
      <c r="Q193" s="54"/>
      <c r="R193" s="55" t="str">
        <f>IF(ISBLANK(Q193),"",VLOOKUP(Q193,configuration!$P$7:$Q$10,2,FALSE))</f>
        <v/>
      </c>
      <c r="S193" s="56"/>
      <c r="T193" s="55"/>
      <c r="U193" s="78"/>
      <c r="V193" s="76" t="str">
        <f t="shared" si="12"/>
        <v/>
      </c>
      <c r="W193" s="48" t="str">
        <f t="shared" si="12"/>
        <v/>
      </c>
      <c r="X193" s="48" t="str">
        <f t="shared" si="12"/>
        <v/>
      </c>
      <c r="Y193" s="48" t="str">
        <f t="shared" si="12"/>
        <v/>
      </c>
      <c r="Z193" s="49" t="str">
        <f t="shared" si="10"/>
        <v/>
      </c>
      <c r="AA193" s="50" t="str">
        <f t="shared" si="13"/>
        <v/>
      </c>
      <c r="AB193" s="48" t="str">
        <f t="shared" si="13"/>
        <v/>
      </c>
      <c r="AC193" s="48" t="str">
        <f t="shared" si="13"/>
        <v/>
      </c>
      <c r="AD193" s="48" t="str">
        <f t="shared" si="13"/>
        <v/>
      </c>
      <c r="AE193" s="48" t="str">
        <f t="shared" si="11"/>
        <v/>
      </c>
    </row>
    <row r="194" spans="1:31" x14ac:dyDescent="0.25">
      <c r="A194" s="2"/>
      <c r="B194" s="2"/>
      <c r="C194" s="2"/>
      <c r="D194" s="2" t="str">
        <f>IF(ISBLANK(C194),"",VLOOKUP(C194,configuration!$G$7:$H$10,2,FALSE))</f>
        <v/>
      </c>
      <c r="E194" s="2"/>
      <c r="F194" s="2"/>
      <c r="G194" s="2"/>
      <c r="H194" s="2" t="str">
        <f>IF(ISBLANK(G194),"",VLOOKUP(G194,configuration!$J$7:$K$10,2,FALSE))</f>
        <v/>
      </c>
      <c r="I194" s="30"/>
      <c r="J194" s="2"/>
      <c r="K194" s="31"/>
      <c r="L194" s="35"/>
      <c r="M194" s="2" t="str">
        <f>IF(ISBLANK(L194),"",VLOOKUP(L194,configuration!$M$7:$N$10,2,FALSE))</f>
        <v/>
      </c>
      <c r="N194" s="30"/>
      <c r="O194" s="2"/>
      <c r="P194" s="31"/>
      <c r="Q194" s="54"/>
      <c r="R194" s="55" t="str">
        <f>IF(ISBLANK(Q194),"",VLOOKUP(Q194,configuration!$P$7:$Q$10,2,FALSE))</f>
        <v/>
      </c>
      <c r="S194" s="56"/>
      <c r="T194" s="55"/>
      <c r="U194" s="78"/>
      <c r="V194" s="76" t="str">
        <f t="shared" si="12"/>
        <v/>
      </c>
      <c r="W194" s="48" t="str">
        <f t="shared" si="12"/>
        <v/>
      </c>
      <c r="X194" s="48" t="str">
        <f t="shared" si="12"/>
        <v/>
      </c>
      <c r="Y194" s="48" t="str">
        <f t="shared" si="12"/>
        <v/>
      </c>
      <c r="Z194" s="49" t="str">
        <f t="shared" si="10"/>
        <v/>
      </c>
      <c r="AA194" s="50" t="str">
        <f t="shared" si="13"/>
        <v/>
      </c>
      <c r="AB194" s="48" t="str">
        <f t="shared" si="13"/>
        <v/>
      </c>
      <c r="AC194" s="48" t="str">
        <f t="shared" si="13"/>
        <v/>
      </c>
      <c r="AD194" s="48" t="str">
        <f t="shared" si="13"/>
        <v/>
      </c>
      <c r="AE194" s="48" t="str">
        <f t="shared" si="11"/>
        <v/>
      </c>
    </row>
    <row r="195" spans="1:31" x14ac:dyDescent="0.25">
      <c r="A195" s="2"/>
      <c r="B195" s="2"/>
      <c r="C195" s="2"/>
      <c r="D195" s="2" t="str">
        <f>IF(ISBLANK(C195),"",VLOOKUP(C195,configuration!$G$7:$H$10,2,FALSE))</f>
        <v/>
      </c>
      <c r="E195" s="2"/>
      <c r="F195" s="2"/>
      <c r="G195" s="2"/>
      <c r="H195" s="2" t="str">
        <f>IF(ISBLANK(G195),"",VLOOKUP(G195,configuration!$J$7:$K$10,2,FALSE))</f>
        <v/>
      </c>
      <c r="I195" s="30"/>
      <c r="J195" s="2"/>
      <c r="K195" s="31"/>
      <c r="L195" s="35"/>
      <c r="M195" s="2" t="str">
        <f>IF(ISBLANK(L195),"",VLOOKUP(L195,configuration!$M$7:$N$10,2,FALSE))</f>
        <v/>
      </c>
      <c r="N195" s="30"/>
      <c r="O195" s="2"/>
      <c r="P195" s="31"/>
      <c r="Q195" s="54"/>
      <c r="R195" s="55" t="str">
        <f>IF(ISBLANK(Q195),"",VLOOKUP(Q195,configuration!$P$7:$Q$10,2,FALSE))</f>
        <v/>
      </c>
      <c r="S195" s="56"/>
      <c r="T195" s="55"/>
      <c r="U195" s="78"/>
      <c r="V195" s="76" t="str">
        <f t="shared" si="12"/>
        <v/>
      </c>
      <c r="W195" s="48" t="str">
        <f t="shared" si="12"/>
        <v/>
      </c>
      <c r="X195" s="48" t="str">
        <f t="shared" si="12"/>
        <v/>
      </c>
      <c r="Y195" s="48" t="str">
        <f t="shared" si="12"/>
        <v/>
      </c>
      <c r="Z195" s="49" t="str">
        <f t="shared" si="10"/>
        <v/>
      </c>
      <c r="AA195" s="50" t="str">
        <f t="shared" si="13"/>
        <v/>
      </c>
      <c r="AB195" s="48" t="str">
        <f t="shared" si="13"/>
        <v/>
      </c>
      <c r="AC195" s="48" t="str">
        <f t="shared" si="13"/>
        <v/>
      </c>
      <c r="AD195" s="48" t="str">
        <f t="shared" si="13"/>
        <v/>
      </c>
      <c r="AE195" s="48" t="str">
        <f t="shared" si="11"/>
        <v/>
      </c>
    </row>
    <row r="196" spans="1:31" x14ac:dyDescent="0.25">
      <c r="A196" s="2"/>
      <c r="B196" s="2"/>
      <c r="C196" s="2"/>
      <c r="D196" s="2" t="str">
        <f>IF(ISBLANK(C196),"",VLOOKUP(C196,configuration!$G$7:$H$10,2,FALSE))</f>
        <v/>
      </c>
      <c r="E196" s="2"/>
      <c r="F196" s="2"/>
      <c r="G196" s="2"/>
      <c r="H196" s="2" t="str">
        <f>IF(ISBLANK(G196),"",VLOOKUP(G196,configuration!$J$7:$K$10,2,FALSE))</f>
        <v/>
      </c>
      <c r="I196" s="30"/>
      <c r="J196" s="2"/>
      <c r="K196" s="31"/>
      <c r="L196" s="35"/>
      <c r="M196" s="2" t="str">
        <f>IF(ISBLANK(L196),"",VLOOKUP(L196,configuration!$M$7:$N$10,2,FALSE))</f>
        <v/>
      </c>
      <c r="N196" s="30"/>
      <c r="O196" s="2"/>
      <c r="P196" s="31"/>
      <c r="Q196" s="54"/>
      <c r="R196" s="55" t="str">
        <f>IF(ISBLANK(Q196),"",VLOOKUP(Q196,configuration!$P$7:$Q$10,2,FALSE))</f>
        <v/>
      </c>
      <c r="S196" s="56"/>
      <c r="T196" s="55"/>
      <c r="U196" s="78"/>
      <c r="V196" s="76" t="str">
        <f t="shared" si="12"/>
        <v/>
      </c>
      <c r="W196" s="48" t="str">
        <f t="shared" si="12"/>
        <v/>
      </c>
      <c r="X196" s="48" t="str">
        <f t="shared" si="12"/>
        <v/>
      </c>
      <c r="Y196" s="48" t="str">
        <f t="shared" si="12"/>
        <v/>
      </c>
      <c r="Z196" s="49" t="str">
        <f t="shared" si="10"/>
        <v/>
      </c>
      <c r="AA196" s="50" t="str">
        <f t="shared" si="13"/>
        <v/>
      </c>
      <c r="AB196" s="48" t="str">
        <f t="shared" si="13"/>
        <v/>
      </c>
      <c r="AC196" s="48" t="str">
        <f t="shared" si="13"/>
        <v/>
      </c>
      <c r="AD196" s="48" t="str">
        <f t="shared" si="13"/>
        <v/>
      </c>
      <c r="AE196" s="48" t="str">
        <f t="shared" si="11"/>
        <v/>
      </c>
    </row>
    <row r="197" spans="1:31" x14ac:dyDescent="0.25">
      <c r="A197" s="2"/>
      <c r="B197" s="2"/>
      <c r="C197" s="2"/>
      <c r="D197" s="2" t="str">
        <f>IF(ISBLANK(C197),"",VLOOKUP(C197,configuration!$G$7:$H$10,2,FALSE))</f>
        <v/>
      </c>
      <c r="E197" s="2"/>
      <c r="F197" s="2"/>
      <c r="G197" s="2"/>
      <c r="H197" s="2" t="str">
        <f>IF(ISBLANK(G197),"",VLOOKUP(G197,configuration!$J$7:$K$10,2,FALSE))</f>
        <v/>
      </c>
      <c r="I197" s="30"/>
      <c r="J197" s="2"/>
      <c r="K197" s="31"/>
      <c r="L197" s="35"/>
      <c r="M197" s="2" t="str">
        <f>IF(ISBLANK(L197),"",VLOOKUP(L197,configuration!$M$7:$N$10,2,FALSE))</f>
        <v/>
      </c>
      <c r="N197" s="30"/>
      <c r="O197" s="2"/>
      <c r="P197" s="31"/>
      <c r="Q197" s="54"/>
      <c r="R197" s="55" t="str">
        <f>IF(ISBLANK(Q197),"",VLOOKUP(Q197,configuration!$P$7:$Q$10,2,FALSE))</f>
        <v/>
      </c>
      <c r="S197" s="56"/>
      <c r="T197" s="55"/>
      <c r="U197" s="78"/>
      <c r="V197" s="76" t="str">
        <f t="shared" si="12"/>
        <v/>
      </c>
      <c r="W197" s="48" t="str">
        <f t="shared" si="12"/>
        <v/>
      </c>
      <c r="X197" s="48" t="str">
        <f t="shared" si="12"/>
        <v/>
      </c>
      <c r="Y197" s="48" t="str">
        <f t="shared" si="12"/>
        <v/>
      </c>
      <c r="Z197" s="49" t="str">
        <f t="shared" si="10"/>
        <v/>
      </c>
      <c r="AA197" s="50" t="str">
        <f t="shared" si="13"/>
        <v/>
      </c>
      <c r="AB197" s="48" t="str">
        <f t="shared" si="13"/>
        <v/>
      </c>
      <c r="AC197" s="48" t="str">
        <f t="shared" si="13"/>
        <v/>
      </c>
      <c r="AD197" s="48" t="str">
        <f t="shared" si="13"/>
        <v/>
      </c>
      <c r="AE197" s="48" t="str">
        <f t="shared" si="11"/>
        <v/>
      </c>
    </row>
    <row r="198" spans="1:31" x14ac:dyDescent="0.25">
      <c r="A198" s="2"/>
      <c r="B198" s="2"/>
      <c r="C198" s="2"/>
      <c r="D198" s="2" t="str">
        <f>IF(ISBLANK(C198),"",VLOOKUP(C198,configuration!$G$7:$H$10,2,FALSE))</f>
        <v/>
      </c>
      <c r="E198" s="2"/>
      <c r="F198" s="2"/>
      <c r="G198" s="2"/>
      <c r="H198" s="2" t="str">
        <f>IF(ISBLANK(G198),"",VLOOKUP(G198,configuration!$J$7:$K$10,2,FALSE))</f>
        <v/>
      </c>
      <c r="I198" s="30"/>
      <c r="J198" s="2"/>
      <c r="K198" s="31"/>
      <c r="L198" s="35"/>
      <c r="M198" s="2" t="str">
        <f>IF(ISBLANK(L198),"",VLOOKUP(L198,configuration!$M$7:$N$10,2,FALSE))</f>
        <v/>
      </c>
      <c r="N198" s="30"/>
      <c r="O198" s="2"/>
      <c r="P198" s="31"/>
      <c r="Q198" s="54"/>
      <c r="R198" s="55" t="str">
        <f>IF(ISBLANK(Q198),"",VLOOKUP(Q198,configuration!$P$7:$Q$10,2,FALSE))</f>
        <v/>
      </c>
      <c r="S198" s="56"/>
      <c r="T198" s="55"/>
      <c r="U198" s="78"/>
      <c r="V198" s="76" t="str">
        <f t="shared" si="12"/>
        <v/>
      </c>
      <c r="W198" s="48" t="str">
        <f t="shared" si="12"/>
        <v/>
      </c>
      <c r="X198" s="48" t="str">
        <f t="shared" si="12"/>
        <v/>
      </c>
      <c r="Y198" s="48" t="str">
        <f t="shared" si="12"/>
        <v/>
      </c>
      <c r="Z198" s="49" t="str">
        <f t="shared" ref="Z198:Z261" si="14">IF(AND($G198="",A198&lt;&gt;""),1,"")</f>
        <v/>
      </c>
      <c r="AA198" s="50" t="str">
        <f t="shared" si="13"/>
        <v/>
      </c>
      <c r="AB198" s="48" t="str">
        <f t="shared" si="13"/>
        <v/>
      </c>
      <c r="AC198" s="48" t="str">
        <f t="shared" si="13"/>
        <v/>
      </c>
      <c r="AD198" s="48" t="str">
        <f t="shared" si="13"/>
        <v/>
      </c>
      <c r="AE198" s="48" t="str">
        <f t="shared" ref="AE198:AE261" si="15">IF(AND($L198="",A198&lt;&gt;""),1,"")</f>
        <v/>
      </c>
    </row>
    <row r="199" spans="1:31" x14ac:dyDescent="0.25">
      <c r="A199" s="2"/>
      <c r="B199" s="2"/>
      <c r="C199" s="2"/>
      <c r="D199" s="2" t="str">
        <f>IF(ISBLANK(C199),"",VLOOKUP(C199,configuration!$G$7:$H$10,2,FALSE))</f>
        <v/>
      </c>
      <c r="E199" s="2"/>
      <c r="F199" s="2"/>
      <c r="G199" s="2"/>
      <c r="H199" s="2" t="str">
        <f>IF(ISBLANK(G199),"",VLOOKUP(G199,configuration!$J$7:$K$10,2,FALSE))</f>
        <v/>
      </c>
      <c r="I199" s="30"/>
      <c r="J199" s="2"/>
      <c r="K199" s="31"/>
      <c r="L199" s="35"/>
      <c r="M199" s="2" t="str">
        <f>IF(ISBLANK(L199),"",VLOOKUP(L199,configuration!$M$7:$N$10,2,FALSE))</f>
        <v/>
      </c>
      <c r="N199" s="30"/>
      <c r="O199" s="2"/>
      <c r="P199" s="31"/>
      <c r="Q199" s="54"/>
      <c r="R199" s="55" t="str">
        <f>IF(ISBLANK(Q199),"",VLOOKUP(Q199,configuration!$P$7:$Q$10,2,FALSE))</f>
        <v/>
      </c>
      <c r="S199" s="56"/>
      <c r="T199" s="55"/>
      <c r="U199" s="78"/>
      <c r="V199" s="76" t="str">
        <f t="shared" si="12"/>
        <v/>
      </c>
      <c r="W199" s="48" t="str">
        <f t="shared" si="12"/>
        <v/>
      </c>
      <c r="X199" s="48" t="str">
        <f t="shared" si="12"/>
        <v/>
      </c>
      <c r="Y199" s="48" t="str">
        <f t="shared" si="12"/>
        <v/>
      </c>
      <c r="Z199" s="49" t="str">
        <f t="shared" si="14"/>
        <v/>
      </c>
      <c r="AA199" s="50" t="str">
        <f t="shared" si="13"/>
        <v/>
      </c>
      <c r="AB199" s="48" t="str">
        <f t="shared" si="13"/>
        <v/>
      </c>
      <c r="AC199" s="48" t="str">
        <f t="shared" si="13"/>
        <v/>
      </c>
      <c r="AD199" s="48" t="str">
        <f t="shared" si="13"/>
        <v/>
      </c>
      <c r="AE199" s="48" t="str">
        <f t="shared" si="15"/>
        <v/>
      </c>
    </row>
    <row r="200" spans="1:31" x14ac:dyDescent="0.25">
      <c r="A200" s="2"/>
      <c r="B200" s="2"/>
      <c r="C200" s="2"/>
      <c r="D200" s="2" t="str">
        <f>IF(ISBLANK(C200),"",VLOOKUP(C200,configuration!$G$7:$H$10,2,FALSE))</f>
        <v/>
      </c>
      <c r="E200" s="2"/>
      <c r="F200" s="2"/>
      <c r="G200" s="2"/>
      <c r="H200" s="2" t="str">
        <f>IF(ISBLANK(G200),"",VLOOKUP(G200,configuration!$J$7:$K$10,2,FALSE))</f>
        <v/>
      </c>
      <c r="I200" s="30"/>
      <c r="J200" s="2"/>
      <c r="K200" s="31"/>
      <c r="L200" s="35"/>
      <c r="M200" s="2" t="str">
        <f>IF(ISBLANK(L200),"",VLOOKUP(L200,configuration!$M$7:$N$10,2,FALSE))</f>
        <v/>
      </c>
      <c r="N200" s="30"/>
      <c r="O200" s="2"/>
      <c r="P200" s="31"/>
      <c r="Q200" s="54"/>
      <c r="R200" s="55" t="str">
        <f>IF(ISBLANK(Q200),"",VLOOKUP(Q200,configuration!$P$7:$Q$10,2,FALSE))</f>
        <v/>
      </c>
      <c r="S200" s="56"/>
      <c r="T200" s="55"/>
      <c r="U200" s="78"/>
      <c r="V200" s="76" t="str">
        <f t="shared" si="12"/>
        <v/>
      </c>
      <c r="W200" s="48" t="str">
        <f t="shared" si="12"/>
        <v/>
      </c>
      <c r="X200" s="48" t="str">
        <f t="shared" si="12"/>
        <v/>
      </c>
      <c r="Y200" s="48" t="str">
        <f t="shared" si="12"/>
        <v/>
      </c>
      <c r="Z200" s="49" t="str">
        <f t="shared" si="14"/>
        <v/>
      </c>
      <c r="AA200" s="50" t="str">
        <f t="shared" si="13"/>
        <v/>
      </c>
      <c r="AB200" s="48" t="str">
        <f t="shared" si="13"/>
        <v/>
      </c>
      <c r="AC200" s="48" t="str">
        <f t="shared" si="13"/>
        <v/>
      </c>
      <c r="AD200" s="48" t="str">
        <f t="shared" si="13"/>
        <v/>
      </c>
      <c r="AE200" s="48" t="str">
        <f t="shared" si="15"/>
        <v/>
      </c>
    </row>
    <row r="201" spans="1:31" x14ac:dyDescent="0.25">
      <c r="A201" s="2"/>
      <c r="B201" s="2"/>
      <c r="C201" s="2"/>
      <c r="D201" s="2" t="str">
        <f>IF(ISBLANK(C201),"",VLOOKUP(C201,configuration!$G$7:$H$10,2,FALSE))</f>
        <v/>
      </c>
      <c r="E201" s="2"/>
      <c r="F201" s="2"/>
      <c r="G201" s="2"/>
      <c r="H201" s="2" t="str">
        <f>IF(ISBLANK(G201),"",VLOOKUP(G201,configuration!$J$7:$K$10,2,FALSE))</f>
        <v/>
      </c>
      <c r="I201" s="30"/>
      <c r="J201" s="2"/>
      <c r="K201" s="31"/>
      <c r="L201" s="35"/>
      <c r="M201" s="2" t="str">
        <f>IF(ISBLANK(L201),"",VLOOKUP(L201,configuration!$M$7:$N$10,2,FALSE))</f>
        <v/>
      </c>
      <c r="N201" s="30"/>
      <c r="O201" s="2"/>
      <c r="P201" s="31"/>
      <c r="Q201" s="54"/>
      <c r="R201" s="55" t="str">
        <f>IF(ISBLANK(Q201),"",VLOOKUP(Q201,configuration!$P$7:$Q$10,2,FALSE))</f>
        <v/>
      </c>
      <c r="S201" s="56"/>
      <c r="T201" s="55"/>
      <c r="U201" s="78"/>
      <c r="V201" s="76" t="str">
        <f t="shared" si="12"/>
        <v/>
      </c>
      <c r="W201" s="48" t="str">
        <f t="shared" si="12"/>
        <v/>
      </c>
      <c r="X201" s="48" t="str">
        <f t="shared" si="12"/>
        <v/>
      </c>
      <c r="Y201" s="48" t="str">
        <f t="shared" si="12"/>
        <v/>
      </c>
      <c r="Z201" s="49" t="str">
        <f t="shared" si="14"/>
        <v/>
      </c>
      <c r="AA201" s="50" t="str">
        <f t="shared" si="13"/>
        <v/>
      </c>
      <c r="AB201" s="48" t="str">
        <f t="shared" si="13"/>
        <v/>
      </c>
      <c r="AC201" s="48" t="str">
        <f t="shared" si="13"/>
        <v/>
      </c>
      <c r="AD201" s="48" t="str">
        <f t="shared" si="13"/>
        <v/>
      </c>
      <c r="AE201" s="48" t="str">
        <f t="shared" si="15"/>
        <v/>
      </c>
    </row>
    <row r="202" spans="1:31" x14ac:dyDescent="0.25">
      <c r="A202" s="2"/>
      <c r="B202" s="2"/>
      <c r="C202" s="2"/>
      <c r="D202" s="2" t="str">
        <f>IF(ISBLANK(C202),"",VLOOKUP(C202,configuration!$G$7:$H$10,2,FALSE))</f>
        <v/>
      </c>
      <c r="E202" s="2"/>
      <c r="F202" s="2"/>
      <c r="G202" s="2"/>
      <c r="H202" s="2" t="str">
        <f>IF(ISBLANK(G202),"",VLOOKUP(G202,configuration!$J$7:$K$10,2,FALSE))</f>
        <v/>
      </c>
      <c r="I202" s="30"/>
      <c r="J202" s="2"/>
      <c r="K202" s="31"/>
      <c r="L202" s="35"/>
      <c r="M202" s="2" t="str">
        <f>IF(ISBLANK(L202),"",VLOOKUP(L202,configuration!$M$7:$N$10,2,FALSE))</f>
        <v/>
      </c>
      <c r="N202" s="30"/>
      <c r="O202" s="2"/>
      <c r="P202" s="31"/>
      <c r="Q202" s="54"/>
      <c r="R202" s="55" t="str">
        <f>IF(ISBLANK(Q202),"",VLOOKUP(Q202,configuration!$P$7:$Q$10,2,FALSE))</f>
        <v/>
      </c>
      <c r="S202" s="56"/>
      <c r="T202" s="55"/>
      <c r="U202" s="78"/>
      <c r="V202" s="76" t="str">
        <f t="shared" si="12"/>
        <v/>
      </c>
      <c r="W202" s="48" t="str">
        <f t="shared" si="12"/>
        <v/>
      </c>
      <c r="X202" s="48" t="str">
        <f t="shared" si="12"/>
        <v/>
      </c>
      <c r="Y202" s="48" t="str">
        <f t="shared" si="12"/>
        <v/>
      </c>
      <c r="Z202" s="49" t="str">
        <f t="shared" si="14"/>
        <v/>
      </c>
      <c r="AA202" s="50" t="str">
        <f t="shared" si="13"/>
        <v/>
      </c>
      <c r="AB202" s="48" t="str">
        <f t="shared" si="13"/>
        <v/>
      </c>
      <c r="AC202" s="48" t="str">
        <f t="shared" si="13"/>
        <v/>
      </c>
      <c r="AD202" s="48" t="str">
        <f t="shared" si="13"/>
        <v/>
      </c>
      <c r="AE202" s="48" t="str">
        <f t="shared" si="15"/>
        <v/>
      </c>
    </row>
    <row r="203" spans="1:31" x14ac:dyDescent="0.25">
      <c r="A203" s="2"/>
      <c r="B203" s="2"/>
      <c r="C203" s="2"/>
      <c r="D203" s="2" t="str">
        <f>IF(ISBLANK(C203),"",VLOOKUP(C203,configuration!$G$7:$H$10,2,FALSE))</f>
        <v/>
      </c>
      <c r="E203" s="2"/>
      <c r="F203" s="2"/>
      <c r="G203" s="2"/>
      <c r="H203" s="2" t="str">
        <f>IF(ISBLANK(G203),"",VLOOKUP(G203,configuration!$J$7:$K$10,2,FALSE))</f>
        <v/>
      </c>
      <c r="I203" s="30"/>
      <c r="J203" s="2"/>
      <c r="K203" s="31"/>
      <c r="L203" s="35"/>
      <c r="M203" s="2" t="str">
        <f>IF(ISBLANK(L203),"",VLOOKUP(L203,configuration!$M$7:$N$10,2,FALSE))</f>
        <v/>
      </c>
      <c r="N203" s="30"/>
      <c r="O203" s="2"/>
      <c r="P203" s="31"/>
      <c r="Q203" s="54"/>
      <c r="R203" s="55" t="str">
        <f>IF(ISBLANK(Q203),"",VLOOKUP(Q203,configuration!$P$7:$Q$10,2,FALSE))</f>
        <v/>
      </c>
      <c r="S203" s="56"/>
      <c r="T203" s="55"/>
      <c r="U203" s="78"/>
      <c r="V203" s="76" t="str">
        <f t="shared" si="12"/>
        <v/>
      </c>
      <c r="W203" s="48" t="str">
        <f t="shared" si="12"/>
        <v/>
      </c>
      <c r="X203" s="48" t="str">
        <f t="shared" si="12"/>
        <v/>
      </c>
      <c r="Y203" s="48" t="str">
        <f t="shared" si="12"/>
        <v/>
      </c>
      <c r="Z203" s="49" t="str">
        <f t="shared" si="14"/>
        <v/>
      </c>
      <c r="AA203" s="50" t="str">
        <f t="shared" si="13"/>
        <v/>
      </c>
      <c r="AB203" s="48" t="str">
        <f t="shared" si="13"/>
        <v/>
      </c>
      <c r="AC203" s="48" t="str">
        <f t="shared" si="13"/>
        <v/>
      </c>
      <c r="AD203" s="48" t="str">
        <f t="shared" si="13"/>
        <v/>
      </c>
      <c r="AE203" s="48" t="str">
        <f t="shared" si="15"/>
        <v/>
      </c>
    </row>
    <row r="204" spans="1:31" x14ac:dyDescent="0.25">
      <c r="A204" s="2"/>
      <c r="B204" s="2"/>
      <c r="C204" s="2"/>
      <c r="D204" s="2" t="str">
        <f>IF(ISBLANK(C204),"",VLOOKUP(C204,configuration!$G$7:$H$10,2,FALSE))</f>
        <v/>
      </c>
      <c r="E204" s="2"/>
      <c r="F204" s="2"/>
      <c r="G204" s="2"/>
      <c r="H204" s="2" t="str">
        <f>IF(ISBLANK(G204),"",VLOOKUP(G204,configuration!$J$7:$K$10,2,FALSE))</f>
        <v/>
      </c>
      <c r="I204" s="30"/>
      <c r="J204" s="2"/>
      <c r="K204" s="31"/>
      <c r="L204" s="35"/>
      <c r="M204" s="2" t="str">
        <f>IF(ISBLANK(L204),"",VLOOKUP(L204,configuration!$M$7:$N$10,2,FALSE))</f>
        <v/>
      </c>
      <c r="N204" s="30"/>
      <c r="O204" s="2"/>
      <c r="P204" s="31"/>
      <c r="Q204" s="54"/>
      <c r="R204" s="55" t="str">
        <f>IF(ISBLANK(Q204),"",VLOOKUP(Q204,configuration!$P$7:$Q$10,2,FALSE))</f>
        <v/>
      </c>
      <c r="S204" s="56"/>
      <c r="T204" s="55"/>
      <c r="U204" s="78"/>
      <c r="V204" s="76" t="str">
        <f t="shared" si="12"/>
        <v/>
      </c>
      <c r="W204" s="48" t="str">
        <f t="shared" si="12"/>
        <v/>
      </c>
      <c r="X204" s="48" t="str">
        <f t="shared" si="12"/>
        <v/>
      </c>
      <c r="Y204" s="48" t="str">
        <f t="shared" si="12"/>
        <v/>
      </c>
      <c r="Z204" s="49" t="str">
        <f t="shared" si="14"/>
        <v/>
      </c>
      <c r="AA204" s="50" t="str">
        <f t="shared" si="13"/>
        <v/>
      </c>
      <c r="AB204" s="48" t="str">
        <f t="shared" si="13"/>
        <v/>
      </c>
      <c r="AC204" s="48" t="str">
        <f t="shared" si="13"/>
        <v/>
      </c>
      <c r="AD204" s="48" t="str">
        <f t="shared" si="13"/>
        <v/>
      </c>
      <c r="AE204" s="48" t="str">
        <f t="shared" si="15"/>
        <v/>
      </c>
    </row>
    <row r="205" spans="1:31" x14ac:dyDescent="0.25">
      <c r="A205" s="2"/>
      <c r="B205" s="2"/>
      <c r="C205" s="2"/>
      <c r="D205" s="2" t="str">
        <f>IF(ISBLANK(C205),"",VLOOKUP(C205,configuration!$G$7:$H$10,2,FALSE))</f>
        <v/>
      </c>
      <c r="E205" s="2"/>
      <c r="F205" s="2"/>
      <c r="G205" s="2"/>
      <c r="H205" s="2" t="str">
        <f>IF(ISBLANK(G205),"",VLOOKUP(G205,configuration!$J$7:$K$10,2,FALSE))</f>
        <v/>
      </c>
      <c r="I205" s="30"/>
      <c r="J205" s="2"/>
      <c r="K205" s="31"/>
      <c r="L205" s="35"/>
      <c r="M205" s="2" t="str">
        <f>IF(ISBLANK(L205),"",VLOOKUP(L205,configuration!$M$7:$N$10,2,FALSE))</f>
        <v/>
      </c>
      <c r="N205" s="30"/>
      <c r="O205" s="2"/>
      <c r="P205" s="31"/>
      <c r="Q205" s="54"/>
      <c r="R205" s="55" t="str">
        <f>IF(ISBLANK(Q205),"",VLOOKUP(Q205,configuration!$P$7:$Q$10,2,FALSE))</f>
        <v/>
      </c>
      <c r="S205" s="56"/>
      <c r="T205" s="55"/>
      <c r="U205" s="78"/>
      <c r="V205" s="76" t="str">
        <f t="shared" si="12"/>
        <v/>
      </c>
      <c r="W205" s="48" t="str">
        <f t="shared" si="12"/>
        <v/>
      </c>
      <c r="X205" s="48" t="str">
        <f t="shared" si="12"/>
        <v/>
      </c>
      <c r="Y205" s="48" t="str">
        <f t="shared" si="12"/>
        <v/>
      </c>
      <c r="Z205" s="49" t="str">
        <f t="shared" si="14"/>
        <v/>
      </c>
      <c r="AA205" s="50" t="str">
        <f t="shared" si="13"/>
        <v/>
      </c>
      <c r="AB205" s="48" t="str">
        <f t="shared" si="13"/>
        <v/>
      </c>
      <c r="AC205" s="48" t="str">
        <f t="shared" si="13"/>
        <v/>
      </c>
      <c r="AD205" s="48" t="str">
        <f t="shared" si="13"/>
        <v/>
      </c>
      <c r="AE205" s="48" t="str">
        <f t="shared" si="15"/>
        <v/>
      </c>
    </row>
    <row r="206" spans="1:31" x14ac:dyDescent="0.25">
      <c r="A206" s="2"/>
      <c r="B206" s="2"/>
      <c r="C206" s="2"/>
      <c r="D206" s="2" t="str">
        <f>IF(ISBLANK(C206),"",VLOOKUP(C206,configuration!$G$7:$H$10,2,FALSE))</f>
        <v/>
      </c>
      <c r="E206" s="2"/>
      <c r="F206" s="2"/>
      <c r="G206" s="2"/>
      <c r="H206" s="2" t="str">
        <f>IF(ISBLANK(G206),"",VLOOKUP(G206,configuration!$J$7:$K$10,2,FALSE))</f>
        <v/>
      </c>
      <c r="I206" s="30"/>
      <c r="J206" s="2"/>
      <c r="K206" s="31"/>
      <c r="L206" s="35"/>
      <c r="M206" s="2" t="str">
        <f>IF(ISBLANK(L206),"",VLOOKUP(L206,configuration!$M$7:$N$10,2,FALSE))</f>
        <v/>
      </c>
      <c r="N206" s="30"/>
      <c r="O206" s="2"/>
      <c r="P206" s="31"/>
      <c r="Q206" s="54"/>
      <c r="R206" s="55" t="str">
        <f>IF(ISBLANK(Q206),"",VLOOKUP(Q206,configuration!$P$7:$Q$10,2,FALSE))</f>
        <v/>
      </c>
      <c r="S206" s="56"/>
      <c r="T206" s="55"/>
      <c r="U206" s="78"/>
      <c r="V206" s="76" t="str">
        <f t="shared" si="12"/>
        <v/>
      </c>
      <c r="W206" s="48" t="str">
        <f t="shared" si="12"/>
        <v/>
      </c>
      <c r="X206" s="48" t="str">
        <f t="shared" si="12"/>
        <v/>
      </c>
      <c r="Y206" s="48" t="str">
        <f t="shared" si="12"/>
        <v/>
      </c>
      <c r="Z206" s="49" t="str">
        <f t="shared" si="14"/>
        <v/>
      </c>
      <c r="AA206" s="50" t="str">
        <f t="shared" si="13"/>
        <v/>
      </c>
      <c r="AB206" s="48" t="str">
        <f t="shared" si="13"/>
        <v/>
      </c>
      <c r="AC206" s="48" t="str">
        <f t="shared" si="13"/>
        <v/>
      </c>
      <c r="AD206" s="48" t="str">
        <f t="shared" si="13"/>
        <v/>
      </c>
      <c r="AE206" s="48" t="str">
        <f t="shared" si="15"/>
        <v/>
      </c>
    </row>
    <row r="207" spans="1:31" x14ac:dyDescent="0.25">
      <c r="A207" s="2"/>
      <c r="B207" s="2"/>
      <c r="C207" s="2"/>
      <c r="D207" s="2" t="str">
        <f>IF(ISBLANK(C207),"",VLOOKUP(C207,configuration!$G$7:$H$10,2,FALSE))</f>
        <v/>
      </c>
      <c r="E207" s="2"/>
      <c r="F207" s="2"/>
      <c r="G207" s="2"/>
      <c r="H207" s="2" t="str">
        <f>IF(ISBLANK(G207),"",VLOOKUP(G207,configuration!$J$7:$K$10,2,FALSE))</f>
        <v/>
      </c>
      <c r="I207" s="30"/>
      <c r="J207" s="2"/>
      <c r="K207" s="31"/>
      <c r="L207" s="35"/>
      <c r="M207" s="2" t="str">
        <f>IF(ISBLANK(L207),"",VLOOKUP(L207,configuration!$M$7:$N$10,2,FALSE))</f>
        <v/>
      </c>
      <c r="N207" s="30"/>
      <c r="O207" s="2"/>
      <c r="P207" s="31"/>
      <c r="Q207" s="54"/>
      <c r="R207" s="55" t="str">
        <f>IF(ISBLANK(Q207),"",VLOOKUP(Q207,configuration!$P$7:$Q$10,2,FALSE))</f>
        <v/>
      </c>
      <c r="S207" s="56"/>
      <c r="T207" s="55"/>
      <c r="U207" s="78"/>
      <c r="V207" s="76" t="str">
        <f t="shared" si="12"/>
        <v/>
      </c>
      <c r="W207" s="48" t="str">
        <f t="shared" si="12"/>
        <v/>
      </c>
      <c r="X207" s="48" t="str">
        <f t="shared" si="12"/>
        <v/>
      </c>
      <c r="Y207" s="48" t="str">
        <f t="shared" si="12"/>
        <v/>
      </c>
      <c r="Z207" s="49" t="str">
        <f t="shared" si="14"/>
        <v/>
      </c>
      <c r="AA207" s="50" t="str">
        <f t="shared" si="13"/>
        <v/>
      </c>
      <c r="AB207" s="48" t="str">
        <f t="shared" si="13"/>
        <v/>
      </c>
      <c r="AC207" s="48" t="str">
        <f t="shared" si="13"/>
        <v/>
      </c>
      <c r="AD207" s="48" t="str">
        <f t="shared" si="13"/>
        <v/>
      </c>
      <c r="AE207" s="48" t="str">
        <f t="shared" si="15"/>
        <v/>
      </c>
    </row>
    <row r="208" spans="1:31" x14ac:dyDescent="0.25">
      <c r="A208" s="2"/>
      <c r="B208" s="2"/>
      <c r="C208" s="2"/>
      <c r="D208" s="2" t="str">
        <f>IF(ISBLANK(C208),"",VLOOKUP(C208,configuration!$G$7:$H$10,2,FALSE))</f>
        <v/>
      </c>
      <c r="E208" s="2"/>
      <c r="F208" s="2"/>
      <c r="G208" s="2"/>
      <c r="H208" s="2" t="str">
        <f>IF(ISBLANK(G208),"",VLOOKUP(G208,configuration!$J$7:$K$10,2,FALSE))</f>
        <v/>
      </c>
      <c r="I208" s="30"/>
      <c r="J208" s="2"/>
      <c r="K208" s="31"/>
      <c r="L208" s="35"/>
      <c r="M208" s="2" t="str">
        <f>IF(ISBLANK(L208),"",VLOOKUP(L208,configuration!$M$7:$N$10,2,FALSE))</f>
        <v/>
      </c>
      <c r="N208" s="30"/>
      <c r="O208" s="2"/>
      <c r="P208" s="31"/>
      <c r="Q208" s="54"/>
      <c r="R208" s="55" t="str">
        <f>IF(ISBLANK(Q208),"",VLOOKUP(Q208,configuration!$P$7:$Q$10,2,FALSE))</f>
        <v/>
      </c>
      <c r="S208" s="56"/>
      <c r="T208" s="55"/>
      <c r="U208" s="78"/>
      <c r="V208" s="76" t="str">
        <f t="shared" si="12"/>
        <v/>
      </c>
      <c r="W208" s="48" t="str">
        <f t="shared" si="12"/>
        <v/>
      </c>
      <c r="X208" s="48" t="str">
        <f t="shared" si="12"/>
        <v/>
      </c>
      <c r="Y208" s="48" t="str">
        <f t="shared" si="12"/>
        <v/>
      </c>
      <c r="Z208" s="49" t="str">
        <f t="shared" si="14"/>
        <v/>
      </c>
      <c r="AA208" s="50" t="str">
        <f t="shared" si="13"/>
        <v/>
      </c>
      <c r="AB208" s="48" t="str">
        <f t="shared" si="13"/>
        <v/>
      </c>
      <c r="AC208" s="48" t="str">
        <f t="shared" si="13"/>
        <v/>
      </c>
      <c r="AD208" s="48" t="str">
        <f t="shared" si="13"/>
        <v/>
      </c>
      <c r="AE208" s="48" t="str">
        <f t="shared" si="15"/>
        <v/>
      </c>
    </row>
    <row r="209" spans="1:31" x14ac:dyDescent="0.25">
      <c r="A209" s="2"/>
      <c r="B209" s="2"/>
      <c r="C209" s="2"/>
      <c r="D209" s="2" t="str">
        <f>IF(ISBLANK(C209),"",VLOOKUP(C209,configuration!$G$7:$H$10,2,FALSE))</f>
        <v/>
      </c>
      <c r="E209" s="2"/>
      <c r="F209" s="2"/>
      <c r="G209" s="2"/>
      <c r="H209" s="2" t="str">
        <f>IF(ISBLANK(G209),"",VLOOKUP(G209,configuration!$J$7:$K$10,2,FALSE))</f>
        <v/>
      </c>
      <c r="I209" s="30"/>
      <c r="J209" s="2"/>
      <c r="K209" s="31"/>
      <c r="L209" s="35"/>
      <c r="M209" s="2" t="str">
        <f>IF(ISBLANK(L209),"",VLOOKUP(L209,configuration!$M$7:$N$10,2,FALSE))</f>
        <v/>
      </c>
      <c r="N209" s="30"/>
      <c r="O209" s="2"/>
      <c r="P209" s="31"/>
      <c r="Q209" s="54"/>
      <c r="R209" s="55" t="str">
        <f>IF(ISBLANK(Q209),"",VLOOKUP(Q209,configuration!$P$7:$Q$10,2,FALSE))</f>
        <v/>
      </c>
      <c r="S209" s="56"/>
      <c r="T209" s="55"/>
      <c r="U209" s="78"/>
      <c r="V209" s="76" t="str">
        <f t="shared" si="12"/>
        <v/>
      </c>
      <c r="W209" s="48" t="str">
        <f t="shared" si="12"/>
        <v/>
      </c>
      <c r="X209" s="48" t="str">
        <f t="shared" si="12"/>
        <v/>
      </c>
      <c r="Y209" s="48" t="str">
        <f t="shared" si="12"/>
        <v/>
      </c>
      <c r="Z209" s="49" t="str">
        <f t="shared" si="14"/>
        <v/>
      </c>
      <c r="AA209" s="50" t="str">
        <f t="shared" si="13"/>
        <v/>
      </c>
      <c r="AB209" s="48" t="str">
        <f t="shared" si="13"/>
        <v/>
      </c>
      <c r="AC209" s="48" t="str">
        <f t="shared" si="13"/>
        <v/>
      </c>
      <c r="AD209" s="48" t="str">
        <f t="shared" si="13"/>
        <v/>
      </c>
      <c r="AE209" s="48" t="str">
        <f t="shared" si="15"/>
        <v/>
      </c>
    </row>
    <row r="210" spans="1:31" x14ac:dyDescent="0.25">
      <c r="A210" s="2"/>
      <c r="B210" s="2"/>
      <c r="C210" s="2"/>
      <c r="D210" s="2" t="str">
        <f>IF(ISBLANK(C210),"",VLOOKUP(C210,configuration!$G$7:$H$10,2,FALSE))</f>
        <v/>
      </c>
      <c r="E210" s="2"/>
      <c r="F210" s="2"/>
      <c r="G210" s="2"/>
      <c r="H210" s="2" t="str">
        <f>IF(ISBLANK(G210),"",VLOOKUP(G210,configuration!$J$7:$K$10,2,FALSE))</f>
        <v/>
      </c>
      <c r="I210" s="30"/>
      <c r="J210" s="2"/>
      <c r="K210" s="31"/>
      <c r="L210" s="35"/>
      <c r="M210" s="2" t="str">
        <f>IF(ISBLANK(L210),"",VLOOKUP(L210,configuration!$M$7:$N$10,2,FALSE))</f>
        <v/>
      </c>
      <c r="N210" s="30"/>
      <c r="O210" s="2"/>
      <c r="P210" s="31"/>
      <c r="Q210" s="54"/>
      <c r="R210" s="55" t="str">
        <f>IF(ISBLANK(Q210),"",VLOOKUP(Q210,configuration!$P$7:$Q$10,2,FALSE))</f>
        <v/>
      </c>
      <c r="S210" s="56"/>
      <c r="T210" s="55"/>
      <c r="U210" s="78"/>
      <c r="V210" s="76" t="str">
        <f t="shared" si="12"/>
        <v/>
      </c>
      <c r="W210" s="48" t="str">
        <f t="shared" si="12"/>
        <v/>
      </c>
      <c r="X210" s="48" t="str">
        <f t="shared" si="12"/>
        <v/>
      </c>
      <c r="Y210" s="48" t="str">
        <f t="shared" si="12"/>
        <v/>
      </c>
      <c r="Z210" s="49" t="str">
        <f t="shared" si="14"/>
        <v/>
      </c>
      <c r="AA210" s="50" t="str">
        <f t="shared" si="13"/>
        <v/>
      </c>
      <c r="AB210" s="48" t="str">
        <f t="shared" si="13"/>
        <v/>
      </c>
      <c r="AC210" s="48" t="str">
        <f t="shared" si="13"/>
        <v/>
      </c>
      <c r="AD210" s="48" t="str">
        <f t="shared" si="13"/>
        <v/>
      </c>
      <c r="AE210" s="48" t="str">
        <f t="shared" si="15"/>
        <v/>
      </c>
    </row>
    <row r="211" spans="1:31" x14ac:dyDescent="0.25">
      <c r="A211" s="2"/>
      <c r="B211" s="2"/>
      <c r="C211" s="2"/>
      <c r="D211" s="2" t="str">
        <f>IF(ISBLANK(C211),"",VLOOKUP(C211,configuration!$G$7:$H$10,2,FALSE))</f>
        <v/>
      </c>
      <c r="E211" s="2"/>
      <c r="F211" s="2"/>
      <c r="G211" s="2"/>
      <c r="H211" s="2" t="str">
        <f>IF(ISBLANK(G211),"",VLOOKUP(G211,configuration!$J$7:$K$10,2,FALSE))</f>
        <v/>
      </c>
      <c r="I211" s="30"/>
      <c r="J211" s="2"/>
      <c r="K211" s="31"/>
      <c r="L211" s="35"/>
      <c r="M211" s="2" t="str">
        <f>IF(ISBLANK(L211),"",VLOOKUP(L211,configuration!$M$7:$N$10,2,FALSE))</f>
        <v/>
      </c>
      <c r="N211" s="30"/>
      <c r="O211" s="2"/>
      <c r="P211" s="31"/>
      <c r="Q211" s="54"/>
      <c r="R211" s="55" t="str">
        <f>IF(ISBLANK(Q211),"",VLOOKUP(Q211,configuration!$P$7:$Q$10,2,FALSE))</f>
        <v/>
      </c>
      <c r="S211" s="56"/>
      <c r="T211" s="55"/>
      <c r="U211" s="78"/>
      <c r="V211" s="76" t="str">
        <f t="shared" si="12"/>
        <v/>
      </c>
      <c r="W211" s="48" t="str">
        <f t="shared" si="12"/>
        <v/>
      </c>
      <c r="X211" s="48" t="str">
        <f t="shared" si="12"/>
        <v/>
      </c>
      <c r="Y211" s="48" t="str">
        <f t="shared" si="12"/>
        <v/>
      </c>
      <c r="Z211" s="49" t="str">
        <f t="shared" si="14"/>
        <v/>
      </c>
      <c r="AA211" s="50" t="str">
        <f t="shared" si="13"/>
        <v/>
      </c>
      <c r="AB211" s="48" t="str">
        <f t="shared" si="13"/>
        <v/>
      </c>
      <c r="AC211" s="48" t="str">
        <f t="shared" si="13"/>
        <v/>
      </c>
      <c r="AD211" s="48" t="str">
        <f t="shared" si="13"/>
        <v/>
      </c>
      <c r="AE211" s="48" t="str">
        <f t="shared" si="15"/>
        <v/>
      </c>
    </row>
    <row r="212" spans="1:31" x14ac:dyDescent="0.25">
      <c r="A212" s="2"/>
      <c r="B212" s="2"/>
      <c r="C212" s="2"/>
      <c r="D212" s="2" t="str">
        <f>IF(ISBLANK(C212),"",VLOOKUP(C212,configuration!$G$7:$H$10,2,FALSE))</f>
        <v/>
      </c>
      <c r="E212" s="2"/>
      <c r="F212" s="2"/>
      <c r="G212" s="2"/>
      <c r="H212" s="2" t="str">
        <f>IF(ISBLANK(G212),"",VLOOKUP(G212,configuration!$J$7:$K$10,2,FALSE))</f>
        <v/>
      </c>
      <c r="I212" s="30"/>
      <c r="J212" s="2"/>
      <c r="K212" s="31"/>
      <c r="L212" s="35"/>
      <c r="M212" s="2" t="str">
        <f>IF(ISBLANK(L212),"",VLOOKUP(L212,configuration!$M$7:$N$10,2,FALSE))</f>
        <v/>
      </c>
      <c r="N212" s="30"/>
      <c r="O212" s="2"/>
      <c r="P212" s="31"/>
      <c r="Q212" s="54"/>
      <c r="R212" s="55" t="str">
        <f>IF(ISBLANK(Q212),"",VLOOKUP(Q212,configuration!$P$7:$Q$10,2,FALSE))</f>
        <v/>
      </c>
      <c r="S212" s="56"/>
      <c r="T212" s="55"/>
      <c r="U212" s="78"/>
      <c r="V212" s="76" t="str">
        <f t="shared" si="12"/>
        <v/>
      </c>
      <c r="W212" s="48" t="str">
        <f t="shared" si="12"/>
        <v/>
      </c>
      <c r="X212" s="48" t="str">
        <f t="shared" si="12"/>
        <v/>
      </c>
      <c r="Y212" s="48" t="str">
        <f t="shared" si="12"/>
        <v/>
      </c>
      <c r="Z212" s="49" t="str">
        <f t="shared" si="14"/>
        <v/>
      </c>
      <c r="AA212" s="50" t="str">
        <f t="shared" si="13"/>
        <v/>
      </c>
      <c r="AB212" s="48" t="str">
        <f t="shared" si="13"/>
        <v/>
      </c>
      <c r="AC212" s="48" t="str">
        <f t="shared" si="13"/>
        <v/>
      </c>
      <c r="AD212" s="48" t="str">
        <f t="shared" si="13"/>
        <v/>
      </c>
      <c r="AE212" s="48" t="str">
        <f t="shared" si="15"/>
        <v/>
      </c>
    </row>
    <row r="213" spans="1:31" x14ac:dyDescent="0.25">
      <c r="A213" s="2"/>
      <c r="B213" s="2"/>
      <c r="C213" s="2"/>
      <c r="D213" s="2" t="str">
        <f>IF(ISBLANK(C213),"",VLOOKUP(C213,configuration!$G$7:$H$10,2,FALSE))</f>
        <v/>
      </c>
      <c r="E213" s="2"/>
      <c r="F213" s="2"/>
      <c r="G213" s="2"/>
      <c r="H213" s="2" t="str">
        <f>IF(ISBLANK(G213),"",VLOOKUP(G213,configuration!$J$7:$K$10,2,FALSE))</f>
        <v/>
      </c>
      <c r="I213" s="30"/>
      <c r="J213" s="2"/>
      <c r="K213" s="31"/>
      <c r="L213" s="35"/>
      <c r="M213" s="2" t="str">
        <f>IF(ISBLANK(L213),"",VLOOKUP(L213,configuration!$M$7:$N$10,2,FALSE))</f>
        <v/>
      </c>
      <c r="N213" s="30"/>
      <c r="O213" s="2"/>
      <c r="P213" s="31"/>
      <c r="Q213" s="54"/>
      <c r="R213" s="55" t="str">
        <f>IF(ISBLANK(Q213),"",VLOOKUP(Q213,configuration!$P$7:$Q$10,2,FALSE))</f>
        <v/>
      </c>
      <c r="S213" s="56"/>
      <c r="T213" s="55"/>
      <c r="U213" s="78"/>
      <c r="V213" s="76" t="str">
        <f t="shared" ref="V213:Y276" si="16">IF($G213=V$4,1,"")</f>
        <v/>
      </c>
      <c r="W213" s="48" t="str">
        <f t="shared" si="16"/>
        <v/>
      </c>
      <c r="X213" s="48" t="str">
        <f t="shared" si="16"/>
        <v/>
      </c>
      <c r="Y213" s="48" t="str">
        <f t="shared" si="16"/>
        <v/>
      </c>
      <c r="Z213" s="49" t="str">
        <f t="shared" si="14"/>
        <v/>
      </c>
      <c r="AA213" s="50" t="str">
        <f t="shared" ref="AA213:AD276" si="17">IF($L213=AA$4,1,"")</f>
        <v/>
      </c>
      <c r="AB213" s="48" t="str">
        <f t="shared" si="17"/>
        <v/>
      </c>
      <c r="AC213" s="48" t="str">
        <f t="shared" si="17"/>
        <v/>
      </c>
      <c r="AD213" s="48" t="str">
        <f t="shared" si="17"/>
        <v/>
      </c>
      <c r="AE213" s="48" t="str">
        <f t="shared" si="15"/>
        <v/>
      </c>
    </row>
    <row r="214" spans="1:31" x14ac:dyDescent="0.25">
      <c r="A214" s="2"/>
      <c r="B214" s="2"/>
      <c r="C214" s="2"/>
      <c r="D214" s="2" t="str">
        <f>IF(ISBLANK(C214),"",VLOOKUP(C214,configuration!$G$7:$H$10,2,FALSE))</f>
        <v/>
      </c>
      <c r="E214" s="2"/>
      <c r="F214" s="2"/>
      <c r="G214" s="2"/>
      <c r="H214" s="2" t="str">
        <f>IF(ISBLANK(G214),"",VLOOKUP(G214,configuration!$J$7:$K$10,2,FALSE))</f>
        <v/>
      </c>
      <c r="I214" s="30"/>
      <c r="J214" s="2"/>
      <c r="K214" s="31"/>
      <c r="L214" s="35"/>
      <c r="M214" s="2" t="str">
        <f>IF(ISBLANK(L214),"",VLOOKUP(L214,configuration!$M$7:$N$10,2,FALSE))</f>
        <v/>
      </c>
      <c r="N214" s="30"/>
      <c r="O214" s="2"/>
      <c r="P214" s="31"/>
      <c r="Q214" s="54"/>
      <c r="R214" s="55" t="str">
        <f>IF(ISBLANK(Q214),"",VLOOKUP(Q214,configuration!$P$7:$Q$10,2,FALSE))</f>
        <v/>
      </c>
      <c r="S214" s="56"/>
      <c r="T214" s="55"/>
      <c r="U214" s="78"/>
      <c r="V214" s="76" t="str">
        <f t="shared" si="16"/>
        <v/>
      </c>
      <c r="W214" s="48" t="str">
        <f t="shared" si="16"/>
        <v/>
      </c>
      <c r="X214" s="48" t="str">
        <f t="shared" si="16"/>
        <v/>
      </c>
      <c r="Y214" s="48" t="str">
        <f t="shared" si="16"/>
        <v/>
      </c>
      <c r="Z214" s="49" t="str">
        <f t="shared" si="14"/>
        <v/>
      </c>
      <c r="AA214" s="50" t="str">
        <f t="shared" si="17"/>
        <v/>
      </c>
      <c r="AB214" s="48" t="str">
        <f t="shared" si="17"/>
        <v/>
      </c>
      <c r="AC214" s="48" t="str">
        <f t="shared" si="17"/>
        <v/>
      </c>
      <c r="AD214" s="48" t="str">
        <f t="shared" si="17"/>
        <v/>
      </c>
      <c r="AE214" s="48" t="str">
        <f t="shared" si="15"/>
        <v/>
      </c>
    </row>
    <row r="215" spans="1:31" x14ac:dyDescent="0.25">
      <c r="A215" s="2"/>
      <c r="B215" s="2"/>
      <c r="C215" s="2"/>
      <c r="D215" s="2" t="str">
        <f>IF(ISBLANK(C215),"",VLOOKUP(C215,configuration!$G$7:$H$10,2,FALSE))</f>
        <v/>
      </c>
      <c r="E215" s="2"/>
      <c r="F215" s="2"/>
      <c r="G215" s="2"/>
      <c r="H215" s="2" t="str">
        <f>IF(ISBLANK(G215),"",VLOOKUP(G215,configuration!$J$7:$K$10,2,FALSE))</f>
        <v/>
      </c>
      <c r="I215" s="30"/>
      <c r="J215" s="2"/>
      <c r="K215" s="31"/>
      <c r="L215" s="35"/>
      <c r="M215" s="2" t="str">
        <f>IF(ISBLANK(L215),"",VLOOKUP(L215,configuration!$M$7:$N$10,2,FALSE))</f>
        <v/>
      </c>
      <c r="N215" s="30"/>
      <c r="O215" s="2"/>
      <c r="P215" s="31"/>
      <c r="Q215" s="54"/>
      <c r="R215" s="55" t="str">
        <f>IF(ISBLANK(Q215),"",VLOOKUP(Q215,configuration!$P$7:$Q$10,2,FALSE))</f>
        <v/>
      </c>
      <c r="S215" s="56"/>
      <c r="T215" s="55"/>
      <c r="U215" s="78"/>
      <c r="V215" s="76" t="str">
        <f t="shared" si="16"/>
        <v/>
      </c>
      <c r="W215" s="48" t="str">
        <f t="shared" si="16"/>
        <v/>
      </c>
      <c r="X215" s="48" t="str">
        <f t="shared" si="16"/>
        <v/>
      </c>
      <c r="Y215" s="48" t="str">
        <f t="shared" si="16"/>
        <v/>
      </c>
      <c r="Z215" s="49" t="str">
        <f t="shared" si="14"/>
        <v/>
      </c>
      <c r="AA215" s="50" t="str">
        <f t="shared" si="17"/>
        <v/>
      </c>
      <c r="AB215" s="48" t="str">
        <f t="shared" si="17"/>
        <v/>
      </c>
      <c r="AC215" s="48" t="str">
        <f t="shared" si="17"/>
        <v/>
      </c>
      <c r="AD215" s="48" t="str">
        <f t="shared" si="17"/>
        <v/>
      </c>
      <c r="AE215" s="48" t="str">
        <f t="shared" si="15"/>
        <v/>
      </c>
    </row>
    <row r="216" spans="1:31" x14ac:dyDescent="0.25">
      <c r="A216" s="2"/>
      <c r="B216" s="2"/>
      <c r="C216" s="2"/>
      <c r="D216" s="2" t="str">
        <f>IF(ISBLANK(C216),"",VLOOKUP(C216,configuration!$G$7:$H$10,2,FALSE))</f>
        <v/>
      </c>
      <c r="E216" s="2"/>
      <c r="F216" s="2"/>
      <c r="G216" s="2"/>
      <c r="H216" s="2" t="str">
        <f>IF(ISBLANK(G216),"",VLOOKUP(G216,configuration!$J$7:$K$10,2,FALSE))</f>
        <v/>
      </c>
      <c r="I216" s="30"/>
      <c r="J216" s="2"/>
      <c r="K216" s="31"/>
      <c r="L216" s="35"/>
      <c r="M216" s="2" t="str">
        <f>IF(ISBLANK(L216),"",VLOOKUP(L216,configuration!$M$7:$N$10,2,FALSE))</f>
        <v/>
      </c>
      <c r="N216" s="30"/>
      <c r="O216" s="2"/>
      <c r="P216" s="31"/>
      <c r="Q216" s="54"/>
      <c r="R216" s="55" t="str">
        <f>IF(ISBLANK(Q216),"",VLOOKUP(Q216,configuration!$P$7:$Q$10,2,FALSE))</f>
        <v/>
      </c>
      <c r="S216" s="56"/>
      <c r="T216" s="55"/>
      <c r="U216" s="78"/>
      <c r="V216" s="76" t="str">
        <f t="shared" si="16"/>
        <v/>
      </c>
      <c r="W216" s="48" t="str">
        <f t="shared" si="16"/>
        <v/>
      </c>
      <c r="X216" s="48" t="str">
        <f t="shared" si="16"/>
        <v/>
      </c>
      <c r="Y216" s="48" t="str">
        <f t="shared" si="16"/>
        <v/>
      </c>
      <c r="Z216" s="49" t="str">
        <f t="shared" si="14"/>
        <v/>
      </c>
      <c r="AA216" s="50" t="str">
        <f t="shared" si="17"/>
        <v/>
      </c>
      <c r="AB216" s="48" t="str">
        <f t="shared" si="17"/>
        <v/>
      </c>
      <c r="AC216" s="48" t="str">
        <f t="shared" si="17"/>
        <v/>
      </c>
      <c r="AD216" s="48" t="str">
        <f t="shared" si="17"/>
        <v/>
      </c>
      <c r="AE216" s="48" t="str">
        <f t="shared" si="15"/>
        <v/>
      </c>
    </row>
    <row r="217" spans="1:31" x14ac:dyDescent="0.25">
      <c r="A217" s="2"/>
      <c r="B217" s="2"/>
      <c r="C217" s="2"/>
      <c r="D217" s="2" t="str">
        <f>IF(ISBLANK(C217),"",VLOOKUP(C217,configuration!$G$7:$H$10,2,FALSE))</f>
        <v/>
      </c>
      <c r="E217" s="2"/>
      <c r="F217" s="2"/>
      <c r="G217" s="2"/>
      <c r="H217" s="2" t="str">
        <f>IF(ISBLANK(G217),"",VLOOKUP(G217,configuration!$J$7:$K$10,2,FALSE))</f>
        <v/>
      </c>
      <c r="I217" s="30"/>
      <c r="J217" s="2"/>
      <c r="K217" s="31"/>
      <c r="L217" s="35"/>
      <c r="M217" s="2" t="str">
        <f>IF(ISBLANK(L217),"",VLOOKUP(L217,configuration!$M$7:$N$10,2,FALSE))</f>
        <v/>
      </c>
      <c r="N217" s="30"/>
      <c r="O217" s="2"/>
      <c r="P217" s="31"/>
      <c r="Q217" s="54"/>
      <c r="R217" s="55" t="str">
        <f>IF(ISBLANK(Q217),"",VLOOKUP(Q217,configuration!$P$7:$Q$10,2,FALSE))</f>
        <v/>
      </c>
      <c r="S217" s="56"/>
      <c r="T217" s="55"/>
      <c r="U217" s="78"/>
      <c r="V217" s="76" t="str">
        <f t="shared" si="16"/>
        <v/>
      </c>
      <c r="W217" s="48" t="str">
        <f t="shared" si="16"/>
        <v/>
      </c>
      <c r="X217" s="48" t="str">
        <f t="shared" si="16"/>
        <v/>
      </c>
      <c r="Y217" s="48" t="str">
        <f t="shared" si="16"/>
        <v/>
      </c>
      <c r="Z217" s="49" t="str">
        <f t="shared" si="14"/>
        <v/>
      </c>
      <c r="AA217" s="50" t="str">
        <f t="shared" si="17"/>
        <v/>
      </c>
      <c r="AB217" s="48" t="str">
        <f t="shared" si="17"/>
        <v/>
      </c>
      <c r="AC217" s="48" t="str">
        <f t="shared" si="17"/>
        <v/>
      </c>
      <c r="AD217" s="48" t="str">
        <f t="shared" si="17"/>
        <v/>
      </c>
      <c r="AE217" s="48" t="str">
        <f t="shared" si="15"/>
        <v/>
      </c>
    </row>
    <row r="218" spans="1:31" x14ac:dyDescent="0.25">
      <c r="A218" s="2"/>
      <c r="B218" s="2"/>
      <c r="C218" s="2"/>
      <c r="D218" s="2" t="str">
        <f>IF(ISBLANK(C218),"",VLOOKUP(C218,configuration!$G$7:$H$10,2,FALSE))</f>
        <v/>
      </c>
      <c r="E218" s="2"/>
      <c r="F218" s="2"/>
      <c r="G218" s="2"/>
      <c r="H218" s="2" t="str">
        <f>IF(ISBLANK(G218),"",VLOOKUP(G218,configuration!$J$7:$K$10,2,FALSE))</f>
        <v/>
      </c>
      <c r="I218" s="30"/>
      <c r="J218" s="2"/>
      <c r="K218" s="31"/>
      <c r="L218" s="35"/>
      <c r="M218" s="2" t="str">
        <f>IF(ISBLANK(L218),"",VLOOKUP(L218,configuration!$M$7:$N$10,2,FALSE))</f>
        <v/>
      </c>
      <c r="N218" s="30"/>
      <c r="O218" s="2"/>
      <c r="P218" s="31"/>
      <c r="Q218" s="54"/>
      <c r="R218" s="55" t="str">
        <f>IF(ISBLANK(Q218),"",VLOOKUP(Q218,configuration!$P$7:$Q$10,2,FALSE))</f>
        <v/>
      </c>
      <c r="S218" s="56"/>
      <c r="T218" s="55"/>
      <c r="U218" s="78"/>
      <c r="V218" s="76" t="str">
        <f t="shared" si="16"/>
        <v/>
      </c>
      <c r="W218" s="48" t="str">
        <f t="shared" si="16"/>
        <v/>
      </c>
      <c r="X218" s="48" t="str">
        <f t="shared" si="16"/>
        <v/>
      </c>
      <c r="Y218" s="48" t="str">
        <f t="shared" si="16"/>
        <v/>
      </c>
      <c r="Z218" s="49" t="str">
        <f t="shared" si="14"/>
        <v/>
      </c>
      <c r="AA218" s="50" t="str">
        <f t="shared" si="17"/>
        <v/>
      </c>
      <c r="AB218" s="48" t="str">
        <f t="shared" si="17"/>
        <v/>
      </c>
      <c r="AC218" s="48" t="str">
        <f t="shared" si="17"/>
        <v/>
      </c>
      <c r="AD218" s="48" t="str">
        <f t="shared" si="17"/>
        <v/>
      </c>
      <c r="AE218" s="48" t="str">
        <f t="shared" si="15"/>
        <v/>
      </c>
    </row>
    <row r="219" spans="1:31" x14ac:dyDescent="0.25">
      <c r="A219" s="2"/>
      <c r="B219" s="2"/>
      <c r="C219" s="2"/>
      <c r="D219" s="2" t="str">
        <f>IF(ISBLANK(C219),"",VLOOKUP(C219,configuration!$G$7:$H$10,2,FALSE))</f>
        <v/>
      </c>
      <c r="E219" s="2"/>
      <c r="F219" s="2"/>
      <c r="G219" s="2"/>
      <c r="H219" s="2" t="str">
        <f>IF(ISBLANK(G219),"",VLOOKUP(G219,configuration!$J$7:$K$10,2,FALSE))</f>
        <v/>
      </c>
      <c r="I219" s="30"/>
      <c r="J219" s="2"/>
      <c r="K219" s="31"/>
      <c r="L219" s="35"/>
      <c r="M219" s="2" t="str">
        <f>IF(ISBLANK(L219),"",VLOOKUP(L219,configuration!$M$7:$N$10,2,FALSE))</f>
        <v/>
      </c>
      <c r="N219" s="30"/>
      <c r="O219" s="2"/>
      <c r="P219" s="31"/>
      <c r="Q219" s="54"/>
      <c r="R219" s="55" t="str">
        <f>IF(ISBLANK(Q219),"",VLOOKUP(Q219,configuration!$P$7:$Q$10,2,FALSE))</f>
        <v/>
      </c>
      <c r="S219" s="56"/>
      <c r="T219" s="55"/>
      <c r="U219" s="78"/>
      <c r="V219" s="76" t="str">
        <f t="shared" si="16"/>
        <v/>
      </c>
      <c r="W219" s="48" t="str">
        <f t="shared" si="16"/>
        <v/>
      </c>
      <c r="X219" s="48" t="str">
        <f t="shared" si="16"/>
        <v/>
      </c>
      <c r="Y219" s="48" t="str">
        <f t="shared" si="16"/>
        <v/>
      </c>
      <c r="Z219" s="49" t="str">
        <f t="shared" si="14"/>
        <v/>
      </c>
      <c r="AA219" s="50" t="str">
        <f t="shared" si="17"/>
        <v/>
      </c>
      <c r="AB219" s="48" t="str">
        <f t="shared" si="17"/>
        <v/>
      </c>
      <c r="AC219" s="48" t="str">
        <f t="shared" si="17"/>
        <v/>
      </c>
      <c r="AD219" s="48" t="str">
        <f t="shared" si="17"/>
        <v/>
      </c>
      <c r="AE219" s="48" t="str">
        <f t="shared" si="15"/>
        <v/>
      </c>
    </row>
    <row r="220" spans="1:31" x14ac:dyDescent="0.25">
      <c r="A220" s="2"/>
      <c r="B220" s="2"/>
      <c r="C220" s="2"/>
      <c r="D220" s="2" t="str">
        <f>IF(ISBLANK(C220),"",VLOOKUP(C220,configuration!$G$7:$H$10,2,FALSE))</f>
        <v/>
      </c>
      <c r="E220" s="2"/>
      <c r="F220" s="2"/>
      <c r="G220" s="2"/>
      <c r="H220" s="2" t="str">
        <f>IF(ISBLANK(G220),"",VLOOKUP(G220,configuration!$J$7:$K$10,2,FALSE))</f>
        <v/>
      </c>
      <c r="I220" s="30"/>
      <c r="J220" s="2"/>
      <c r="K220" s="31"/>
      <c r="L220" s="35"/>
      <c r="M220" s="2" t="str">
        <f>IF(ISBLANK(L220),"",VLOOKUP(L220,configuration!$M$7:$N$10,2,FALSE))</f>
        <v/>
      </c>
      <c r="N220" s="30"/>
      <c r="O220" s="2"/>
      <c r="P220" s="31"/>
      <c r="Q220" s="54"/>
      <c r="R220" s="55" t="str">
        <f>IF(ISBLANK(Q220),"",VLOOKUP(Q220,configuration!$P$7:$Q$10,2,FALSE))</f>
        <v/>
      </c>
      <c r="S220" s="56"/>
      <c r="T220" s="55"/>
      <c r="U220" s="78"/>
      <c r="V220" s="76" t="str">
        <f t="shared" si="16"/>
        <v/>
      </c>
      <c r="W220" s="48" t="str">
        <f t="shared" si="16"/>
        <v/>
      </c>
      <c r="X220" s="48" t="str">
        <f t="shared" si="16"/>
        <v/>
      </c>
      <c r="Y220" s="48" t="str">
        <f t="shared" si="16"/>
        <v/>
      </c>
      <c r="Z220" s="49" t="str">
        <f t="shared" si="14"/>
        <v/>
      </c>
      <c r="AA220" s="50" t="str">
        <f t="shared" si="17"/>
        <v/>
      </c>
      <c r="AB220" s="48" t="str">
        <f t="shared" si="17"/>
        <v/>
      </c>
      <c r="AC220" s="48" t="str">
        <f t="shared" si="17"/>
        <v/>
      </c>
      <c r="AD220" s="48" t="str">
        <f t="shared" si="17"/>
        <v/>
      </c>
      <c r="AE220" s="48" t="str">
        <f t="shared" si="15"/>
        <v/>
      </c>
    </row>
    <row r="221" spans="1:31" x14ac:dyDescent="0.25">
      <c r="A221" s="2"/>
      <c r="B221" s="2"/>
      <c r="C221" s="2"/>
      <c r="D221" s="2" t="str">
        <f>IF(ISBLANK(C221),"",VLOOKUP(C221,configuration!$G$7:$H$10,2,FALSE))</f>
        <v/>
      </c>
      <c r="E221" s="2"/>
      <c r="F221" s="2"/>
      <c r="G221" s="2"/>
      <c r="H221" s="2" t="str">
        <f>IF(ISBLANK(G221),"",VLOOKUP(G221,configuration!$J$7:$K$10,2,FALSE))</f>
        <v/>
      </c>
      <c r="I221" s="30"/>
      <c r="J221" s="2"/>
      <c r="K221" s="31"/>
      <c r="L221" s="35"/>
      <c r="M221" s="2" t="str">
        <f>IF(ISBLANK(L221),"",VLOOKUP(L221,configuration!$M$7:$N$10,2,FALSE))</f>
        <v/>
      </c>
      <c r="N221" s="30"/>
      <c r="O221" s="2"/>
      <c r="P221" s="31"/>
      <c r="Q221" s="54"/>
      <c r="R221" s="55" t="str">
        <f>IF(ISBLANK(Q221),"",VLOOKUP(Q221,configuration!$P$7:$Q$10,2,FALSE))</f>
        <v/>
      </c>
      <c r="S221" s="56"/>
      <c r="T221" s="55"/>
      <c r="U221" s="78"/>
      <c r="V221" s="76" t="str">
        <f t="shared" si="16"/>
        <v/>
      </c>
      <c r="W221" s="48" t="str">
        <f t="shared" si="16"/>
        <v/>
      </c>
      <c r="X221" s="48" t="str">
        <f t="shared" si="16"/>
        <v/>
      </c>
      <c r="Y221" s="48" t="str">
        <f t="shared" si="16"/>
        <v/>
      </c>
      <c r="Z221" s="49" t="str">
        <f t="shared" si="14"/>
        <v/>
      </c>
      <c r="AA221" s="50" t="str">
        <f t="shared" si="17"/>
        <v/>
      </c>
      <c r="AB221" s="48" t="str">
        <f t="shared" si="17"/>
        <v/>
      </c>
      <c r="AC221" s="48" t="str">
        <f t="shared" si="17"/>
        <v/>
      </c>
      <c r="AD221" s="48" t="str">
        <f t="shared" si="17"/>
        <v/>
      </c>
      <c r="AE221" s="48" t="str">
        <f t="shared" si="15"/>
        <v/>
      </c>
    </row>
    <row r="222" spans="1:31" x14ac:dyDescent="0.25">
      <c r="A222" s="2"/>
      <c r="B222" s="2"/>
      <c r="C222" s="2"/>
      <c r="D222" s="2" t="str">
        <f>IF(ISBLANK(C222),"",VLOOKUP(C222,configuration!$G$7:$H$10,2,FALSE))</f>
        <v/>
      </c>
      <c r="E222" s="2"/>
      <c r="F222" s="2"/>
      <c r="G222" s="2"/>
      <c r="H222" s="2" t="str">
        <f>IF(ISBLANK(G222),"",VLOOKUP(G222,configuration!$J$7:$K$10,2,FALSE))</f>
        <v/>
      </c>
      <c r="I222" s="30"/>
      <c r="J222" s="2"/>
      <c r="K222" s="31"/>
      <c r="L222" s="35"/>
      <c r="M222" s="2" t="str">
        <f>IF(ISBLANK(L222),"",VLOOKUP(L222,configuration!$M$7:$N$10,2,FALSE))</f>
        <v/>
      </c>
      <c r="N222" s="30"/>
      <c r="O222" s="2"/>
      <c r="P222" s="31"/>
      <c r="Q222" s="54"/>
      <c r="R222" s="55" t="str">
        <f>IF(ISBLANK(Q222),"",VLOOKUP(Q222,configuration!$P$7:$Q$10,2,FALSE))</f>
        <v/>
      </c>
      <c r="S222" s="56"/>
      <c r="T222" s="55"/>
      <c r="U222" s="78"/>
      <c r="V222" s="76" t="str">
        <f t="shared" si="16"/>
        <v/>
      </c>
      <c r="W222" s="48" t="str">
        <f t="shared" si="16"/>
        <v/>
      </c>
      <c r="X222" s="48" t="str">
        <f t="shared" si="16"/>
        <v/>
      </c>
      <c r="Y222" s="48" t="str">
        <f t="shared" si="16"/>
        <v/>
      </c>
      <c r="Z222" s="49" t="str">
        <f t="shared" si="14"/>
        <v/>
      </c>
      <c r="AA222" s="50" t="str">
        <f t="shared" si="17"/>
        <v/>
      </c>
      <c r="AB222" s="48" t="str">
        <f t="shared" si="17"/>
        <v/>
      </c>
      <c r="AC222" s="48" t="str">
        <f t="shared" si="17"/>
        <v/>
      </c>
      <c r="AD222" s="48" t="str">
        <f t="shared" si="17"/>
        <v/>
      </c>
      <c r="AE222" s="48" t="str">
        <f t="shared" si="15"/>
        <v/>
      </c>
    </row>
    <row r="223" spans="1:31" x14ac:dyDescent="0.25">
      <c r="A223" s="2"/>
      <c r="B223" s="2"/>
      <c r="C223" s="2"/>
      <c r="D223" s="2" t="str">
        <f>IF(ISBLANK(C223),"",VLOOKUP(C223,configuration!$G$7:$H$10,2,FALSE))</f>
        <v/>
      </c>
      <c r="E223" s="2"/>
      <c r="F223" s="2"/>
      <c r="G223" s="2"/>
      <c r="H223" s="2" t="str">
        <f>IF(ISBLANK(G223),"",VLOOKUP(G223,configuration!$J$7:$K$10,2,FALSE))</f>
        <v/>
      </c>
      <c r="I223" s="30"/>
      <c r="J223" s="2"/>
      <c r="K223" s="31"/>
      <c r="L223" s="35"/>
      <c r="M223" s="2" t="str">
        <f>IF(ISBLANK(L223),"",VLOOKUP(L223,configuration!$M$7:$N$10,2,FALSE))</f>
        <v/>
      </c>
      <c r="N223" s="30"/>
      <c r="O223" s="2"/>
      <c r="P223" s="31"/>
      <c r="Q223" s="54"/>
      <c r="R223" s="55" t="str">
        <f>IF(ISBLANK(Q223),"",VLOOKUP(Q223,configuration!$P$7:$Q$10,2,FALSE))</f>
        <v/>
      </c>
      <c r="S223" s="56"/>
      <c r="T223" s="55"/>
      <c r="U223" s="78"/>
      <c r="V223" s="76" t="str">
        <f t="shared" si="16"/>
        <v/>
      </c>
      <c r="W223" s="48" t="str">
        <f t="shared" si="16"/>
        <v/>
      </c>
      <c r="X223" s="48" t="str">
        <f t="shared" si="16"/>
        <v/>
      </c>
      <c r="Y223" s="48" t="str">
        <f t="shared" si="16"/>
        <v/>
      </c>
      <c r="Z223" s="49" t="str">
        <f t="shared" si="14"/>
        <v/>
      </c>
      <c r="AA223" s="50" t="str">
        <f t="shared" si="17"/>
        <v/>
      </c>
      <c r="AB223" s="48" t="str">
        <f t="shared" si="17"/>
        <v/>
      </c>
      <c r="AC223" s="48" t="str">
        <f t="shared" si="17"/>
        <v/>
      </c>
      <c r="AD223" s="48" t="str">
        <f t="shared" si="17"/>
        <v/>
      </c>
      <c r="AE223" s="48" t="str">
        <f t="shared" si="15"/>
        <v/>
      </c>
    </row>
    <row r="224" spans="1:31" x14ac:dyDescent="0.25">
      <c r="A224" s="2"/>
      <c r="B224" s="2"/>
      <c r="C224" s="2"/>
      <c r="D224" s="2" t="str">
        <f>IF(ISBLANK(C224),"",VLOOKUP(C224,configuration!$G$7:$H$10,2,FALSE))</f>
        <v/>
      </c>
      <c r="E224" s="2"/>
      <c r="F224" s="2"/>
      <c r="G224" s="2"/>
      <c r="H224" s="2" t="str">
        <f>IF(ISBLANK(G224),"",VLOOKUP(G224,configuration!$J$7:$K$10,2,FALSE))</f>
        <v/>
      </c>
      <c r="I224" s="30"/>
      <c r="J224" s="2"/>
      <c r="K224" s="31"/>
      <c r="L224" s="35"/>
      <c r="M224" s="2" t="str">
        <f>IF(ISBLANK(L224),"",VLOOKUP(L224,configuration!$M$7:$N$10,2,FALSE))</f>
        <v/>
      </c>
      <c r="N224" s="30"/>
      <c r="O224" s="2"/>
      <c r="P224" s="31"/>
      <c r="Q224" s="54"/>
      <c r="R224" s="55" t="str">
        <f>IF(ISBLANK(Q224),"",VLOOKUP(Q224,configuration!$P$7:$Q$10,2,FALSE))</f>
        <v/>
      </c>
      <c r="S224" s="56"/>
      <c r="T224" s="55"/>
      <c r="U224" s="78"/>
      <c r="V224" s="76" t="str">
        <f t="shared" si="16"/>
        <v/>
      </c>
      <c r="W224" s="48" t="str">
        <f t="shared" si="16"/>
        <v/>
      </c>
      <c r="X224" s="48" t="str">
        <f t="shared" si="16"/>
        <v/>
      </c>
      <c r="Y224" s="48" t="str">
        <f t="shared" si="16"/>
        <v/>
      </c>
      <c r="Z224" s="49" t="str">
        <f t="shared" si="14"/>
        <v/>
      </c>
      <c r="AA224" s="50" t="str">
        <f t="shared" si="17"/>
        <v/>
      </c>
      <c r="AB224" s="48" t="str">
        <f t="shared" si="17"/>
        <v/>
      </c>
      <c r="AC224" s="48" t="str">
        <f t="shared" si="17"/>
        <v/>
      </c>
      <c r="AD224" s="48" t="str">
        <f t="shared" si="17"/>
        <v/>
      </c>
      <c r="AE224" s="48" t="str">
        <f t="shared" si="15"/>
        <v/>
      </c>
    </row>
    <row r="225" spans="1:31" x14ac:dyDescent="0.25">
      <c r="A225" s="2"/>
      <c r="B225" s="2"/>
      <c r="C225" s="2"/>
      <c r="D225" s="2" t="str">
        <f>IF(ISBLANK(C225),"",VLOOKUP(C225,configuration!$G$7:$H$10,2,FALSE))</f>
        <v/>
      </c>
      <c r="E225" s="2"/>
      <c r="F225" s="2"/>
      <c r="G225" s="2"/>
      <c r="H225" s="2" t="str">
        <f>IF(ISBLANK(G225),"",VLOOKUP(G225,configuration!$J$7:$K$10,2,FALSE))</f>
        <v/>
      </c>
      <c r="I225" s="30"/>
      <c r="J225" s="2"/>
      <c r="K225" s="31"/>
      <c r="L225" s="35"/>
      <c r="M225" s="2" t="str">
        <f>IF(ISBLANK(L225),"",VLOOKUP(L225,configuration!$M$7:$N$10,2,FALSE))</f>
        <v/>
      </c>
      <c r="N225" s="30"/>
      <c r="O225" s="2"/>
      <c r="P225" s="31"/>
      <c r="Q225" s="54"/>
      <c r="R225" s="55" t="str">
        <f>IF(ISBLANK(Q225),"",VLOOKUP(Q225,configuration!$P$7:$Q$10,2,FALSE))</f>
        <v/>
      </c>
      <c r="S225" s="56"/>
      <c r="T225" s="55"/>
      <c r="U225" s="78"/>
      <c r="V225" s="76" t="str">
        <f t="shared" si="16"/>
        <v/>
      </c>
      <c r="W225" s="48" t="str">
        <f t="shared" si="16"/>
        <v/>
      </c>
      <c r="X225" s="48" t="str">
        <f t="shared" si="16"/>
        <v/>
      </c>
      <c r="Y225" s="48" t="str">
        <f t="shared" si="16"/>
        <v/>
      </c>
      <c r="Z225" s="49" t="str">
        <f t="shared" si="14"/>
        <v/>
      </c>
      <c r="AA225" s="50" t="str">
        <f t="shared" si="17"/>
        <v/>
      </c>
      <c r="AB225" s="48" t="str">
        <f t="shared" si="17"/>
        <v/>
      </c>
      <c r="AC225" s="48" t="str">
        <f t="shared" si="17"/>
        <v/>
      </c>
      <c r="AD225" s="48" t="str">
        <f t="shared" si="17"/>
        <v/>
      </c>
      <c r="AE225" s="48" t="str">
        <f t="shared" si="15"/>
        <v/>
      </c>
    </row>
    <row r="226" spans="1:31" x14ac:dyDescent="0.25">
      <c r="A226" s="2"/>
      <c r="B226" s="2"/>
      <c r="C226" s="2"/>
      <c r="D226" s="2" t="str">
        <f>IF(ISBLANK(C226),"",VLOOKUP(C226,configuration!$G$7:$H$10,2,FALSE))</f>
        <v/>
      </c>
      <c r="E226" s="2"/>
      <c r="F226" s="2"/>
      <c r="G226" s="2"/>
      <c r="H226" s="2" t="str">
        <f>IF(ISBLANK(G226),"",VLOOKUP(G226,configuration!$J$7:$K$10,2,FALSE))</f>
        <v/>
      </c>
      <c r="I226" s="30"/>
      <c r="J226" s="2"/>
      <c r="K226" s="31"/>
      <c r="L226" s="35"/>
      <c r="M226" s="2" t="str">
        <f>IF(ISBLANK(L226),"",VLOOKUP(L226,configuration!$M$7:$N$10,2,FALSE))</f>
        <v/>
      </c>
      <c r="N226" s="30"/>
      <c r="O226" s="2"/>
      <c r="P226" s="31"/>
      <c r="Q226" s="54"/>
      <c r="R226" s="55" t="str">
        <f>IF(ISBLANK(Q226),"",VLOOKUP(Q226,configuration!$P$7:$Q$10,2,FALSE))</f>
        <v/>
      </c>
      <c r="S226" s="56"/>
      <c r="T226" s="55"/>
      <c r="U226" s="78"/>
      <c r="V226" s="76" t="str">
        <f t="shared" si="16"/>
        <v/>
      </c>
      <c r="W226" s="48" t="str">
        <f t="shared" si="16"/>
        <v/>
      </c>
      <c r="X226" s="48" t="str">
        <f t="shared" si="16"/>
        <v/>
      </c>
      <c r="Y226" s="48" t="str">
        <f t="shared" si="16"/>
        <v/>
      </c>
      <c r="Z226" s="49" t="str">
        <f t="shared" si="14"/>
        <v/>
      </c>
      <c r="AA226" s="50" t="str">
        <f t="shared" si="17"/>
        <v/>
      </c>
      <c r="AB226" s="48" t="str">
        <f t="shared" si="17"/>
        <v/>
      </c>
      <c r="AC226" s="48" t="str">
        <f t="shared" si="17"/>
        <v/>
      </c>
      <c r="AD226" s="48" t="str">
        <f t="shared" si="17"/>
        <v/>
      </c>
      <c r="AE226" s="48" t="str">
        <f t="shared" si="15"/>
        <v/>
      </c>
    </row>
    <row r="227" spans="1:31" x14ac:dyDescent="0.25">
      <c r="A227" s="2"/>
      <c r="B227" s="2"/>
      <c r="C227" s="2"/>
      <c r="D227" s="2" t="str">
        <f>IF(ISBLANK(C227),"",VLOOKUP(C227,configuration!$G$7:$H$10,2,FALSE))</f>
        <v/>
      </c>
      <c r="E227" s="2"/>
      <c r="F227" s="2"/>
      <c r="G227" s="2"/>
      <c r="H227" s="2" t="str">
        <f>IF(ISBLANK(G227),"",VLOOKUP(G227,configuration!$J$7:$K$10,2,FALSE))</f>
        <v/>
      </c>
      <c r="I227" s="30"/>
      <c r="J227" s="2"/>
      <c r="K227" s="31"/>
      <c r="L227" s="35"/>
      <c r="M227" s="2" t="str">
        <f>IF(ISBLANK(L227),"",VLOOKUP(L227,configuration!$M$7:$N$10,2,FALSE))</f>
        <v/>
      </c>
      <c r="N227" s="30"/>
      <c r="O227" s="2"/>
      <c r="P227" s="31"/>
      <c r="Q227" s="54"/>
      <c r="R227" s="55" t="str">
        <f>IF(ISBLANK(Q227),"",VLOOKUP(Q227,configuration!$P$7:$Q$10,2,FALSE))</f>
        <v/>
      </c>
      <c r="S227" s="56"/>
      <c r="T227" s="55"/>
      <c r="U227" s="78"/>
      <c r="V227" s="76" t="str">
        <f t="shared" si="16"/>
        <v/>
      </c>
      <c r="W227" s="48" t="str">
        <f t="shared" si="16"/>
        <v/>
      </c>
      <c r="X227" s="48" t="str">
        <f t="shared" si="16"/>
        <v/>
      </c>
      <c r="Y227" s="48" t="str">
        <f t="shared" si="16"/>
        <v/>
      </c>
      <c r="Z227" s="49" t="str">
        <f t="shared" si="14"/>
        <v/>
      </c>
      <c r="AA227" s="50" t="str">
        <f t="shared" si="17"/>
        <v/>
      </c>
      <c r="AB227" s="48" t="str">
        <f t="shared" si="17"/>
        <v/>
      </c>
      <c r="AC227" s="48" t="str">
        <f t="shared" si="17"/>
        <v/>
      </c>
      <c r="AD227" s="48" t="str">
        <f t="shared" si="17"/>
        <v/>
      </c>
      <c r="AE227" s="48" t="str">
        <f t="shared" si="15"/>
        <v/>
      </c>
    </row>
    <row r="228" spans="1:31" x14ac:dyDescent="0.25">
      <c r="A228" s="2"/>
      <c r="B228" s="2"/>
      <c r="C228" s="2"/>
      <c r="D228" s="2" t="str">
        <f>IF(ISBLANK(C228),"",VLOOKUP(C228,configuration!$G$7:$H$10,2,FALSE))</f>
        <v/>
      </c>
      <c r="E228" s="2"/>
      <c r="F228" s="2"/>
      <c r="G228" s="2"/>
      <c r="H228" s="2" t="str">
        <f>IF(ISBLANK(G228),"",VLOOKUP(G228,configuration!$J$7:$K$10,2,FALSE))</f>
        <v/>
      </c>
      <c r="I228" s="30"/>
      <c r="J228" s="2"/>
      <c r="K228" s="31"/>
      <c r="L228" s="35"/>
      <c r="M228" s="2" t="str">
        <f>IF(ISBLANK(L228),"",VLOOKUP(L228,configuration!$M$7:$N$10,2,FALSE))</f>
        <v/>
      </c>
      <c r="N228" s="30"/>
      <c r="O228" s="2"/>
      <c r="P228" s="31"/>
      <c r="Q228" s="54"/>
      <c r="R228" s="55" t="str">
        <f>IF(ISBLANK(Q228),"",VLOOKUP(Q228,configuration!$P$7:$Q$10,2,FALSE))</f>
        <v/>
      </c>
      <c r="S228" s="56"/>
      <c r="T228" s="55"/>
      <c r="U228" s="78"/>
      <c r="V228" s="76" t="str">
        <f t="shared" si="16"/>
        <v/>
      </c>
      <c r="W228" s="48" t="str">
        <f t="shared" si="16"/>
        <v/>
      </c>
      <c r="X228" s="48" t="str">
        <f t="shared" si="16"/>
        <v/>
      </c>
      <c r="Y228" s="48" t="str">
        <f t="shared" si="16"/>
        <v/>
      </c>
      <c r="Z228" s="49" t="str">
        <f t="shared" si="14"/>
        <v/>
      </c>
      <c r="AA228" s="50" t="str">
        <f t="shared" si="17"/>
        <v/>
      </c>
      <c r="AB228" s="48" t="str">
        <f t="shared" si="17"/>
        <v/>
      </c>
      <c r="AC228" s="48" t="str">
        <f t="shared" si="17"/>
        <v/>
      </c>
      <c r="AD228" s="48" t="str">
        <f t="shared" si="17"/>
        <v/>
      </c>
      <c r="AE228" s="48" t="str">
        <f t="shared" si="15"/>
        <v/>
      </c>
    </row>
    <row r="229" spans="1:31" x14ac:dyDescent="0.25">
      <c r="A229" s="2"/>
      <c r="B229" s="2"/>
      <c r="C229" s="2"/>
      <c r="D229" s="2" t="str">
        <f>IF(ISBLANK(C229),"",VLOOKUP(C229,configuration!$G$7:$H$10,2,FALSE))</f>
        <v/>
      </c>
      <c r="E229" s="2"/>
      <c r="F229" s="2"/>
      <c r="G229" s="2"/>
      <c r="H229" s="2" t="str">
        <f>IF(ISBLANK(G229),"",VLOOKUP(G229,configuration!$J$7:$K$10,2,FALSE))</f>
        <v/>
      </c>
      <c r="I229" s="30"/>
      <c r="J229" s="2"/>
      <c r="K229" s="31"/>
      <c r="L229" s="35"/>
      <c r="M229" s="2" t="str">
        <f>IF(ISBLANK(L229),"",VLOOKUP(L229,configuration!$M$7:$N$10,2,FALSE))</f>
        <v/>
      </c>
      <c r="N229" s="30"/>
      <c r="O229" s="2"/>
      <c r="P229" s="31"/>
      <c r="Q229" s="54"/>
      <c r="R229" s="55" t="str">
        <f>IF(ISBLANK(Q229),"",VLOOKUP(Q229,configuration!$P$7:$Q$10,2,FALSE))</f>
        <v/>
      </c>
      <c r="S229" s="56"/>
      <c r="T229" s="55"/>
      <c r="U229" s="78"/>
      <c r="V229" s="76" t="str">
        <f t="shared" si="16"/>
        <v/>
      </c>
      <c r="W229" s="48" t="str">
        <f t="shared" si="16"/>
        <v/>
      </c>
      <c r="X229" s="48" t="str">
        <f t="shared" si="16"/>
        <v/>
      </c>
      <c r="Y229" s="48" t="str">
        <f t="shared" si="16"/>
        <v/>
      </c>
      <c r="Z229" s="49" t="str">
        <f t="shared" si="14"/>
        <v/>
      </c>
      <c r="AA229" s="50" t="str">
        <f t="shared" si="17"/>
        <v/>
      </c>
      <c r="AB229" s="48" t="str">
        <f t="shared" si="17"/>
        <v/>
      </c>
      <c r="AC229" s="48" t="str">
        <f t="shared" si="17"/>
        <v/>
      </c>
      <c r="AD229" s="48" t="str">
        <f t="shared" si="17"/>
        <v/>
      </c>
      <c r="AE229" s="48" t="str">
        <f t="shared" si="15"/>
        <v/>
      </c>
    </row>
    <row r="230" spans="1:31" x14ac:dyDescent="0.25">
      <c r="A230" s="2"/>
      <c r="B230" s="2"/>
      <c r="C230" s="2"/>
      <c r="D230" s="2" t="str">
        <f>IF(ISBLANK(C230),"",VLOOKUP(C230,configuration!$G$7:$H$10,2,FALSE))</f>
        <v/>
      </c>
      <c r="E230" s="2"/>
      <c r="F230" s="2"/>
      <c r="G230" s="2"/>
      <c r="H230" s="2" t="str">
        <f>IF(ISBLANK(G230),"",VLOOKUP(G230,configuration!$J$7:$K$10,2,FALSE))</f>
        <v/>
      </c>
      <c r="I230" s="30"/>
      <c r="J230" s="2"/>
      <c r="K230" s="31"/>
      <c r="L230" s="35"/>
      <c r="M230" s="2" t="str">
        <f>IF(ISBLANK(L230),"",VLOOKUP(L230,configuration!$M$7:$N$10,2,FALSE))</f>
        <v/>
      </c>
      <c r="N230" s="30"/>
      <c r="O230" s="2"/>
      <c r="P230" s="31"/>
      <c r="Q230" s="54"/>
      <c r="R230" s="55" t="str">
        <f>IF(ISBLANK(Q230),"",VLOOKUP(Q230,configuration!$P$7:$Q$10,2,FALSE))</f>
        <v/>
      </c>
      <c r="S230" s="56"/>
      <c r="T230" s="55"/>
      <c r="U230" s="78"/>
      <c r="V230" s="76" t="str">
        <f t="shared" si="16"/>
        <v/>
      </c>
      <c r="W230" s="48" t="str">
        <f t="shared" si="16"/>
        <v/>
      </c>
      <c r="X230" s="48" t="str">
        <f t="shared" si="16"/>
        <v/>
      </c>
      <c r="Y230" s="48" t="str">
        <f t="shared" si="16"/>
        <v/>
      </c>
      <c r="Z230" s="49" t="str">
        <f t="shared" si="14"/>
        <v/>
      </c>
      <c r="AA230" s="50" t="str">
        <f t="shared" si="17"/>
        <v/>
      </c>
      <c r="AB230" s="48" t="str">
        <f t="shared" si="17"/>
        <v/>
      </c>
      <c r="AC230" s="48" t="str">
        <f t="shared" si="17"/>
        <v/>
      </c>
      <c r="AD230" s="48" t="str">
        <f t="shared" si="17"/>
        <v/>
      </c>
      <c r="AE230" s="48" t="str">
        <f t="shared" si="15"/>
        <v/>
      </c>
    </row>
    <row r="231" spans="1:31" x14ac:dyDescent="0.25">
      <c r="A231" s="2"/>
      <c r="B231" s="2"/>
      <c r="C231" s="2"/>
      <c r="D231" s="2" t="str">
        <f>IF(ISBLANK(C231),"",VLOOKUP(C231,configuration!$G$7:$H$10,2,FALSE))</f>
        <v/>
      </c>
      <c r="E231" s="2"/>
      <c r="F231" s="2"/>
      <c r="G231" s="2"/>
      <c r="H231" s="2" t="str">
        <f>IF(ISBLANK(G231),"",VLOOKUP(G231,configuration!$J$7:$K$10,2,FALSE))</f>
        <v/>
      </c>
      <c r="I231" s="30"/>
      <c r="J231" s="2"/>
      <c r="K231" s="31"/>
      <c r="L231" s="35"/>
      <c r="M231" s="2" t="str">
        <f>IF(ISBLANK(L231),"",VLOOKUP(L231,configuration!$M$7:$N$10,2,FALSE))</f>
        <v/>
      </c>
      <c r="N231" s="30"/>
      <c r="O231" s="2"/>
      <c r="P231" s="31"/>
      <c r="Q231" s="54"/>
      <c r="R231" s="55" t="str">
        <f>IF(ISBLANK(Q231),"",VLOOKUP(Q231,configuration!$P$7:$Q$10,2,FALSE))</f>
        <v/>
      </c>
      <c r="S231" s="56"/>
      <c r="T231" s="55"/>
      <c r="U231" s="78"/>
      <c r="V231" s="76" t="str">
        <f t="shared" si="16"/>
        <v/>
      </c>
      <c r="W231" s="48" t="str">
        <f t="shared" si="16"/>
        <v/>
      </c>
      <c r="X231" s="48" t="str">
        <f t="shared" si="16"/>
        <v/>
      </c>
      <c r="Y231" s="48" t="str">
        <f t="shared" si="16"/>
        <v/>
      </c>
      <c r="Z231" s="49" t="str">
        <f t="shared" si="14"/>
        <v/>
      </c>
      <c r="AA231" s="50" t="str">
        <f t="shared" si="17"/>
        <v/>
      </c>
      <c r="AB231" s="48" t="str">
        <f t="shared" si="17"/>
        <v/>
      </c>
      <c r="AC231" s="48" t="str">
        <f t="shared" si="17"/>
        <v/>
      </c>
      <c r="AD231" s="48" t="str">
        <f t="shared" si="17"/>
        <v/>
      </c>
      <c r="AE231" s="48" t="str">
        <f t="shared" si="15"/>
        <v/>
      </c>
    </row>
    <row r="232" spans="1:31" x14ac:dyDescent="0.25">
      <c r="A232" s="2"/>
      <c r="B232" s="2"/>
      <c r="C232" s="2"/>
      <c r="D232" s="2" t="str">
        <f>IF(ISBLANK(C232),"",VLOOKUP(C232,configuration!$G$7:$H$10,2,FALSE))</f>
        <v/>
      </c>
      <c r="E232" s="2"/>
      <c r="F232" s="2"/>
      <c r="G232" s="2"/>
      <c r="H232" s="2" t="str">
        <f>IF(ISBLANK(G232),"",VLOOKUP(G232,configuration!$J$7:$K$10,2,FALSE))</f>
        <v/>
      </c>
      <c r="I232" s="30"/>
      <c r="J232" s="2"/>
      <c r="K232" s="31"/>
      <c r="L232" s="35"/>
      <c r="M232" s="2" t="str">
        <f>IF(ISBLANK(L232),"",VLOOKUP(L232,configuration!$M$7:$N$10,2,FALSE))</f>
        <v/>
      </c>
      <c r="N232" s="30"/>
      <c r="O232" s="2"/>
      <c r="P232" s="31"/>
      <c r="Q232" s="54"/>
      <c r="R232" s="55" t="str">
        <f>IF(ISBLANK(Q232),"",VLOOKUP(Q232,configuration!$P$7:$Q$10,2,FALSE))</f>
        <v/>
      </c>
      <c r="S232" s="56"/>
      <c r="T232" s="55"/>
      <c r="U232" s="78"/>
      <c r="V232" s="76" t="str">
        <f t="shared" si="16"/>
        <v/>
      </c>
      <c r="W232" s="48" t="str">
        <f t="shared" si="16"/>
        <v/>
      </c>
      <c r="X232" s="48" t="str">
        <f t="shared" si="16"/>
        <v/>
      </c>
      <c r="Y232" s="48" t="str">
        <f t="shared" si="16"/>
        <v/>
      </c>
      <c r="Z232" s="49" t="str">
        <f t="shared" si="14"/>
        <v/>
      </c>
      <c r="AA232" s="50" t="str">
        <f t="shared" si="17"/>
        <v/>
      </c>
      <c r="AB232" s="48" t="str">
        <f t="shared" si="17"/>
        <v/>
      </c>
      <c r="AC232" s="48" t="str">
        <f t="shared" si="17"/>
        <v/>
      </c>
      <c r="AD232" s="48" t="str">
        <f t="shared" si="17"/>
        <v/>
      </c>
      <c r="AE232" s="48" t="str">
        <f t="shared" si="15"/>
        <v/>
      </c>
    </row>
    <row r="233" spans="1:31" x14ac:dyDescent="0.25">
      <c r="A233" s="2"/>
      <c r="B233" s="2"/>
      <c r="C233" s="2"/>
      <c r="D233" s="2" t="str">
        <f>IF(ISBLANK(C233),"",VLOOKUP(C233,configuration!$G$7:$H$10,2,FALSE))</f>
        <v/>
      </c>
      <c r="E233" s="2"/>
      <c r="F233" s="2"/>
      <c r="G233" s="2"/>
      <c r="H233" s="2" t="str">
        <f>IF(ISBLANK(G233),"",VLOOKUP(G233,configuration!$J$7:$K$10,2,FALSE))</f>
        <v/>
      </c>
      <c r="I233" s="30"/>
      <c r="J233" s="2"/>
      <c r="K233" s="31"/>
      <c r="L233" s="35"/>
      <c r="M233" s="2" t="str">
        <f>IF(ISBLANK(L233),"",VLOOKUP(L233,configuration!$M$7:$N$10,2,FALSE))</f>
        <v/>
      </c>
      <c r="N233" s="30"/>
      <c r="O233" s="2"/>
      <c r="P233" s="31"/>
      <c r="Q233" s="54"/>
      <c r="R233" s="55" t="str">
        <f>IF(ISBLANK(Q233),"",VLOOKUP(Q233,configuration!$P$7:$Q$10,2,FALSE))</f>
        <v/>
      </c>
      <c r="S233" s="56"/>
      <c r="T233" s="55"/>
      <c r="U233" s="78"/>
      <c r="V233" s="76" t="str">
        <f t="shared" si="16"/>
        <v/>
      </c>
      <c r="W233" s="48" t="str">
        <f t="shared" si="16"/>
        <v/>
      </c>
      <c r="X233" s="48" t="str">
        <f t="shared" si="16"/>
        <v/>
      </c>
      <c r="Y233" s="48" t="str">
        <f t="shared" si="16"/>
        <v/>
      </c>
      <c r="Z233" s="49" t="str">
        <f t="shared" si="14"/>
        <v/>
      </c>
      <c r="AA233" s="50" t="str">
        <f t="shared" si="17"/>
        <v/>
      </c>
      <c r="AB233" s="48" t="str">
        <f t="shared" si="17"/>
        <v/>
      </c>
      <c r="AC233" s="48" t="str">
        <f t="shared" si="17"/>
        <v/>
      </c>
      <c r="AD233" s="48" t="str">
        <f t="shared" si="17"/>
        <v/>
      </c>
      <c r="AE233" s="48" t="str">
        <f t="shared" si="15"/>
        <v/>
      </c>
    </row>
    <row r="234" spans="1:31" x14ac:dyDescent="0.25">
      <c r="A234" s="2"/>
      <c r="B234" s="2"/>
      <c r="C234" s="2"/>
      <c r="D234" s="2" t="str">
        <f>IF(ISBLANK(C234),"",VLOOKUP(C234,configuration!$G$7:$H$10,2,FALSE))</f>
        <v/>
      </c>
      <c r="E234" s="2"/>
      <c r="F234" s="2"/>
      <c r="G234" s="2"/>
      <c r="H234" s="2" t="str">
        <f>IF(ISBLANK(G234),"",VLOOKUP(G234,configuration!$J$7:$K$10,2,FALSE))</f>
        <v/>
      </c>
      <c r="I234" s="30"/>
      <c r="J234" s="2"/>
      <c r="K234" s="31"/>
      <c r="L234" s="35"/>
      <c r="M234" s="2" t="str">
        <f>IF(ISBLANK(L234),"",VLOOKUP(L234,configuration!$M$7:$N$10,2,FALSE))</f>
        <v/>
      </c>
      <c r="N234" s="30"/>
      <c r="O234" s="2"/>
      <c r="P234" s="31"/>
      <c r="Q234" s="54"/>
      <c r="R234" s="55" t="str">
        <f>IF(ISBLANK(Q234),"",VLOOKUP(Q234,configuration!$P$7:$Q$10,2,FALSE))</f>
        <v/>
      </c>
      <c r="S234" s="56"/>
      <c r="T234" s="55"/>
      <c r="U234" s="78"/>
      <c r="V234" s="76" t="str">
        <f t="shared" si="16"/>
        <v/>
      </c>
      <c r="W234" s="48" t="str">
        <f t="shared" si="16"/>
        <v/>
      </c>
      <c r="X234" s="48" t="str">
        <f t="shared" si="16"/>
        <v/>
      </c>
      <c r="Y234" s="48" t="str">
        <f t="shared" si="16"/>
        <v/>
      </c>
      <c r="Z234" s="49" t="str">
        <f t="shared" si="14"/>
        <v/>
      </c>
      <c r="AA234" s="50" t="str">
        <f t="shared" si="17"/>
        <v/>
      </c>
      <c r="AB234" s="48" t="str">
        <f t="shared" si="17"/>
        <v/>
      </c>
      <c r="AC234" s="48" t="str">
        <f t="shared" si="17"/>
        <v/>
      </c>
      <c r="AD234" s="48" t="str">
        <f t="shared" si="17"/>
        <v/>
      </c>
      <c r="AE234" s="48" t="str">
        <f t="shared" si="15"/>
        <v/>
      </c>
    </row>
    <row r="235" spans="1:31" x14ac:dyDescent="0.25">
      <c r="A235" s="2"/>
      <c r="B235" s="2"/>
      <c r="C235" s="2"/>
      <c r="D235" s="2" t="str">
        <f>IF(ISBLANK(C235),"",VLOOKUP(C235,configuration!$G$7:$H$10,2,FALSE))</f>
        <v/>
      </c>
      <c r="E235" s="2"/>
      <c r="F235" s="2"/>
      <c r="G235" s="2"/>
      <c r="H235" s="2" t="str">
        <f>IF(ISBLANK(G235),"",VLOOKUP(G235,configuration!$J$7:$K$10,2,FALSE))</f>
        <v/>
      </c>
      <c r="I235" s="30"/>
      <c r="J235" s="2"/>
      <c r="K235" s="31"/>
      <c r="L235" s="35"/>
      <c r="M235" s="2" t="str">
        <f>IF(ISBLANK(L235),"",VLOOKUP(L235,configuration!$M$7:$N$10,2,FALSE))</f>
        <v/>
      </c>
      <c r="N235" s="30"/>
      <c r="O235" s="2"/>
      <c r="P235" s="31"/>
      <c r="Q235" s="54"/>
      <c r="R235" s="55" t="str">
        <f>IF(ISBLANK(Q235),"",VLOOKUP(Q235,configuration!$P$7:$Q$10,2,FALSE))</f>
        <v/>
      </c>
      <c r="S235" s="56"/>
      <c r="T235" s="55"/>
      <c r="U235" s="78"/>
      <c r="V235" s="76" t="str">
        <f t="shared" si="16"/>
        <v/>
      </c>
      <c r="W235" s="48" t="str">
        <f t="shared" si="16"/>
        <v/>
      </c>
      <c r="X235" s="48" t="str">
        <f t="shared" si="16"/>
        <v/>
      </c>
      <c r="Y235" s="48" t="str">
        <f t="shared" si="16"/>
        <v/>
      </c>
      <c r="Z235" s="49" t="str">
        <f t="shared" si="14"/>
        <v/>
      </c>
      <c r="AA235" s="50" t="str">
        <f t="shared" si="17"/>
        <v/>
      </c>
      <c r="AB235" s="48" t="str">
        <f t="shared" si="17"/>
        <v/>
      </c>
      <c r="AC235" s="48" t="str">
        <f t="shared" si="17"/>
        <v/>
      </c>
      <c r="AD235" s="48" t="str">
        <f t="shared" si="17"/>
        <v/>
      </c>
      <c r="AE235" s="48" t="str">
        <f t="shared" si="15"/>
        <v/>
      </c>
    </row>
    <row r="236" spans="1:31" x14ac:dyDescent="0.25">
      <c r="A236" s="2"/>
      <c r="B236" s="2"/>
      <c r="C236" s="2"/>
      <c r="D236" s="2" t="str">
        <f>IF(ISBLANK(C236),"",VLOOKUP(C236,configuration!$G$7:$H$10,2,FALSE))</f>
        <v/>
      </c>
      <c r="E236" s="2"/>
      <c r="F236" s="2"/>
      <c r="G236" s="2"/>
      <c r="H236" s="2" t="str">
        <f>IF(ISBLANK(G236),"",VLOOKUP(G236,configuration!$J$7:$K$10,2,FALSE))</f>
        <v/>
      </c>
      <c r="I236" s="30"/>
      <c r="J236" s="2"/>
      <c r="K236" s="31"/>
      <c r="L236" s="35"/>
      <c r="M236" s="2" t="str">
        <f>IF(ISBLANK(L236),"",VLOOKUP(L236,configuration!$M$7:$N$10,2,FALSE))</f>
        <v/>
      </c>
      <c r="N236" s="30"/>
      <c r="O236" s="2"/>
      <c r="P236" s="31"/>
      <c r="Q236" s="54"/>
      <c r="R236" s="55" t="str">
        <f>IF(ISBLANK(Q236),"",VLOOKUP(Q236,configuration!$P$7:$Q$10,2,FALSE))</f>
        <v/>
      </c>
      <c r="S236" s="56"/>
      <c r="T236" s="55"/>
      <c r="U236" s="78"/>
      <c r="V236" s="76" t="str">
        <f t="shared" si="16"/>
        <v/>
      </c>
      <c r="W236" s="48" t="str">
        <f t="shared" si="16"/>
        <v/>
      </c>
      <c r="X236" s="48" t="str">
        <f t="shared" si="16"/>
        <v/>
      </c>
      <c r="Y236" s="48" t="str">
        <f t="shared" si="16"/>
        <v/>
      </c>
      <c r="Z236" s="49" t="str">
        <f t="shared" si="14"/>
        <v/>
      </c>
      <c r="AA236" s="50" t="str">
        <f t="shared" si="17"/>
        <v/>
      </c>
      <c r="AB236" s="48" t="str">
        <f t="shared" si="17"/>
        <v/>
      </c>
      <c r="AC236" s="48" t="str">
        <f t="shared" si="17"/>
        <v/>
      </c>
      <c r="AD236" s="48" t="str">
        <f t="shared" si="17"/>
        <v/>
      </c>
      <c r="AE236" s="48" t="str">
        <f t="shared" si="15"/>
        <v/>
      </c>
    </row>
    <row r="237" spans="1:31" x14ac:dyDescent="0.25">
      <c r="A237" s="2"/>
      <c r="B237" s="2"/>
      <c r="C237" s="2"/>
      <c r="D237" s="2" t="str">
        <f>IF(ISBLANK(C237),"",VLOOKUP(C237,configuration!$G$7:$H$10,2,FALSE))</f>
        <v/>
      </c>
      <c r="E237" s="2"/>
      <c r="F237" s="2"/>
      <c r="G237" s="2"/>
      <c r="H237" s="2" t="str">
        <f>IF(ISBLANK(G237),"",VLOOKUP(G237,configuration!$J$7:$K$10,2,FALSE))</f>
        <v/>
      </c>
      <c r="I237" s="30"/>
      <c r="J237" s="2"/>
      <c r="K237" s="31"/>
      <c r="L237" s="35"/>
      <c r="M237" s="2" t="str">
        <f>IF(ISBLANK(L237),"",VLOOKUP(L237,configuration!$M$7:$N$10,2,FALSE))</f>
        <v/>
      </c>
      <c r="N237" s="30"/>
      <c r="O237" s="2"/>
      <c r="P237" s="31"/>
      <c r="Q237" s="54"/>
      <c r="R237" s="55" t="str">
        <f>IF(ISBLANK(Q237),"",VLOOKUP(Q237,configuration!$P$7:$Q$10,2,FALSE))</f>
        <v/>
      </c>
      <c r="S237" s="56"/>
      <c r="T237" s="55"/>
      <c r="U237" s="78"/>
      <c r="V237" s="76" t="str">
        <f t="shared" si="16"/>
        <v/>
      </c>
      <c r="W237" s="48" t="str">
        <f t="shared" si="16"/>
        <v/>
      </c>
      <c r="X237" s="48" t="str">
        <f t="shared" si="16"/>
        <v/>
      </c>
      <c r="Y237" s="48" t="str">
        <f t="shared" si="16"/>
        <v/>
      </c>
      <c r="Z237" s="49" t="str">
        <f t="shared" si="14"/>
        <v/>
      </c>
      <c r="AA237" s="50" t="str">
        <f t="shared" si="17"/>
        <v/>
      </c>
      <c r="AB237" s="48" t="str">
        <f t="shared" si="17"/>
        <v/>
      </c>
      <c r="AC237" s="48" t="str">
        <f t="shared" si="17"/>
        <v/>
      </c>
      <c r="AD237" s="48" t="str">
        <f t="shared" si="17"/>
        <v/>
      </c>
      <c r="AE237" s="48" t="str">
        <f t="shared" si="15"/>
        <v/>
      </c>
    </row>
    <row r="238" spans="1:31" x14ac:dyDescent="0.25">
      <c r="A238" s="2"/>
      <c r="B238" s="2"/>
      <c r="C238" s="2"/>
      <c r="D238" s="2" t="str">
        <f>IF(ISBLANK(C238),"",VLOOKUP(C238,configuration!$G$7:$H$10,2,FALSE))</f>
        <v/>
      </c>
      <c r="E238" s="2"/>
      <c r="F238" s="2"/>
      <c r="G238" s="2"/>
      <c r="H238" s="2" t="str">
        <f>IF(ISBLANK(G238),"",VLOOKUP(G238,configuration!$J$7:$K$10,2,FALSE))</f>
        <v/>
      </c>
      <c r="I238" s="30"/>
      <c r="J238" s="2"/>
      <c r="K238" s="31"/>
      <c r="L238" s="35"/>
      <c r="M238" s="2" t="str">
        <f>IF(ISBLANK(L238),"",VLOOKUP(L238,configuration!$M$7:$N$10,2,FALSE))</f>
        <v/>
      </c>
      <c r="N238" s="30"/>
      <c r="O238" s="2"/>
      <c r="P238" s="31"/>
      <c r="Q238" s="54"/>
      <c r="R238" s="55" t="str">
        <f>IF(ISBLANK(Q238),"",VLOOKUP(Q238,configuration!$P$7:$Q$10,2,FALSE))</f>
        <v/>
      </c>
      <c r="S238" s="56"/>
      <c r="T238" s="55"/>
      <c r="U238" s="78"/>
      <c r="V238" s="76" t="str">
        <f t="shared" si="16"/>
        <v/>
      </c>
      <c r="W238" s="48" t="str">
        <f t="shared" si="16"/>
        <v/>
      </c>
      <c r="X238" s="48" t="str">
        <f t="shared" si="16"/>
        <v/>
      </c>
      <c r="Y238" s="48" t="str">
        <f t="shared" si="16"/>
        <v/>
      </c>
      <c r="Z238" s="49" t="str">
        <f t="shared" si="14"/>
        <v/>
      </c>
      <c r="AA238" s="50" t="str">
        <f t="shared" si="17"/>
        <v/>
      </c>
      <c r="AB238" s="48" t="str">
        <f t="shared" si="17"/>
        <v/>
      </c>
      <c r="AC238" s="48" t="str">
        <f t="shared" si="17"/>
        <v/>
      </c>
      <c r="AD238" s="48" t="str">
        <f t="shared" si="17"/>
        <v/>
      </c>
      <c r="AE238" s="48" t="str">
        <f t="shared" si="15"/>
        <v/>
      </c>
    </row>
    <row r="239" spans="1:31" x14ac:dyDescent="0.25">
      <c r="A239" s="2"/>
      <c r="B239" s="2"/>
      <c r="C239" s="2"/>
      <c r="D239" s="2" t="str">
        <f>IF(ISBLANK(C239),"",VLOOKUP(C239,configuration!$G$7:$H$10,2,FALSE))</f>
        <v/>
      </c>
      <c r="E239" s="2"/>
      <c r="F239" s="2"/>
      <c r="G239" s="2"/>
      <c r="H239" s="2" t="str">
        <f>IF(ISBLANK(G239),"",VLOOKUP(G239,configuration!$J$7:$K$10,2,FALSE))</f>
        <v/>
      </c>
      <c r="I239" s="30"/>
      <c r="J239" s="2"/>
      <c r="K239" s="31"/>
      <c r="L239" s="35"/>
      <c r="M239" s="2" t="str">
        <f>IF(ISBLANK(L239),"",VLOOKUP(L239,configuration!$M$7:$N$10,2,FALSE))</f>
        <v/>
      </c>
      <c r="N239" s="30"/>
      <c r="O239" s="2"/>
      <c r="P239" s="31"/>
      <c r="Q239" s="54"/>
      <c r="R239" s="55" t="str">
        <f>IF(ISBLANK(Q239),"",VLOOKUP(Q239,configuration!$P$7:$Q$10,2,FALSE))</f>
        <v/>
      </c>
      <c r="S239" s="56"/>
      <c r="T239" s="55"/>
      <c r="U239" s="78"/>
      <c r="V239" s="76" t="str">
        <f t="shared" si="16"/>
        <v/>
      </c>
      <c r="W239" s="48" t="str">
        <f t="shared" si="16"/>
        <v/>
      </c>
      <c r="X239" s="48" t="str">
        <f t="shared" si="16"/>
        <v/>
      </c>
      <c r="Y239" s="48" t="str">
        <f t="shared" si="16"/>
        <v/>
      </c>
      <c r="Z239" s="49" t="str">
        <f t="shared" si="14"/>
        <v/>
      </c>
      <c r="AA239" s="50" t="str">
        <f t="shared" si="17"/>
        <v/>
      </c>
      <c r="AB239" s="48" t="str">
        <f t="shared" si="17"/>
        <v/>
      </c>
      <c r="AC239" s="48" t="str">
        <f t="shared" si="17"/>
        <v/>
      </c>
      <c r="AD239" s="48" t="str">
        <f t="shared" si="17"/>
        <v/>
      </c>
      <c r="AE239" s="48" t="str">
        <f t="shared" si="15"/>
        <v/>
      </c>
    </row>
    <row r="240" spans="1:31" x14ac:dyDescent="0.25">
      <c r="A240" s="2"/>
      <c r="B240" s="2"/>
      <c r="C240" s="2"/>
      <c r="D240" s="2" t="str">
        <f>IF(ISBLANK(C240),"",VLOOKUP(C240,configuration!$G$7:$H$10,2,FALSE))</f>
        <v/>
      </c>
      <c r="E240" s="2"/>
      <c r="F240" s="2"/>
      <c r="G240" s="2"/>
      <c r="H240" s="2" t="str">
        <f>IF(ISBLANK(G240),"",VLOOKUP(G240,configuration!$J$7:$K$10,2,FALSE))</f>
        <v/>
      </c>
      <c r="I240" s="30"/>
      <c r="J240" s="2"/>
      <c r="K240" s="31"/>
      <c r="L240" s="35"/>
      <c r="M240" s="2" t="str">
        <f>IF(ISBLANK(L240),"",VLOOKUP(L240,configuration!$M$7:$N$10,2,FALSE))</f>
        <v/>
      </c>
      <c r="N240" s="30"/>
      <c r="O240" s="2"/>
      <c r="P240" s="31"/>
      <c r="Q240" s="54"/>
      <c r="R240" s="55" t="str">
        <f>IF(ISBLANK(Q240),"",VLOOKUP(Q240,configuration!$P$7:$Q$10,2,FALSE))</f>
        <v/>
      </c>
      <c r="S240" s="56"/>
      <c r="T240" s="55"/>
      <c r="U240" s="78"/>
      <c r="V240" s="76" t="str">
        <f t="shared" si="16"/>
        <v/>
      </c>
      <c r="W240" s="48" t="str">
        <f t="shared" si="16"/>
        <v/>
      </c>
      <c r="X240" s="48" t="str">
        <f t="shared" si="16"/>
        <v/>
      </c>
      <c r="Y240" s="48" t="str">
        <f t="shared" si="16"/>
        <v/>
      </c>
      <c r="Z240" s="49" t="str">
        <f t="shared" si="14"/>
        <v/>
      </c>
      <c r="AA240" s="50" t="str">
        <f t="shared" si="17"/>
        <v/>
      </c>
      <c r="AB240" s="48" t="str">
        <f t="shared" si="17"/>
        <v/>
      </c>
      <c r="AC240" s="48" t="str">
        <f t="shared" si="17"/>
        <v/>
      </c>
      <c r="AD240" s="48" t="str">
        <f t="shared" si="17"/>
        <v/>
      </c>
      <c r="AE240" s="48" t="str">
        <f t="shared" si="15"/>
        <v/>
      </c>
    </row>
    <row r="241" spans="1:31" x14ac:dyDescent="0.25">
      <c r="A241" s="2"/>
      <c r="B241" s="2"/>
      <c r="C241" s="2"/>
      <c r="D241" s="2" t="str">
        <f>IF(ISBLANK(C241),"",VLOOKUP(C241,configuration!$G$7:$H$10,2,FALSE))</f>
        <v/>
      </c>
      <c r="E241" s="2"/>
      <c r="F241" s="2"/>
      <c r="G241" s="2"/>
      <c r="H241" s="2" t="str">
        <f>IF(ISBLANK(G241),"",VLOOKUP(G241,configuration!$J$7:$K$10,2,FALSE))</f>
        <v/>
      </c>
      <c r="I241" s="30"/>
      <c r="J241" s="2"/>
      <c r="K241" s="31"/>
      <c r="L241" s="35"/>
      <c r="M241" s="2" t="str">
        <f>IF(ISBLANK(L241),"",VLOOKUP(L241,configuration!$M$7:$N$10,2,FALSE))</f>
        <v/>
      </c>
      <c r="N241" s="30"/>
      <c r="O241" s="2"/>
      <c r="P241" s="31"/>
      <c r="Q241" s="54"/>
      <c r="R241" s="55" t="str">
        <f>IF(ISBLANK(Q241),"",VLOOKUP(Q241,configuration!$P$7:$Q$10,2,FALSE))</f>
        <v/>
      </c>
      <c r="S241" s="56"/>
      <c r="T241" s="55"/>
      <c r="U241" s="78"/>
      <c r="V241" s="76" t="str">
        <f t="shared" si="16"/>
        <v/>
      </c>
      <c r="W241" s="48" t="str">
        <f t="shared" si="16"/>
        <v/>
      </c>
      <c r="X241" s="48" t="str">
        <f t="shared" si="16"/>
        <v/>
      </c>
      <c r="Y241" s="48" t="str">
        <f t="shared" si="16"/>
        <v/>
      </c>
      <c r="Z241" s="49" t="str">
        <f t="shared" si="14"/>
        <v/>
      </c>
      <c r="AA241" s="50" t="str">
        <f t="shared" si="17"/>
        <v/>
      </c>
      <c r="AB241" s="48" t="str">
        <f t="shared" si="17"/>
        <v/>
      </c>
      <c r="AC241" s="48" t="str">
        <f t="shared" si="17"/>
        <v/>
      </c>
      <c r="AD241" s="48" t="str">
        <f t="shared" si="17"/>
        <v/>
      </c>
      <c r="AE241" s="48" t="str">
        <f t="shared" si="15"/>
        <v/>
      </c>
    </row>
    <row r="242" spans="1:31" x14ac:dyDescent="0.25">
      <c r="A242" s="2"/>
      <c r="B242" s="2"/>
      <c r="C242" s="2"/>
      <c r="D242" s="2" t="str">
        <f>IF(ISBLANK(C242),"",VLOOKUP(C242,configuration!$G$7:$H$10,2,FALSE))</f>
        <v/>
      </c>
      <c r="E242" s="2"/>
      <c r="F242" s="2"/>
      <c r="G242" s="2"/>
      <c r="H242" s="2" t="str">
        <f>IF(ISBLANK(G242),"",VLOOKUP(G242,configuration!$J$7:$K$10,2,FALSE))</f>
        <v/>
      </c>
      <c r="I242" s="30"/>
      <c r="J242" s="2"/>
      <c r="K242" s="31"/>
      <c r="L242" s="35"/>
      <c r="M242" s="2" t="str">
        <f>IF(ISBLANK(L242),"",VLOOKUP(L242,configuration!$M$7:$N$10,2,FALSE))</f>
        <v/>
      </c>
      <c r="N242" s="30"/>
      <c r="O242" s="2"/>
      <c r="P242" s="31"/>
      <c r="Q242" s="54"/>
      <c r="R242" s="55" t="str">
        <f>IF(ISBLANK(Q242),"",VLOOKUP(Q242,configuration!$P$7:$Q$10,2,FALSE))</f>
        <v/>
      </c>
      <c r="S242" s="56"/>
      <c r="T242" s="55"/>
      <c r="U242" s="78"/>
      <c r="V242" s="76" t="str">
        <f t="shared" si="16"/>
        <v/>
      </c>
      <c r="W242" s="48" t="str">
        <f t="shared" si="16"/>
        <v/>
      </c>
      <c r="X242" s="48" t="str">
        <f t="shared" si="16"/>
        <v/>
      </c>
      <c r="Y242" s="48" t="str">
        <f t="shared" si="16"/>
        <v/>
      </c>
      <c r="Z242" s="49" t="str">
        <f t="shared" si="14"/>
        <v/>
      </c>
      <c r="AA242" s="50" t="str">
        <f t="shared" si="17"/>
        <v/>
      </c>
      <c r="AB242" s="48" t="str">
        <f t="shared" si="17"/>
        <v/>
      </c>
      <c r="AC242" s="48" t="str">
        <f t="shared" si="17"/>
        <v/>
      </c>
      <c r="AD242" s="48" t="str">
        <f t="shared" si="17"/>
        <v/>
      </c>
      <c r="AE242" s="48" t="str">
        <f t="shared" si="15"/>
        <v/>
      </c>
    </row>
    <row r="243" spans="1:31" x14ac:dyDescent="0.25">
      <c r="A243" s="2"/>
      <c r="B243" s="2"/>
      <c r="C243" s="2"/>
      <c r="D243" s="2" t="str">
        <f>IF(ISBLANK(C243),"",VLOOKUP(C243,configuration!$G$7:$H$10,2,FALSE))</f>
        <v/>
      </c>
      <c r="E243" s="2"/>
      <c r="F243" s="2"/>
      <c r="G243" s="2"/>
      <c r="H243" s="2" t="str">
        <f>IF(ISBLANK(G243),"",VLOOKUP(G243,configuration!$J$7:$K$10,2,FALSE))</f>
        <v/>
      </c>
      <c r="I243" s="30"/>
      <c r="J243" s="2"/>
      <c r="K243" s="31"/>
      <c r="L243" s="35"/>
      <c r="M243" s="2" t="str">
        <f>IF(ISBLANK(L243),"",VLOOKUP(L243,configuration!$M$7:$N$10,2,FALSE))</f>
        <v/>
      </c>
      <c r="N243" s="30"/>
      <c r="O243" s="2"/>
      <c r="P243" s="31"/>
      <c r="Q243" s="54"/>
      <c r="R243" s="55" t="str">
        <f>IF(ISBLANK(Q243),"",VLOOKUP(Q243,configuration!$P$7:$Q$10,2,FALSE))</f>
        <v/>
      </c>
      <c r="S243" s="56"/>
      <c r="T243" s="55"/>
      <c r="U243" s="78"/>
      <c r="V243" s="76" t="str">
        <f t="shared" si="16"/>
        <v/>
      </c>
      <c r="W243" s="48" t="str">
        <f t="shared" si="16"/>
        <v/>
      </c>
      <c r="X243" s="48" t="str">
        <f t="shared" si="16"/>
        <v/>
      </c>
      <c r="Y243" s="48" t="str">
        <f t="shared" si="16"/>
        <v/>
      </c>
      <c r="Z243" s="49" t="str">
        <f t="shared" si="14"/>
        <v/>
      </c>
      <c r="AA243" s="50" t="str">
        <f t="shared" si="17"/>
        <v/>
      </c>
      <c r="AB243" s="48" t="str">
        <f t="shared" si="17"/>
        <v/>
      </c>
      <c r="AC243" s="48" t="str">
        <f t="shared" si="17"/>
        <v/>
      </c>
      <c r="AD243" s="48" t="str">
        <f t="shared" si="17"/>
        <v/>
      </c>
      <c r="AE243" s="48" t="str">
        <f t="shared" si="15"/>
        <v/>
      </c>
    </row>
    <row r="244" spans="1:31" x14ac:dyDescent="0.25">
      <c r="A244" s="2"/>
      <c r="B244" s="2"/>
      <c r="C244" s="2"/>
      <c r="D244" s="2" t="str">
        <f>IF(ISBLANK(C244),"",VLOOKUP(C244,configuration!$G$7:$H$10,2,FALSE))</f>
        <v/>
      </c>
      <c r="E244" s="2"/>
      <c r="F244" s="2"/>
      <c r="G244" s="2"/>
      <c r="H244" s="2" t="str">
        <f>IF(ISBLANK(G244),"",VLOOKUP(G244,configuration!$J$7:$K$10,2,FALSE))</f>
        <v/>
      </c>
      <c r="I244" s="30"/>
      <c r="J244" s="2"/>
      <c r="K244" s="31"/>
      <c r="L244" s="35"/>
      <c r="M244" s="2" t="str">
        <f>IF(ISBLANK(L244),"",VLOOKUP(L244,configuration!$M$7:$N$10,2,FALSE))</f>
        <v/>
      </c>
      <c r="N244" s="30"/>
      <c r="O244" s="2"/>
      <c r="P244" s="31"/>
      <c r="Q244" s="54"/>
      <c r="R244" s="55" t="str">
        <f>IF(ISBLANK(Q244),"",VLOOKUP(Q244,configuration!$P$7:$Q$10,2,FALSE))</f>
        <v/>
      </c>
      <c r="S244" s="56"/>
      <c r="T244" s="55"/>
      <c r="U244" s="78"/>
      <c r="V244" s="76" t="str">
        <f t="shared" si="16"/>
        <v/>
      </c>
      <c r="W244" s="48" t="str">
        <f t="shared" si="16"/>
        <v/>
      </c>
      <c r="X244" s="48" t="str">
        <f t="shared" si="16"/>
        <v/>
      </c>
      <c r="Y244" s="48" t="str">
        <f t="shared" si="16"/>
        <v/>
      </c>
      <c r="Z244" s="49" t="str">
        <f t="shared" si="14"/>
        <v/>
      </c>
      <c r="AA244" s="50" t="str">
        <f t="shared" si="17"/>
        <v/>
      </c>
      <c r="AB244" s="48" t="str">
        <f t="shared" si="17"/>
        <v/>
      </c>
      <c r="AC244" s="48" t="str">
        <f t="shared" si="17"/>
        <v/>
      </c>
      <c r="AD244" s="48" t="str">
        <f t="shared" si="17"/>
        <v/>
      </c>
      <c r="AE244" s="48" t="str">
        <f t="shared" si="15"/>
        <v/>
      </c>
    </row>
    <row r="245" spans="1:31" x14ac:dyDescent="0.25">
      <c r="A245" s="2"/>
      <c r="B245" s="2"/>
      <c r="C245" s="2"/>
      <c r="D245" s="2" t="str">
        <f>IF(ISBLANK(C245),"",VLOOKUP(C245,configuration!$G$7:$H$10,2,FALSE))</f>
        <v/>
      </c>
      <c r="E245" s="2"/>
      <c r="F245" s="2"/>
      <c r="G245" s="2"/>
      <c r="H245" s="2" t="str">
        <f>IF(ISBLANK(G245),"",VLOOKUP(G245,configuration!$J$7:$K$10,2,FALSE))</f>
        <v/>
      </c>
      <c r="I245" s="30"/>
      <c r="J245" s="2"/>
      <c r="K245" s="31"/>
      <c r="L245" s="35"/>
      <c r="M245" s="2" t="str">
        <f>IF(ISBLANK(L245),"",VLOOKUP(L245,configuration!$M$7:$N$10,2,FALSE))</f>
        <v/>
      </c>
      <c r="N245" s="30"/>
      <c r="O245" s="2"/>
      <c r="P245" s="31"/>
      <c r="Q245" s="54"/>
      <c r="R245" s="55" t="str">
        <f>IF(ISBLANK(Q245),"",VLOOKUP(Q245,configuration!$P$7:$Q$10,2,FALSE))</f>
        <v/>
      </c>
      <c r="S245" s="56"/>
      <c r="T245" s="55"/>
      <c r="U245" s="78"/>
      <c r="V245" s="76" t="str">
        <f t="shared" si="16"/>
        <v/>
      </c>
      <c r="W245" s="48" t="str">
        <f t="shared" si="16"/>
        <v/>
      </c>
      <c r="X245" s="48" t="str">
        <f t="shared" si="16"/>
        <v/>
      </c>
      <c r="Y245" s="48" t="str">
        <f t="shared" si="16"/>
        <v/>
      </c>
      <c r="Z245" s="49" t="str">
        <f t="shared" si="14"/>
        <v/>
      </c>
      <c r="AA245" s="50" t="str">
        <f t="shared" si="17"/>
        <v/>
      </c>
      <c r="AB245" s="48" t="str">
        <f t="shared" si="17"/>
        <v/>
      </c>
      <c r="AC245" s="48" t="str">
        <f t="shared" si="17"/>
        <v/>
      </c>
      <c r="AD245" s="48" t="str">
        <f t="shared" si="17"/>
        <v/>
      </c>
      <c r="AE245" s="48" t="str">
        <f t="shared" si="15"/>
        <v/>
      </c>
    </row>
    <row r="246" spans="1:31" x14ac:dyDescent="0.25">
      <c r="A246" s="2"/>
      <c r="B246" s="2"/>
      <c r="C246" s="2"/>
      <c r="D246" s="2" t="str">
        <f>IF(ISBLANK(C246),"",VLOOKUP(C246,configuration!$G$7:$H$10,2,FALSE))</f>
        <v/>
      </c>
      <c r="E246" s="2"/>
      <c r="F246" s="2"/>
      <c r="G246" s="2"/>
      <c r="H246" s="2" t="str">
        <f>IF(ISBLANK(G246),"",VLOOKUP(G246,configuration!$J$7:$K$10,2,FALSE))</f>
        <v/>
      </c>
      <c r="I246" s="30"/>
      <c r="J246" s="2"/>
      <c r="K246" s="31"/>
      <c r="L246" s="35"/>
      <c r="M246" s="2" t="str">
        <f>IF(ISBLANK(L246),"",VLOOKUP(L246,configuration!$M$7:$N$10,2,FALSE))</f>
        <v/>
      </c>
      <c r="N246" s="30"/>
      <c r="O246" s="2"/>
      <c r="P246" s="31"/>
      <c r="Q246" s="54"/>
      <c r="R246" s="55" t="str">
        <f>IF(ISBLANK(Q246),"",VLOOKUP(Q246,configuration!$P$7:$Q$10,2,FALSE))</f>
        <v/>
      </c>
      <c r="S246" s="56"/>
      <c r="T246" s="55"/>
      <c r="U246" s="78"/>
      <c r="V246" s="76" t="str">
        <f t="shared" si="16"/>
        <v/>
      </c>
      <c r="W246" s="48" t="str">
        <f t="shared" si="16"/>
        <v/>
      </c>
      <c r="X246" s="48" t="str">
        <f t="shared" si="16"/>
        <v/>
      </c>
      <c r="Y246" s="48" t="str">
        <f t="shared" si="16"/>
        <v/>
      </c>
      <c r="Z246" s="49" t="str">
        <f t="shared" si="14"/>
        <v/>
      </c>
      <c r="AA246" s="50" t="str">
        <f t="shared" si="17"/>
        <v/>
      </c>
      <c r="AB246" s="48" t="str">
        <f t="shared" si="17"/>
        <v/>
      </c>
      <c r="AC246" s="48" t="str">
        <f t="shared" si="17"/>
        <v/>
      </c>
      <c r="AD246" s="48" t="str">
        <f t="shared" si="17"/>
        <v/>
      </c>
      <c r="AE246" s="48" t="str">
        <f t="shared" si="15"/>
        <v/>
      </c>
    </row>
    <row r="247" spans="1:31" x14ac:dyDescent="0.25">
      <c r="A247" s="2"/>
      <c r="B247" s="2"/>
      <c r="C247" s="2"/>
      <c r="D247" s="2" t="str">
        <f>IF(ISBLANK(C247),"",VLOOKUP(C247,configuration!$G$7:$H$10,2,FALSE))</f>
        <v/>
      </c>
      <c r="E247" s="2"/>
      <c r="F247" s="2"/>
      <c r="G247" s="2"/>
      <c r="H247" s="2" t="str">
        <f>IF(ISBLANK(G247),"",VLOOKUP(G247,configuration!$J$7:$K$10,2,FALSE))</f>
        <v/>
      </c>
      <c r="I247" s="30"/>
      <c r="J247" s="2"/>
      <c r="K247" s="31"/>
      <c r="L247" s="35"/>
      <c r="M247" s="2" t="str">
        <f>IF(ISBLANK(L247),"",VLOOKUP(L247,configuration!$M$7:$N$10,2,FALSE))</f>
        <v/>
      </c>
      <c r="N247" s="30"/>
      <c r="O247" s="2"/>
      <c r="P247" s="31"/>
      <c r="Q247" s="54"/>
      <c r="R247" s="55" t="str">
        <f>IF(ISBLANK(Q247),"",VLOOKUP(Q247,configuration!$P$7:$Q$10,2,FALSE))</f>
        <v/>
      </c>
      <c r="S247" s="56"/>
      <c r="T247" s="55"/>
      <c r="U247" s="78"/>
      <c r="V247" s="76" t="str">
        <f t="shared" si="16"/>
        <v/>
      </c>
      <c r="W247" s="48" t="str">
        <f t="shared" si="16"/>
        <v/>
      </c>
      <c r="X247" s="48" t="str">
        <f t="shared" si="16"/>
        <v/>
      </c>
      <c r="Y247" s="48" t="str">
        <f t="shared" si="16"/>
        <v/>
      </c>
      <c r="Z247" s="49" t="str">
        <f t="shared" si="14"/>
        <v/>
      </c>
      <c r="AA247" s="50" t="str">
        <f t="shared" si="17"/>
        <v/>
      </c>
      <c r="AB247" s="48" t="str">
        <f t="shared" si="17"/>
        <v/>
      </c>
      <c r="AC247" s="48" t="str">
        <f t="shared" si="17"/>
        <v/>
      </c>
      <c r="AD247" s="48" t="str">
        <f t="shared" si="17"/>
        <v/>
      </c>
      <c r="AE247" s="48" t="str">
        <f t="shared" si="15"/>
        <v/>
      </c>
    </row>
    <row r="248" spans="1:31" x14ac:dyDescent="0.25">
      <c r="A248" s="2"/>
      <c r="B248" s="2"/>
      <c r="C248" s="2"/>
      <c r="D248" s="2" t="str">
        <f>IF(ISBLANK(C248),"",VLOOKUP(C248,configuration!$G$7:$H$10,2,FALSE))</f>
        <v/>
      </c>
      <c r="E248" s="2"/>
      <c r="F248" s="2"/>
      <c r="G248" s="2"/>
      <c r="H248" s="2" t="str">
        <f>IF(ISBLANK(G248),"",VLOOKUP(G248,configuration!$J$7:$K$10,2,FALSE))</f>
        <v/>
      </c>
      <c r="I248" s="30"/>
      <c r="J248" s="2"/>
      <c r="K248" s="31"/>
      <c r="L248" s="35"/>
      <c r="M248" s="2" t="str">
        <f>IF(ISBLANK(L248),"",VLOOKUP(L248,configuration!$M$7:$N$10,2,FALSE))</f>
        <v/>
      </c>
      <c r="N248" s="30"/>
      <c r="O248" s="2"/>
      <c r="P248" s="31"/>
      <c r="Q248" s="54"/>
      <c r="R248" s="55" t="str">
        <f>IF(ISBLANK(Q248),"",VLOOKUP(Q248,configuration!$P$7:$Q$10,2,FALSE))</f>
        <v/>
      </c>
      <c r="S248" s="56"/>
      <c r="T248" s="55"/>
      <c r="U248" s="78"/>
      <c r="V248" s="76" t="str">
        <f t="shared" si="16"/>
        <v/>
      </c>
      <c r="W248" s="48" t="str">
        <f t="shared" si="16"/>
        <v/>
      </c>
      <c r="X248" s="48" t="str">
        <f t="shared" si="16"/>
        <v/>
      </c>
      <c r="Y248" s="48" t="str">
        <f t="shared" si="16"/>
        <v/>
      </c>
      <c r="Z248" s="49" t="str">
        <f t="shared" si="14"/>
        <v/>
      </c>
      <c r="AA248" s="50" t="str">
        <f t="shared" si="17"/>
        <v/>
      </c>
      <c r="AB248" s="48" t="str">
        <f t="shared" si="17"/>
        <v/>
      </c>
      <c r="AC248" s="48" t="str">
        <f t="shared" si="17"/>
        <v/>
      </c>
      <c r="AD248" s="48" t="str">
        <f t="shared" si="17"/>
        <v/>
      </c>
      <c r="AE248" s="48" t="str">
        <f t="shared" si="15"/>
        <v/>
      </c>
    </row>
    <row r="249" spans="1:31" x14ac:dyDescent="0.25">
      <c r="A249" s="2"/>
      <c r="B249" s="2"/>
      <c r="C249" s="2"/>
      <c r="D249" s="2" t="str">
        <f>IF(ISBLANK(C249),"",VLOOKUP(C249,configuration!$G$7:$H$10,2,FALSE))</f>
        <v/>
      </c>
      <c r="E249" s="2"/>
      <c r="F249" s="2"/>
      <c r="G249" s="2"/>
      <c r="H249" s="2" t="str">
        <f>IF(ISBLANK(G249),"",VLOOKUP(G249,configuration!$J$7:$K$10,2,FALSE))</f>
        <v/>
      </c>
      <c r="I249" s="30"/>
      <c r="J249" s="2"/>
      <c r="K249" s="31"/>
      <c r="L249" s="35"/>
      <c r="M249" s="2" t="str">
        <f>IF(ISBLANK(L249),"",VLOOKUP(L249,configuration!$M$7:$N$10,2,FALSE))</f>
        <v/>
      </c>
      <c r="N249" s="30"/>
      <c r="O249" s="2"/>
      <c r="P249" s="31"/>
      <c r="Q249" s="54"/>
      <c r="R249" s="55" t="str">
        <f>IF(ISBLANK(Q249),"",VLOOKUP(Q249,configuration!$P$7:$Q$10,2,FALSE))</f>
        <v/>
      </c>
      <c r="S249" s="56"/>
      <c r="T249" s="55"/>
      <c r="U249" s="78"/>
      <c r="V249" s="76" t="str">
        <f t="shared" si="16"/>
        <v/>
      </c>
      <c r="W249" s="48" t="str">
        <f t="shared" si="16"/>
        <v/>
      </c>
      <c r="X249" s="48" t="str">
        <f t="shared" si="16"/>
        <v/>
      </c>
      <c r="Y249" s="48" t="str">
        <f t="shared" si="16"/>
        <v/>
      </c>
      <c r="Z249" s="49" t="str">
        <f t="shared" si="14"/>
        <v/>
      </c>
      <c r="AA249" s="50" t="str">
        <f t="shared" si="17"/>
        <v/>
      </c>
      <c r="AB249" s="48" t="str">
        <f t="shared" si="17"/>
        <v/>
      </c>
      <c r="AC249" s="48" t="str">
        <f t="shared" si="17"/>
        <v/>
      </c>
      <c r="AD249" s="48" t="str">
        <f t="shared" si="17"/>
        <v/>
      </c>
      <c r="AE249" s="48" t="str">
        <f t="shared" si="15"/>
        <v/>
      </c>
    </row>
    <row r="250" spans="1:31" x14ac:dyDescent="0.25">
      <c r="A250" s="2"/>
      <c r="B250" s="2"/>
      <c r="C250" s="2"/>
      <c r="D250" s="2" t="str">
        <f>IF(ISBLANK(C250),"",VLOOKUP(C250,configuration!$G$7:$H$10,2,FALSE))</f>
        <v/>
      </c>
      <c r="E250" s="2"/>
      <c r="F250" s="2"/>
      <c r="G250" s="2"/>
      <c r="H250" s="2" t="str">
        <f>IF(ISBLANK(G250),"",VLOOKUP(G250,configuration!$J$7:$K$10,2,FALSE))</f>
        <v/>
      </c>
      <c r="I250" s="30"/>
      <c r="J250" s="2"/>
      <c r="K250" s="31"/>
      <c r="L250" s="35"/>
      <c r="M250" s="2" t="str">
        <f>IF(ISBLANK(L250),"",VLOOKUP(L250,configuration!$M$7:$N$10,2,FALSE))</f>
        <v/>
      </c>
      <c r="N250" s="30"/>
      <c r="O250" s="2"/>
      <c r="P250" s="31"/>
      <c r="Q250" s="54"/>
      <c r="R250" s="55" t="str">
        <f>IF(ISBLANK(Q250),"",VLOOKUP(Q250,configuration!$P$7:$Q$10,2,FALSE))</f>
        <v/>
      </c>
      <c r="S250" s="56"/>
      <c r="T250" s="55"/>
      <c r="U250" s="78"/>
      <c r="V250" s="76" t="str">
        <f t="shared" si="16"/>
        <v/>
      </c>
      <c r="W250" s="48" t="str">
        <f t="shared" si="16"/>
        <v/>
      </c>
      <c r="X250" s="48" t="str">
        <f t="shared" si="16"/>
        <v/>
      </c>
      <c r="Y250" s="48" t="str">
        <f t="shared" si="16"/>
        <v/>
      </c>
      <c r="Z250" s="49" t="str">
        <f t="shared" si="14"/>
        <v/>
      </c>
      <c r="AA250" s="50" t="str">
        <f t="shared" si="17"/>
        <v/>
      </c>
      <c r="AB250" s="48" t="str">
        <f t="shared" si="17"/>
        <v/>
      </c>
      <c r="AC250" s="48" t="str">
        <f t="shared" si="17"/>
        <v/>
      </c>
      <c r="AD250" s="48" t="str">
        <f t="shared" si="17"/>
        <v/>
      </c>
      <c r="AE250" s="48" t="str">
        <f t="shared" si="15"/>
        <v/>
      </c>
    </row>
    <row r="251" spans="1:31" x14ac:dyDescent="0.25">
      <c r="A251" s="2"/>
      <c r="B251" s="2"/>
      <c r="C251" s="2"/>
      <c r="D251" s="2" t="str">
        <f>IF(ISBLANK(C251),"",VLOOKUP(C251,configuration!$G$7:$H$10,2,FALSE))</f>
        <v/>
      </c>
      <c r="E251" s="2"/>
      <c r="F251" s="2"/>
      <c r="G251" s="2"/>
      <c r="H251" s="2" t="str">
        <f>IF(ISBLANK(G251),"",VLOOKUP(G251,configuration!$J$7:$K$10,2,FALSE))</f>
        <v/>
      </c>
      <c r="I251" s="30"/>
      <c r="J251" s="2"/>
      <c r="K251" s="31"/>
      <c r="L251" s="35"/>
      <c r="M251" s="2" t="str">
        <f>IF(ISBLANK(L251),"",VLOOKUP(L251,configuration!$M$7:$N$10,2,FALSE))</f>
        <v/>
      </c>
      <c r="N251" s="30"/>
      <c r="O251" s="2"/>
      <c r="P251" s="31"/>
      <c r="Q251" s="54"/>
      <c r="R251" s="55" t="str">
        <f>IF(ISBLANK(Q251),"",VLOOKUP(Q251,configuration!$P$7:$Q$10,2,FALSE))</f>
        <v/>
      </c>
      <c r="S251" s="56"/>
      <c r="T251" s="55"/>
      <c r="U251" s="78"/>
      <c r="V251" s="76" t="str">
        <f t="shared" si="16"/>
        <v/>
      </c>
      <c r="W251" s="48" t="str">
        <f t="shared" si="16"/>
        <v/>
      </c>
      <c r="X251" s="48" t="str">
        <f t="shared" si="16"/>
        <v/>
      </c>
      <c r="Y251" s="48" t="str">
        <f t="shared" si="16"/>
        <v/>
      </c>
      <c r="Z251" s="49" t="str">
        <f t="shared" si="14"/>
        <v/>
      </c>
      <c r="AA251" s="50" t="str">
        <f t="shared" si="17"/>
        <v/>
      </c>
      <c r="AB251" s="48" t="str">
        <f t="shared" si="17"/>
        <v/>
      </c>
      <c r="AC251" s="48" t="str">
        <f t="shared" si="17"/>
        <v/>
      </c>
      <c r="AD251" s="48" t="str">
        <f t="shared" si="17"/>
        <v/>
      </c>
      <c r="AE251" s="48" t="str">
        <f t="shared" si="15"/>
        <v/>
      </c>
    </row>
    <row r="252" spans="1:31" x14ac:dyDescent="0.25">
      <c r="A252" s="2"/>
      <c r="B252" s="2"/>
      <c r="C252" s="2"/>
      <c r="D252" s="2" t="str">
        <f>IF(ISBLANK(C252),"",VLOOKUP(C252,configuration!$G$7:$H$10,2,FALSE))</f>
        <v/>
      </c>
      <c r="E252" s="2"/>
      <c r="F252" s="2"/>
      <c r="G252" s="2"/>
      <c r="H252" s="2" t="str">
        <f>IF(ISBLANK(G252),"",VLOOKUP(G252,configuration!$J$7:$K$10,2,FALSE))</f>
        <v/>
      </c>
      <c r="I252" s="30"/>
      <c r="J252" s="2"/>
      <c r="K252" s="31"/>
      <c r="L252" s="35"/>
      <c r="M252" s="2" t="str">
        <f>IF(ISBLANK(L252),"",VLOOKUP(L252,configuration!$M$7:$N$10,2,FALSE))</f>
        <v/>
      </c>
      <c r="N252" s="30"/>
      <c r="O252" s="2"/>
      <c r="P252" s="31"/>
      <c r="Q252" s="54"/>
      <c r="R252" s="55" t="str">
        <f>IF(ISBLANK(Q252),"",VLOOKUP(Q252,configuration!$P$7:$Q$10,2,FALSE))</f>
        <v/>
      </c>
      <c r="S252" s="56"/>
      <c r="T252" s="55"/>
      <c r="U252" s="78"/>
      <c r="V252" s="76" t="str">
        <f t="shared" si="16"/>
        <v/>
      </c>
      <c r="W252" s="48" t="str">
        <f t="shared" si="16"/>
        <v/>
      </c>
      <c r="X252" s="48" t="str">
        <f t="shared" si="16"/>
        <v/>
      </c>
      <c r="Y252" s="48" t="str">
        <f t="shared" si="16"/>
        <v/>
      </c>
      <c r="Z252" s="49" t="str">
        <f t="shared" si="14"/>
        <v/>
      </c>
      <c r="AA252" s="50" t="str">
        <f t="shared" si="17"/>
        <v/>
      </c>
      <c r="AB252" s="48" t="str">
        <f t="shared" si="17"/>
        <v/>
      </c>
      <c r="AC252" s="48" t="str">
        <f t="shared" si="17"/>
        <v/>
      </c>
      <c r="AD252" s="48" t="str">
        <f t="shared" si="17"/>
        <v/>
      </c>
      <c r="AE252" s="48" t="str">
        <f t="shared" si="15"/>
        <v/>
      </c>
    </row>
    <row r="253" spans="1:31" x14ac:dyDescent="0.25">
      <c r="A253" s="2"/>
      <c r="B253" s="2"/>
      <c r="C253" s="2"/>
      <c r="D253" s="2" t="str">
        <f>IF(ISBLANK(C253),"",VLOOKUP(C253,configuration!$G$7:$H$10,2,FALSE))</f>
        <v/>
      </c>
      <c r="E253" s="2"/>
      <c r="F253" s="2"/>
      <c r="G253" s="2"/>
      <c r="H253" s="2" t="str">
        <f>IF(ISBLANK(G253),"",VLOOKUP(G253,configuration!$J$7:$K$10,2,FALSE))</f>
        <v/>
      </c>
      <c r="I253" s="30"/>
      <c r="J253" s="2"/>
      <c r="K253" s="31"/>
      <c r="L253" s="35"/>
      <c r="M253" s="2" t="str">
        <f>IF(ISBLANK(L253),"",VLOOKUP(L253,configuration!$M$7:$N$10,2,FALSE))</f>
        <v/>
      </c>
      <c r="N253" s="30"/>
      <c r="O253" s="2"/>
      <c r="P253" s="31"/>
      <c r="Q253" s="54"/>
      <c r="R253" s="55" t="str">
        <f>IF(ISBLANK(Q253),"",VLOOKUP(Q253,configuration!$P$7:$Q$10,2,FALSE))</f>
        <v/>
      </c>
      <c r="S253" s="56"/>
      <c r="T253" s="55"/>
      <c r="U253" s="78"/>
      <c r="V253" s="76" t="str">
        <f t="shared" si="16"/>
        <v/>
      </c>
      <c r="W253" s="48" t="str">
        <f t="shared" si="16"/>
        <v/>
      </c>
      <c r="X253" s="48" t="str">
        <f t="shared" si="16"/>
        <v/>
      </c>
      <c r="Y253" s="48" t="str">
        <f t="shared" si="16"/>
        <v/>
      </c>
      <c r="Z253" s="49" t="str">
        <f t="shared" si="14"/>
        <v/>
      </c>
      <c r="AA253" s="50" t="str">
        <f t="shared" si="17"/>
        <v/>
      </c>
      <c r="AB253" s="48" t="str">
        <f t="shared" si="17"/>
        <v/>
      </c>
      <c r="AC253" s="48" t="str">
        <f t="shared" si="17"/>
        <v/>
      </c>
      <c r="AD253" s="48" t="str">
        <f t="shared" si="17"/>
        <v/>
      </c>
      <c r="AE253" s="48" t="str">
        <f t="shared" si="15"/>
        <v/>
      </c>
    </row>
    <row r="254" spans="1:31" x14ac:dyDescent="0.25">
      <c r="A254" s="2"/>
      <c r="B254" s="2"/>
      <c r="C254" s="2"/>
      <c r="D254" s="2" t="str">
        <f>IF(ISBLANK(C254),"",VLOOKUP(C254,configuration!$G$7:$H$10,2,FALSE))</f>
        <v/>
      </c>
      <c r="E254" s="2"/>
      <c r="F254" s="2"/>
      <c r="G254" s="2"/>
      <c r="H254" s="2" t="str">
        <f>IF(ISBLANK(G254),"",VLOOKUP(G254,configuration!$J$7:$K$10,2,FALSE))</f>
        <v/>
      </c>
      <c r="I254" s="30"/>
      <c r="J254" s="2"/>
      <c r="K254" s="31"/>
      <c r="L254" s="35"/>
      <c r="M254" s="2" t="str">
        <f>IF(ISBLANK(L254),"",VLOOKUP(L254,configuration!$M$7:$N$10,2,FALSE))</f>
        <v/>
      </c>
      <c r="N254" s="30"/>
      <c r="O254" s="2"/>
      <c r="P254" s="31"/>
      <c r="Q254" s="54"/>
      <c r="R254" s="55" t="str">
        <f>IF(ISBLANK(Q254),"",VLOOKUP(Q254,configuration!$P$7:$Q$10,2,FALSE))</f>
        <v/>
      </c>
      <c r="S254" s="56"/>
      <c r="T254" s="55"/>
      <c r="U254" s="78"/>
      <c r="V254" s="76" t="str">
        <f t="shared" si="16"/>
        <v/>
      </c>
      <c r="W254" s="48" t="str">
        <f t="shared" si="16"/>
        <v/>
      </c>
      <c r="X254" s="48" t="str">
        <f t="shared" si="16"/>
        <v/>
      </c>
      <c r="Y254" s="48" t="str">
        <f t="shared" si="16"/>
        <v/>
      </c>
      <c r="Z254" s="49" t="str">
        <f t="shared" si="14"/>
        <v/>
      </c>
      <c r="AA254" s="50" t="str">
        <f t="shared" si="17"/>
        <v/>
      </c>
      <c r="AB254" s="48" t="str">
        <f t="shared" si="17"/>
        <v/>
      </c>
      <c r="AC254" s="48" t="str">
        <f t="shared" si="17"/>
        <v/>
      </c>
      <c r="AD254" s="48" t="str">
        <f t="shared" si="17"/>
        <v/>
      </c>
      <c r="AE254" s="48" t="str">
        <f t="shared" si="15"/>
        <v/>
      </c>
    </row>
    <row r="255" spans="1:31" x14ac:dyDescent="0.25">
      <c r="A255" s="2"/>
      <c r="B255" s="2"/>
      <c r="C255" s="2"/>
      <c r="D255" s="2" t="str">
        <f>IF(ISBLANK(C255),"",VLOOKUP(C255,configuration!$G$7:$H$10,2,FALSE))</f>
        <v/>
      </c>
      <c r="E255" s="2"/>
      <c r="F255" s="2"/>
      <c r="G255" s="2"/>
      <c r="H255" s="2" t="str">
        <f>IF(ISBLANK(G255),"",VLOOKUP(G255,configuration!$J$7:$K$10,2,FALSE))</f>
        <v/>
      </c>
      <c r="I255" s="30"/>
      <c r="J255" s="2"/>
      <c r="K255" s="31"/>
      <c r="L255" s="35"/>
      <c r="M255" s="2" t="str">
        <f>IF(ISBLANK(L255),"",VLOOKUP(L255,configuration!$M$7:$N$10,2,FALSE))</f>
        <v/>
      </c>
      <c r="N255" s="30"/>
      <c r="O255" s="2"/>
      <c r="P255" s="31"/>
      <c r="Q255" s="54"/>
      <c r="R255" s="55" t="str">
        <f>IF(ISBLANK(Q255),"",VLOOKUP(Q255,configuration!$P$7:$Q$10,2,FALSE))</f>
        <v/>
      </c>
      <c r="S255" s="56"/>
      <c r="T255" s="55"/>
      <c r="U255" s="78"/>
      <c r="V255" s="76" t="str">
        <f t="shared" si="16"/>
        <v/>
      </c>
      <c r="W255" s="48" t="str">
        <f t="shared" si="16"/>
        <v/>
      </c>
      <c r="X255" s="48" t="str">
        <f t="shared" si="16"/>
        <v/>
      </c>
      <c r="Y255" s="48" t="str">
        <f t="shared" si="16"/>
        <v/>
      </c>
      <c r="Z255" s="49" t="str">
        <f t="shared" si="14"/>
        <v/>
      </c>
      <c r="AA255" s="50" t="str">
        <f t="shared" si="17"/>
        <v/>
      </c>
      <c r="AB255" s="48" t="str">
        <f t="shared" si="17"/>
        <v/>
      </c>
      <c r="AC255" s="48" t="str">
        <f t="shared" si="17"/>
        <v/>
      </c>
      <c r="AD255" s="48" t="str">
        <f t="shared" si="17"/>
        <v/>
      </c>
      <c r="AE255" s="48" t="str">
        <f t="shared" si="15"/>
        <v/>
      </c>
    </row>
    <row r="256" spans="1:31" x14ac:dyDescent="0.25">
      <c r="A256" s="2"/>
      <c r="B256" s="2"/>
      <c r="C256" s="2"/>
      <c r="D256" s="2" t="str">
        <f>IF(ISBLANK(C256),"",VLOOKUP(C256,configuration!$G$7:$H$10,2,FALSE))</f>
        <v/>
      </c>
      <c r="E256" s="2"/>
      <c r="F256" s="2"/>
      <c r="G256" s="2"/>
      <c r="H256" s="2" t="str">
        <f>IF(ISBLANK(G256),"",VLOOKUP(G256,configuration!$J$7:$K$10,2,FALSE))</f>
        <v/>
      </c>
      <c r="I256" s="30"/>
      <c r="J256" s="2"/>
      <c r="K256" s="31"/>
      <c r="L256" s="35"/>
      <c r="M256" s="2" t="str">
        <f>IF(ISBLANK(L256),"",VLOOKUP(L256,configuration!$M$7:$N$10,2,FALSE))</f>
        <v/>
      </c>
      <c r="N256" s="30"/>
      <c r="O256" s="2"/>
      <c r="P256" s="31"/>
      <c r="Q256" s="54"/>
      <c r="R256" s="55" t="str">
        <f>IF(ISBLANK(Q256),"",VLOOKUP(Q256,configuration!$P$7:$Q$10,2,FALSE))</f>
        <v/>
      </c>
      <c r="S256" s="56"/>
      <c r="T256" s="55"/>
      <c r="U256" s="78"/>
      <c r="V256" s="76" t="str">
        <f t="shared" si="16"/>
        <v/>
      </c>
      <c r="W256" s="48" t="str">
        <f t="shared" si="16"/>
        <v/>
      </c>
      <c r="X256" s="48" t="str">
        <f t="shared" si="16"/>
        <v/>
      </c>
      <c r="Y256" s="48" t="str">
        <f t="shared" si="16"/>
        <v/>
      </c>
      <c r="Z256" s="49" t="str">
        <f t="shared" si="14"/>
        <v/>
      </c>
      <c r="AA256" s="50" t="str">
        <f t="shared" si="17"/>
        <v/>
      </c>
      <c r="AB256" s="48" t="str">
        <f t="shared" si="17"/>
        <v/>
      </c>
      <c r="AC256" s="48" t="str">
        <f t="shared" si="17"/>
        <v/>
      </c>
      <c r="AD256" s="48" t="str">
        <f t="shared" si="17"/>
        <v/>
      </c>
      <c r="AE256" s="48" t="str">
        <f t="shared" si="15"/>
        <v/>
      </c>
    </row>
    <row r="257" spans="1:31" x14ac:dyDescent="0.25">
      <c r="A257" s="2"/>
      <c r="B257" s="2"/>
      <c r="C257" s="2"/>
      <c r="D257" s="2" t="str">
        <f>IF(ISBLANK(C257),"",VLOOKUP(C257,configuration!$G$7:$H$10,2,FALSE))</f>
        <v/>
      </c>
      <c r="E257" s="2"/>
      <c r="F257" s="2"/>
      <c r="G257" s="2"/>
      <c r="H257" s="2" t="str">
        <f>IF(ISBLANK(G257),"",VLOOKUP(G257,configuration!$J$7:$K$10,2,FALSE))</f>
        <v/>
      </c>
      <c r="I257" s="30"/>
      <c r="J257" s="2"/>
      <c r="K257" s="31"/>
      <c r="L257" s="35"/>
      <c r="M257" s="2" t="str">
        <f>IF(ISBLANK(L257),"",VLOOKUP(L257,configuration!$M$7:$N$10,2,FALSE))</f>
        <v/>
      </c>
      <c r="N257" s="30"/>
      <c r="O257" s="2"/>
      <c r="P257" s="31"/>
      <c r="Q257" s="54"/>
      <c r="R257" s="55" t="str">
        <f>IF(ISBLANK(Q257),"",VLOOKUP(Q257,configuration!$P$7:$Q$10,2,FALSE))</f>
        <v/>
      </c>
      <c r="S257" s="56"/>
      <c r="T257" s="55"/>
      <c r="U257" s="78"/>
      <c r="V257" s="76" t="str">
        <f t="shared" si="16"/>
        <v/>
      </c>
      <c r="W257" s="48" t="str">
        <f t="shared" si="16"/>
        <v/>
      </c>
      <c r="X257" s="48" t="str">
        <f t="shared" si="16"/>
        <v/>
      </c>
      <c r="Y257" s="48" t="str">
        <f t="shared" si="16"/>
        <v/>
      </c>
      <c r="Z257" s="49" t="str">
        <f t="shared" si="14"/>
        <v/>
      </c>
      <c r="AA257" s="50" t="str">
        <f t="shared" si="17"/>
        <v/>
      </c>
      <c r="AB257" s="48" t="str">
        <f t="shared" si="17"/>
        <v/>
      </c>
      <c r="AC257" s="48" t="str">
        <f t="shared" si="17"/>
        <v/>
      </c>
      <c r="AD257" s="48" t="str">
        <f t="shared" si="17"/>
        <v/>
      </c>
      <c r="AE257" s="48" t="str">
        <f t="shared" si="15"/>
        <v/>
      </c>
    </row>
    <row r="258" spans="1:31" x14ac:dyDescent="0.25">
      <c r="A258" s="2"/>
      <c r="B258" s="2"/>
      <c r="C258" s="2"/>
      <c r="D258" s="2" t="str">
        <f>IF(ISBLANK(C258),"",VLOOKUP(C258,configuration!$G$7:$H$10,2,FALSE))</f>
        <v/>
      </c>
      <c r="E258" s="2"/>
      <c r="F258" s="2"/>
      <c r="G258" s="2"/>
      <c r="H258" s="2" t="str">
        <f>IF(ISBLANK(G258),"",VLOOKUP(G258,configuration!$J$7:$K$10,2,FALSE))</f>
        <v/>
      </c>
      <c r="I258" s="30"/>
      <c r="J258" s="2"/>
      <c r="K258" s="31"/>
      <c r="L258" s="35"/>
      <c r="M258" s="2" t="str">
        <f>IF(ISBLANK(L258),"",VLOOKUP(L258,configuration!$M$7:$N$10,2,FALSE))</f>
        <v/>
      </c>
      <c r="N258" s="30"/>
      <c r="O258" s="2"/>
      <c r="P258" s="31"/>
      <c r="Q258" s="54"/>
      <c r="R258" s="55" t="str">
        <f>IF(ISBLANK(Q258),"",VLOOKUP(Q258,configuration!$P$7:$Q$10,2,FALSE))</f>
        <v/>
      </c>
      <c r="S258" s="56"/>
      <c r="T258" s="55"/>
      <c r="U258" s="78"/>
      <c r="V258" s="76" t="str">
        <f t="shared" si="16"/>
        <v/>
      </c>
      <c r="W258" s="48" t="str">
        <f t="shared" si="16"/>
        <v/>
      </c>
      <c r="X258" s="48" t="str">
        <f t="shared" si="16"/>
        <v/>
      </c>
      <c r="Y258" s="48" t="str">
        <f t="shared" si="16"/>
        <v/>
      </c>
      <c r="Z258" s="49" t="str">
        <f t="shared" si="14"/>
        <v/>
      </c>
      <c r="AA258" s="50" t="str">
        <f t="shared" si="17"/>
        <v/>
      </c>
      <c r="AB258" s="48" t="str">
        <f t="shared" si="17"/>
        <v/>
      </c>
      <c r="AC258" s="48" t="str">
        <f t="shared" si="17"/>
        <v/>
      </c>
      <c r="AD258" s="48" t="str">
        <f t="shared" si="17"/>
        <v/>
      </c>
      <c r="AE258" s="48" t="str">
        <f t="shared" si="15"/>
        <v/>
      </c>
    </row>
    <row r="259" spans="1:31" x14ac:dyDescent="0.25">
      <c r="A259" s="2"/>
      <c r="B259" s="2"/>
      <c r="C259" s="2"/>
      <c r="D259" s="2" t="str">
        <f>IF(ISBLANK(C259),"",VLOOKUP(C259,configuration!$G$7:$H$10,2,FALSE))</f>
        <v/>
      </c>
      <c r="E259" s="2"/>
      <c r="F259" s="2"/>
      <c r="G259" s="2"/>
      <c r="H259" s="2" t="str">
        <f>IF(ISBLANK(G259),"",VLOOKUP(G259,configuration!$J$7:$K$10,2,FALSE))</f>
        <v/>
      </c>
      <c r="I259" s="30"/>
      <c r="J259" s="2"/>
      <c r="K259" s="31"/>
      <c r="L259" s="35"/>
      <c r="M259" s="2" t="str">
        <f>IF(ISBLANK(L259),"",VLOOKUP(L259,configuration!$M$7:$N$10,2,FALSE))</f>
        <v/>
      </c>
      <c r="N259" s="30"/>
      <c r="O259" s="2"/>
      <c r="P259" s="31"/>
      <c r="Q259" s="54"/>
      <c r="R259" s="55" t="str">
        <f>IF(ISBLANK(Q259),"",VLOOKUP(Q259,configuration!$P$7:$Q$10,2,FALSE))</f>
        <v/>
      </c>
      <c r="S259" s="56"/>
      <c r="T259" s="55"/>
      <c r="U259" s="78"/>
      <c r="V259" s="76" t="str">
        <f t="shared" si="16"/>
        <v/>
      </c>
      <c r="W259" s="48" t="str">
        <f t="shared" si="16"/>
        <v/>
      </c>
      <c r="X259" s="48" t="str">
        <f t="shared" si="16"/>
        <v/>
      </c>
      <c r="Y259" s="48" t="str">
        <f t="shared" si="16"/>
        <v/>
      </c>
      <c r="Z259" s="49" t="str">
        <f t="shared" si="14"/>
        <v/>
      </c>
      <c r="AA259" s="50" t="str">
        <f t="shared" si="17"/>
        <v/>
      </c>
      <c r="AB259" s="48" t="str">
        <f t="shared" si="17"/>
        <v/>
      </c>
      <c r="AC259" s="48" t="str">
        <f t="shared" si="17"/>
        <v/>
      </c>
      <c r="AD259" s="48" t="str">
        <f t="shared" si="17"/>
        <v/>
      </c>
      <c r="AE259" s="48" t="str">
        <f t="shared" si="15"/>
        <v/>
      </c>
    </row>
    <row r="260" spans="1:31" x14ac:dyDescent="0.25">
      <c r="A260" s="2"/>
      <c r="B260" s="2"/>
      <c r="C260" s="2"/>
      <c r="D260" s="2" t="str">
        <f>IF(ISBLANK(C260),"",VLOOKUP(C260,configuration!$G$7:$H$10,2,FALSE))</f>
        <v/>
      </c>
      <c r="E260" s="2"/>
      <c r="F260" s="2"/>
      <c r="G260" s="2"/>
      <c r="H260" s="2" t="str">
        <f>IF(ISBLANK(G260),"",VLOOKUP(G260,configuration!$J$7:$K$10,2,FALSE))</f>
        <v/>
      </c>
      <c r="I260" s="30"/>
      <c r="J260" s="2"/>
      <c r="K260" s="31"/>
      <c r="L260" s="35"/>
      <c r="M260" s="2" t="str">
        <f>IF(ISBLANK(L260),"",VLOOKUP(L260,configuration!$M$7:$N$10,2,FALSE))</f>
        <v/>
      </c>
      <c r="N260" s="30"/>
      <c r="O260" s="2"/>
      <c r="P260" s="31"/>
      <c r="Q260" s="54"/>
      <c r="R260" s="55" t="str">
        <f>IF(ISBLANK(Q260),"",VLOOKUP(Q260,configuration!$P$7:$Q$10,2,FALSE))</f>
        <v/>
      </c>
      <c r="S260" s="56"/>
      <c r="T260" s="55"/>
      <c r="U260" s="78"/>
      <c r="V260" s="76" t="str">
        <f t="shared" si="16"/>
        <v/>
      </c>
      <c r="W260" s="48" t="str">
        <f t="shared" si="16"/>
        <v/>
      </c>
      <c r="X260" s="48" t="str">
        <f t="shared" si="16"/>
        <v/>
      </c>
      <c r="Y260" s="48" t="str">
        <f t="shared" si="16"/>
        <v/>
      </c>
      <c r="Z260" s="49" t="str">
        <f t="shared" si="14"/>
        <v/>
      </c>
      <c r="AA260" s="50" t="str">
        <f t="shared" si="17"/>
        <v/>
      </c>
      <c r="AB260" s="48" t="str">
        <f t="shared" si="17"/>
        <v/>
      </c>
      <c r="AC260" s="48" t="str">
        <f t="shared" si="17"/>
        <v/>
      </c>
      <c r="AD260" s="48" t="str">
        <f t="shared" si="17"/>
        <v/>
      </c>
      <c r="AE260" s="48" t="str">
        <f t="shared" si="15"/>
        <v/>
      </c>
    </row>
    <row r="261" spans="1:31" x14ac:dyDescent="0.25">
      <c r="A261" s="2"/>
      <c r="B261" s="2"/>
      <c r="C261" s="2"/>
      <c r="D261" s="2" t="str">
        <f>IF(ISBLANK(C261),"",VLOOKUP(C261,configuration!$G$7:$H$10,2,FALSE))</f>
        <v/>
      </c>
      <c r="E261" s="2"/>
      <c r="F261" s="2"/>
      <c r="G261" s="2"/>
      <c r="H261" s="2" t="str">
        <f>IF(ISBLANK(G261),"",VLOOKUP(G261,configuration!$J$7:$K$10,2,FALSE))</f>
        <v/>
      </c>
      <c r="I261" s="30"/>
      <c r="J261" s="2"/>
      <c r="K261" s="31"/>
      <c r="L261" s="35"/>
      <c r="M261" s="2" t="str">
        <f>IF(ISBLANK(L261),"",VLOOKUP(L261,configuration!$M$7:$N$10,2,FALSE))</f>
        <v/>
      </c>
      <c r="N261" s="30"/>
      <c r="O261" s="2"/>
      <c r="P261" s="31"/>
      <c r="Q261" s="54"/>
      <c r="R261" s="55" t="str">
        <f>IF(ISBLANK(Q261),"",VLOOKUP(Q261,configuration!$P$7:$Q$10,2,FALSE))</f>
        <v/>
      </c>
      <c r="S261" s="56"/>
      <c r="T261" s="55"/>
      <c r="U261" s="78"/>
      <c r="V261" s="76" t="str">
        <f t="shared" si="16"/>
        <v/>
      </c>
      <c r="W261" s="48" t="str">
        <f t="shared" si="16"/>
        <v/>
      </c>
      <c r="X261" s="48" t="str">
        <f t="shared" si="16"/>
        <v/>
      </c>
      <c r="Y261" s="48" t="str">
        <f t="shared" si="16"/>
        <v/>
      </c>
      <c r="Z261" s="49" t="str">
        <f t="shared" si="14"/>
        <v/>
      </c>
      <c r="AA261" s="50" t="str">
        <f t="shared" si="17"/>
        <v/>
      </c>
      <c r="AB261" s="48" t="str">
        <f t="shared" si="17"/>
        <v/>
      </c>
      <c r="AC261" s="48" t="str">
        <f t="shared" si="17"/>
        <v/>
      </c>
      <c r="AD261" s="48" t="str">
        <f t="shared" si="17"/>
        <v/>
      </c>
      <c r="AE261" s="48" t="str">
        <f t="shared" si="15"/>
        <v/>
      </c>
    </row>
    <row r="262" spans="1:31" x14ac:dyDescent="0.25">
      <c r="A262" s="2"/>
      <c r="B262" s="2"/>
      <c r="C262" s="2"/>
      <c r="D262" s="2" t="str">
        <f>IF(ISBLANK(C262),"",VLOOKUP(C262,configuration!$G$7:$H$10,2,FALSE))</f>
        <v/>
      </c>
      <c r="E262" s="2"/>
      <c r="F262" s="2"/>
      <c r="G262" s="2"/>
      <c r="H262" s="2" t="str">
        <f>IF(ISBLANK(G262),"",VLOOKUP(G262,configuration!$J$7:$K$10,2,FALSE))</f>
        <v/>
      </c>
      <c r="I262" s="30"/>
      <c r="J262" s="2"/>
      <c r="K262" s="31"/>
      <c r="L262" s="35"/>
      <c r="M262" s="2" t="str">
        <f>IF(ISBLANK(L262),"",VLOOKUP(L262,configuration!$M$7:$N$10,2,FALSE))</f>
        <v/>
      </c>
      <c r="N262" s="30"/>
      <c r="O262" s="2"/>
      <c r="P262" s="31"/>
      <c r="Q262" s="54"/>
      <c r="R262" s="55" t="str">
        <f>IF(ISBLANK(Q262),"",VLOOKUP(Q262,configuration!$P$7:$Q$10,2,FALSE))</f>
        <v/>
      </c>
      <c r="S262" s="56"/>
      <c r="T262" s="55"/>
      <c r="U262" s="78"/>
      <c r="V262" s="76" t="str">
        <f t="shared" si="16"/>
        <v/>
      </c>
      <c r="W262" s="48" t="str">
        <f t="shared" si="16"/>
        <v/>
      </c>
      <c r="X262" s="48" t="str">
        <f t="shared" si="16"/>
        <v/>
      </c>
      <c r="Y262" s="48" t="str">
        <f t="shared" si="16"/>
        <v/>
      </c>
      <c r="Z262" s="49" t="str">
        <f t="shared" ref="Z262:Z325" si="18">IF(AND($G262="",A262&lt;&gt;""),1,"")</f>
        <v/>
      </c>
      <c r="AA262" s="50" t="str">
        <f t="shared" si="17"/>
        <v/>
      </c>
      <c r="AB262" s="48" t="str">
        <f t="shared" si="17"/>
        <v/>
      </c>
      <c r="AC262" s="48" t="str">
        <f t="shared" si="17"/>
        <v/>
      </c>
      <c r="AD262" s="48" t="str">
        <f t="shared" si="17"/>
        <v/>
      </c>
      <c r="AE262" s="48" t="str">
        <f t="shared" ref="AE262:AE325" si="19">IF(AND($L262="",A262&lt;&gt;""),1,"")</f>
        <v/>
      </c>
    </row>
    <row r="263" spans="1:31" x14ac:dyDescent="0.25">
      <c r="A263" s="2"/>
      <c r="B263" s="2"/>
      <c r="C263" s="2"/>
      <c r="D263" s="2" t="str">
        <f>IF(ISBLANK(C263),"",VLOOKUP(C263,configuration!$G$7:$H$10,2,FALSE))</f>
        <v/>
      </c>
      <c r="E263" s="2"/>
      <c r="F263" s="2"/>
      <c r="G263" s="2"/>
      <c r="H263" s="2" t="str">
        <f>IF(ISBLANK(G263),"",VLOOKUP(G263,configuration!$J$7:$K$10,2,FALSE))</f>
        <v/>
      </c>
      <c r="I263" s="30"/>
      <c r="J263" s="2"/>
      <c r="K263" s="31"/>
      <c r="L263" s="35"/>
      <c r="M263" s="2" t="str">
        <f>IF(ISBLANK(L263),"",VLOOKUP(L263,configuration!$M$7:$N$10,2,FALSE))</f>
        <v/>
      </c>
      <c r="N263" s="30"/>
      <c r="O263" s="2"/>
      <c r="P263" s="31"/>
      <c r="Q263" s="54"/>
      <c r="R263" s="55" t="str">
        <f>IF(ISBLANK(Q263),"",VLOOKUP(Q263,configuration!$P$7:$Q$10,2,FALSE))</f>
        <v/>
      </c>
      <c r="S263" s="56"/>
      <c r="T263" s="55"/>
      <c r="U263" s="78"/>
      <c r="V263" s="76" t="str">
        <f t="shared" si="16"/>
        <v/>
      </c>
      <c r="W263" s="48" t="str">
        <f t="shared" si="16"/>
        <v/>
      </c>
      <c r="X263" s="48" t="str">
        <f t="shared" si="16"/>
        <v/>
      </c>
      <c r="Y263" s="48" t="str">
        <f t="shared" si="16"/>
        <v/>
      </c>
      <c r="Z263" s="49" t="str">
        <f t="shared" si="18"/>
        <v/>
      </c>
      <c r="AA263" s="50" t="str">
        <f t="shared" si="17"/>
        <v/>
      </c>
      <c r="AB263" s="48" t="str">
        <f t="shared" si="17"/>
        <v/>
      </c>
      <c r="AC263" s="48" t="str">
        <f t="shared" si="17"/>
        <v/>
      </c>
      <c r="AD263" s="48" t="str">
        <f t="shared" si="17"/>
        <v/>
      </c>
      <c r="AE263" s="48" t="str">
        <f t="shared" si="19"/>
        <v/>
      </c>
    </row>
    <row r="264" spans="1:31" x14ac:dyDescent="0.25">
      <c r="A264" s="2"/>
      <c r="B264" s="2"/>
      <c r="C264" s="2"/>
      <c r="D264" s="2" t="str">
        <f>IF(ISBLANK(C264),"",VLOOKUP(C264,configuration!$G$7:$H$10,2,FALSE))</f>
        <v/>
      </c>
      <c r="E264" s="2"/>
      <c r="F264" s="2"/>
      <c r="G264" s="2"/>
      <c r="H264" s="2" t="str">
        <f>IF(ISBLANK(G264),"",VLOOKUP(G264,configuration!$J$7:$K$10,2,FALSE))</f>
        <v/>
      </c>
      <c r="I264" s="30"/>
      <c r="J264" s="2"/>
      <c r="K264" s="31"/>
      <c r="L264" s="35"/>
      <c r="M264" s="2" t="str">
        <f>IF(ISBLANK(L264),"",VLOOKUP(L264,configuration!$M$7:$N$10,2,FALSE))</f>
        <v/>
      </c>
      <c r="N264" s="30"/>
      <c r="O264" s="2"/>
      <c r="P264" s="31"/>
      <c r="Q264" s="54"/>
      <c r="R264" s="55" t="str">
        <f>IF(ISBLANK(Q264),"",VLOOKUP(Q264,configuration!$P$7:$Q$10,2,FALSE))</f>
        <v/>
      </c>
      <c r="S264" s="56"/>
      <c r="T264" s="55"/>
      <c r="U264" s="78"/>
      <c r="V264" s="76" t="str">
        <f t="shared" si="16"/>
        <v/>
      </c>
      <c r="W264" s="48" t="str">
        <f t="shared" si="16"/>
        <v/>
      </c>
      <c r="X264" s="48" t="str">
        <f t="shared" si="16"/>
        <v/>
      </c>
      <c r="Y264" s="48" t="str">
        <f t="shared" si="16"/>
        <v/>
      </c>
      <c r="Z264" s="49" t="str">
        <f t="shared" si="18"/>
        <v/>
      </c>
      <c r="AA264" s="50" t="str">
        <f t="shared" si="17"/>
        <v/>
      </c>
      <c r="AB264" s="48" t="str">
        <f t="shared" si="17"/>
        <v/>
      </c>
      <c r="AC264" s="48" t="str">
        <f t="shared" si="17"/>
        <v/>
      </c>
      <c r="AD264" s="48" t="str">
        <f t="shared" si="17"/>
        <v/>
      </c>
      <c r="AE264" s="48" t="str">
        <f t="shared" si="19"/>
        <v/>
      </c>
    </row>
    <row r="265" spans="1:31" x14ac:dyDescent="0.25">
      <c r="A265" s="2"/>
      <c r="B265" s="2"/>
      <c r="C265" s="2"/>
      <c r="D265" s="2" t="str">
        <f>IF(ISBLANK(C265),"",VLOOKUP(C265,configuration!$G$7:$H$10,2,FALSE))</f>
        <v/>
      </c>
      <c r="E265" s="2"/>
      <c r="F265" s="2"/>
      <c r="G265" s="2"/>
      <c r="H265" s="2" t="str">
        <f>IF(ISBLANK(G265),"",VLOOKUP(G265,configuration!$J$7:$K$10,2,FALSE))</f>
        <v/>
      </c>
      <c r="I265" s="30"/>
      <c r="J265" s="2"/>
      <c r="K265" s="31"/>
      <c r="L265" s="35"/>
      <c r="M265" s="2" t="str">
        <f>IF(ISBLANK(L265),"",VLOOKUP(L265,configuration!$M$7:$N$10,2,FALSE))</f>
        <v/>
      </c>
      <c r="N265" s="30"/>
      <c r="O265" s="2"/>
      <c r="P265" s="31"/>
      <c r="Q265" s="54"/>
      <c r="R265" s="55" t="str">
        <f>IF(ISBLANK(Q265),"",VLOOKUP(Q265,configuration!$P$7:$Q$10,2,FALSE))</f>
        <v/>
      </c>
      <c r="S265" s="56"/>
      <c r="T265" s="55"/>
      <c r="U265" s="78"/>
      <c r="V265" s="76" t="str">
        <f t="shared" si="16"/>
        <v/>
      </c>
      <c r="W265" s="48" t="str">
        <f t="shared" si="16"/>
        <v/>
      </c>
      <c r="X265" s="48" t="str">
        <f t="shared" si="16"/>
        <v/>
      </c>
      <c r="Y265" s="48" t="str">
        <f t="shared" si="16"/>
        <v/>
      </c>
      <c r="Z265" s="49" t="str">
        <f t="shared" si="18"/>
        <v/>
      </c>
      <c r="AA265" s="50" t="str">
        <f t="shared" si="17"/>
        <v/>
      </c>
      <c r="AB265" s="48" t="str">
        <f t="shared" si="17"/>
        <v/>
      </c>
      <c r="AC265" s="48" t="str">
        <f t="shared" si="17"/>
        <v/>
      </c>
      <c r="AD265" s="48" t="str">
        <f t="shared" si="17"/>
        <v/>
      </c>
      <c r="AE265" s="48" t="str">
        <f t="shared" si="19"/>
        <v/>
      </c>
    </row>
    <row r="266" spans="1:31" x14ac:dyDescent="0.25">
      <c r="A266" s="2"/>
      <c r="B266" s="2"/>
      <c r="C266" s="2"/>
      <c r="D266" s="2" t="str">
        <f>IF(ISBLANK(C266),"",VLOOKUP(C266,configuration!$G$7:$H$10,2,FALSE))</f>
        <v/>
      </c>
      <c r="E266" s="2"/>
      <c r="F266" s="2"/>
      <c r="G266" s="2"/>
      <c r="H266" s="2" t="str">
        <f>IF(ISBLANK(G266),"",VLOOKUP(G266,configuration!$J$7:$K$10,2,FALSE))</f>
        <v/>
      </c>
      <c r="I266" s="30"/>
      <c r="J266" s="2"/>
      <c r="K266" s="31"/>
      <c r="L266" s="35"/>
      <c r="M266" s="2" t="str">
        <f>IF(ISBLANK(L266),"",VLOOKUP(L266,configuration!$M$7:$N$10,2,FALSE))</f>
        <v/>
      </c>
      <c r="N266" s="30"/>
      <c r="O266" s="2"/>
      <c r="P266" s="31"/>
      <c r="Q266" s="54"/>
      <c r="R266" s="55" t="str">
        <f>IF(ISBLANK(Q266),"",VLOOKUP(Q266,configuration!$P$7:$Q$10,2,FALSE))</f>
        <v/>
      </c>
      <c r="S266" s="56"/>
      <c r="T266" s="55"/>
      <c r="U266" s="78"/>
      <c r="V266" s="76" t="str">
        <f t="shared" si="16"/>
        <v/>
      </c>
      <c r="W266" s="48" t="str">
        <f t="shared" si="16"/>
        <v/>
      </c>
      <c r="X266" s="48" t="str">
        <f t="shared" si="16"/>
        <v/>
      </c>
      <c r="Y266" s="48" t="str">
        <f t="shared" si="16"/>
        <v/>
      </c>
      <c r="Z266" s="49" t="str">
        <f t="shared" si="18"/>
        <v/>
      </c>
      <c r="AA266" s="50" t="str">
        <f t="shared" si="17"/>
        <v/>
      </c>
      <c r="AB266" s="48" t="str">
        <f t="shared" si="17"/>
        <v/>
      </c>
      <c r="AC266" s="48" t="str">
        <f t="shared" si="17"/>
        <v/>
      </c>
      <c r="AD266" s="48" t="str">
        <f t="shared" si="17"/>
        <v/>
      </c>
      <c r="AE266" s="48" t="str">
        <f t="shared" si="19"/>
        <v/>
      </c>
    </row>
    <row r="267" spans="1:31" x14ac:dyDescent="0.25">
      <c r="A267" s="2"/>
      <c r="B267" s="2"/>
      <c r="C267" s="2"/>
      <c r="D267" s="2" t="str">
        <f>IF(ISBLANK(C267),"",VLOOKUP(C267,configuration!$G$7:$H$10,2,FALSE))</f>
        <v/>
      </c>
      <c r="E267" s="2"/>
      <c r="F267" s="2"/>
      <c r="G267" s="2"/>
      <c r="H267" s="2" t="str">
        <f>IF(ISBLANK(G267),"",VLOOKUP(G267,configuration!$J$7:$K$10,2,FALSE))</f>
        <v/>
      </c>
      <c r="I267" s="30"/>
      <c r="J267" s="2"/>
      <c r="K267" s="31"/>
      <c r="L267" s="35"/>
      <c r="M267" s="2" t="str">
        <f>IF(ISBLANK(L267),"",VLOOKUP(L267,configuration!$M$7:$N$10,2,FALSE))</f>
        <v/>
      </c>
      <c r="N267" s="30"/>
      <c r="O267" s="2"/>
      <c r="P267" s="31"/>
      <c r="Q267" s="54"/>
      <c r="R267" s="55" t="str">
        <f>IF(ISBLANK(Q267),"",VLOOKUP(Q267,configuration!$P$7:$Q$10,2,FALSE))</f>
        <v/>
      </c>
      <c r="S267" s="56"/>
      <c r="T267" s="55"/>
      <c r="U267" s="78"/>
      <c r="V267" s="76" t="str">
        <f t="shared" si="16"/>
        <v/>
      </c>
      <c r="W267" s="48" t="str">
        <f t="shared" si="16"/>
        <v/>
      </c>
      <c r="X267" s="48" t="str">
        <f t="shared" si="16"/>
        <v/>
      </c>
      <c r="Y267" s="48" t="str">
        <f t="shared" si="16"/>
        <v/>
      </c>
      <c r="Z267" s="49" t="str">
        <f t="shared" si="18"/>
        <v/>
      </c>
      <c r="AA267" s="50" t="str">
        <f t="shared" si="17"/>
        <v/>
      </c>
      <c r="AB267" s="48" t="str">
        <f t="shared" si="17"/>
        <v/>
      </c>
      <c r="AC267" s="48" t="str">
        <f t="shared" si="17"/>
        <v/>
      </c>
      <c r="AD267" s="48" t="str">
        <f t="shared" si="17"/>
        <v/>
      </c>
      <c r="AE267" s="48" t="str">
        <f t="shared" si="19"/>
        <v/>
      </c>
    </row>
    <row r="268" spans="1:31" x14ac:dyDescent="0.25">
      <c r="A268" s="2"/>
      <c r="B268" s="2"/>
      <c r="C268" s="2"/>
      <c r="D268" s="2" t="str">
        <f>IF(ISBLANK(C268),"",VLOOKUP(C268,configuration!$G$7:$H$10,2,FALSE))</f>
        <v/>
      </c>
      <c r="E268" s="2"/>
      <c r="F268" s="2"/>
      <c r="G268" s="2"/>
      <c r="H268" s="2" t="str">
        <f>IF(ISBLANK(G268),"",VLOOKUP(G268,configuration!$J$7:$K$10,2,FALSE))</f>
        <v/>
      </c>
      <c r="I268" s="30"/>
      <c r="J268" s="2"/>
      <c r="K268" s="31"/>
      <c r="L268" s="35"/>
      <c r="M268" s="2" t="str">
        <f>IF(ISBLANK(L268),"",VLOOKUP(L268,configuration!$M$7:$N$10,2,FALSE))</f>
        <v/>
      </c>
      <c r="N268" s="30"/>
      <c r="O268" s="2"/>
      <c r="P268" s="31"/>
      <c r="Q268" s="54"/>
      <c r="R268" s="55" t="str">
        <f>IF(ISBLANK(Q268),"",VLOOKUP(Q268,configuration!$P$7:$Q$10,2,FALSE))</f>
        <v/>
      </c>
      <c r="S268" s="56"/>
      <c r="T268" s="55"/>
      <c r="U268" s="78"/>
      <c r="V268" s="76" t="str">
        <f t="shared" si="16"/>
        <v/>
      </c>
      <c r="W268" s="48" t="str">
        <f t="shared" si="16"/>
        <v/>
      </c>
      <c r="X268" s="48" t="str">
        <f t="shared" si="16"/>
        <v/>
      </c>
      <c r="Y268" s="48" t="str">
        <f t="shared" si="16"/>
        <v/>
      </c>
      <c r="Z268" s="49" t="str">
        <f t="shared" si="18"/>
        <v/>
      </c>
      <c r="AA268" s="50" t="str">
        <f t="shared" si="17"/>
        <v/>
      </c>
      <c r="AB268" s="48" t="str">
        <f t="shared" si="17"/>
        <v/>
      </c>
      <c r="AC268" s="48" t="str">
        <f t="shared" si="17"/>
        <v/>
      </c>
      <c r="AD268" s="48" t="str">
        <f t="shared" si="17"/>
        <v/>
      </c>
      <c r="AE268" s="48" t="str">
        <f t="shared" si="19"/>
        <v/>
      </c>
    </row>
    <row r="269" spans="1:31" x14ac:dyDescent="0.25">
      <c r="A269" s="2"/>
      <c r="B269" s="2"/>
      <c r="C269" s="2"/>
      <c r="D269" s="2" t="str">
        <f>IF(ISBLANK(C269),"",VLOOKUP(C269,configuration!$G$7:$H$10,2,FALSE))</f>
        <v/>
      </c>
      <c r="E269" s="2"/>
      <c r="F269" s="2"/>
      <c r="G269" s="2"/>
      <c r="H269" s="2" t="str">
        <f>IF(ISBLANK(G269),"",VLOOKUP(G269,configuration!$J$7:$K$10,2,FALSE))</f>
        <v/>
      </c>
      <c r="I269" s="30"/>
      <c r="J269" s="2"/>
      <c r="K269" s="31"/>
      <c r="L269" s="35"/>
      <c r="M269" s="2" t="str">
        <f>IF(ISBLANK(L269),"",VLOOKUP(L269,configuration!$M$7:$N$10,2,FALSE))</f>
        <v/>
      </c>
      <c r="N269" s="30"/>
      <c r="O269" s="2"/>
      <c r="P269" s="31"/>
      <c r="Q269" s="54"/>
      <c r="R269" s="55" t="str">
        <f>IF(ISBLANK(Q269),"",VLOOKUP(Q269,configuration!$P$7:$Q$10,2,FALSE))</f>
        <v/>
      </c>
      <c r="S269" s="56"/>
      <c r="T269" s="55"/>
      <c r="U269" s="78"/>
      <c r="V269" s="76" t="str">
        <f t="shared" si="16"/>
        <v/>
      </c>
      <c r="W269" s="48" t="str">
        <f t="shared" si="16"/>
        <v/>
      </c>
      <c r="X269" s="48" t="str">
        <f t="shared" si="16"/>
        <v/>
      </c>
      <c r="Y269" s="48" t="str">
        <f t="shared" si="16"/>
        <v/>
      </c>
      <c r="Z269" s="49" t="str">
        <f t="shared" si="18"/>
        <v/>
      </c>
      <c r="AA269" s="50" t="str">
        <f t="shared" si="17"/>
        <v/>
      </c>
      <c r="AB269" s="48" t="str">
        <f t="shared" si="17"/>
        <v/>
      </c>
      <c r="AC269" s="48" t="str">
        <f t="shared" si="17"/>
        <v/>
      </c>
      <c r="AD269" s="48" t="str">
        <f t="shared" si="17"/>
        <v/>
      </c>
      <c r="AE269" s="48" t="str">
        <f t="shared" si="19"/>
        <v/>
      </c>
    </row>
    <row r="270" spans="1:31" x14ac:dyDescent="0.25">
      <c r="A270" s="2"/>
      <c r="B270" s="2"/>
      <c r="C270" s="2"/>
      <c r="D270" s="2" t="str">
        <f>IF(ISBLANK(C270),"",VLOOKUP(C270,configuration!$G$7:$H$10,2,FALSE))</f>
        <v/>
      </c>
      <c r="E270" s="2"/>
      <c r="F270" s="2"/>
      <c r="G270" s="2"/>
      <c r="H270" s="2" t="str">
        <f>IF(ISBLANK(G270),"",VLOOKUP(G270,configuration!$J$7:$K$10,2,FALSE))</f>
        <v/>
      </c>
      <c r="I270" s="30"/>
      <c r="J270" s="2"/>
      <c r="K270" s="31"/>
      <c r="L270" s="35"/>
      <c r="M270" s="2" t="str">
        <f>IF(ISBLANK(L270),"",VLOOKUP(L270,configuration!$M$7:$N$10,2,FALSE))</f>
        <v/>
      </c>
      <c r="N270" s="30"/>
      <c r="O270" s="2"/>
      <c r="P270" s="31"/>
      <c r="Q270" s="54"/>
      <c r="R270" s="55" t="str">
        <f>IF(ISBLANK(Q270),"",VLOOKUP(Q270,configuration!$P$7:$Q$10,2,FALSE))</f>
        <v/>
      </c>
      <c r="S270" s="56"/>
      <c r="T270" s="55"/>
      <c r="U270" s="78"/>
      <c r="V270" s="76" t="str">
        <f t="shared" si="16"/>
        <v/>
      </c>
      <c r="W270" s="48" t="str">
        <f t="shared" si="16"/>
        <v/>
      </c>
      <c r="X270" s="48" t="str">
        <f t="shared" si="16"/>
        <v/>
      </c>
      <c r="Y270" s="48" t="str">
        <f t="shared" si="16"/>
        <v/>
      </c>
      <c r="Z270" s="49" t="str">
        <f t="shared" si="18"/>
        <v/>
      </c>
      <c r="AA270" s="50" t="str">
        <f t="shared" si="17"/>
        <v/>
      </c>
      <c r="AB270" s="48" t="str">
        <f t="shared" si="17"/>
        <v/>
      </c>
      <c r="AC270" s="48" t="str">
        <f t="shared" si="17"/>
        <v/>
      </c>
      <c r="AD270" s="48" t="str">
        <f t="shared" si="17"/>
        <v/>
      </c>
      <c r="AE270" s="48" t="str">
        <f t="shared" si="19"/>
        <v/>
      </c>
    </row>
    <row r="271" spans="1:31" x14ac:dyDescent="0.25">
      <c r="A271" s="2"/>
      <c r="B271" s="2"/>
      <c r="C271" s="2"/>
      <c r="D271" s="2" t="str">
        <f>IF(ISBLANK(C271),"",VLOOKUP(C271,configuration!$G$7:$H$10,2,FALSE))</f>
        <v/>
      </c>
      <c r="E271" s="2"/>
      <c r="F271" s="2"/>
      <c r="G271" s="2"/>
      <c r="H271" s="2" t="str">
        <f>IF(ISBLANK(G271),"",VLOOKUP(G271,configuration!$J$7:$K$10,2,FALSE))</f>
        <v/>
      </c>
      <c r="I271" s="30"/>
      <c r="J271" s="2"/>
      <c r="K271" s="31"/>
      <c r="L271" s="35"/>
      <c r="M271" s="2" t="str">
        <f>IF(ISBLANK(L271),"",VLOOKUP(L271,configuration!$M$7:$N$10,2,FALSE))</f>
        <v/>
      </c>
      <c r="N271" s="30"/>
      <c r="O271" s="2"/>
      <c r="P271" s="31"/>
      <c r="Q271" s="54"/>
      <c r="R271" s="55" t="str">
        <f>IF(ISBLANK(Q271),"",VLOOKUP(Q271,configuration!$P$7:$Q$10,2,FALSE))</f>
        <v/>
      </c>
      <c r="S271" s="56"/>
      <c r="T271" s="55"/>
      <c r="U271" s="78"/>
      <c r="V271" s="76" t="str">
        <f t="shared" si="16"/>
        <v/>
      </c>
      <c r="W271" s="48" t="str">
        <f t="shared" si="16"/>
        <v/>
      </c>
      <c r="X271" s="48" t="str">
        <f t="shared" si="16"/>
        <v/>
      </c>
      <c r="Y271" s="48" t="str">
        <f t="shared" si="16"/>
        <v/>
      </c>
      <c r="Z271" s="49" t="str">
        <f t="shared" si="18"/>
        <v/>
      </c>
      <c r="AA271" s="50" t="str">
        <f t="shared" si="17"/>
        <v/>
      </c>
      <c r="AB271" s="48" t="str">
        <f t="shared" si="17"/>
        <v/>
      </c>
      <c r="AC271" s="48" t="str">
        <f t="shared" si="17"/>
        <v/>
      </c>
      <c r="AD271" s="48" t="str">
        <f t="shared" si="17"/>
        <v/>
      </c>
      <c r="AE271" s="48" t="str">
        <f t="shared" si="19"/>
        <v/>
      </c>
    </row>
    <row r="272" spans="1:31" x14ac:dyDescent="0.25">
      <c r="A272" s="2"/>
      <c r="B272" s="2"/>
      <c r="C272" s="2"/>
      <c r="D272" s="2" t="str">
        <f>IF(ISBLANK(C272),"",VLOOKUP(C272,configuration!$G$7:$H$10,2,FALSE))</f>
        <v/>
      </c>
      <c r="E272" s="2"/>
      <c r="F272" s="2"/>
      <c r="G272" s="2"/>
      <c r="H272" s="2" t="str">
        <f>IF(ISBLANK(G272),"",VLOOKUP(G272,configuration!$J$7:$K$10,2,FALSE))</f>
        <v/>
      </c>
      <c r="I272" s="30"/>
      <c r="J272" s="2"/>
      <c r="K272" s="31"/>
      <c r="L272" s="35"/>
      <c r="M272" s="2" t="str">
        <f>IF(ISBLANK(L272),"",VLOOKUP(L272,configuration!$M$7:$N$10,2,FALSE))</f>
        <v/>
      </c>
      <c r="N272" s="30"/>
      <c r="O272" s="2"/>
      <c r="P272" s="31"/>
      <c r="Q272" s="54"/>
      <c r="R272" s="55" t="str">
        <f>IF(ISBLANK(Q272),"",VLOOKUP(Q272,configuration!$P$7:$Q$10,2,FALSE))</f>
        <v/>
      </c>
      <c r="S272" s="56"/>
      <c r="T272" s="55"/>
      <c r="U272" s="78"/>
      <c r="V272" s="76" t="str">
        <f t="shared" si="16"/>
        <v/>
      </c>
      <c r="W272" s="48" t="str">
        <f t="shared" si="16"/>
        <v/>
      </c>
      <c r="X272" s="48" t="str">
        <f t="shared" si="16"/>
        <v/>
      </c>
      <c r="Y272" s="48" t="str">
        <f t="shared" si="16"/>
        <v/>
      </c>
      <c r="Z272" s="49" t="str">
        <f t="shared" si="18"/>
        <v/>
      </c>
      <c r="AA272" s="50" t="str">
        <f t="shared" si="17"/>
        <v/>
      </c>
      <c r="AB272" s="48" t="str">
        <f t="shared" si="17"/>
        <v/>
      </c>
      <c r="AC272" s="48" t="str">
        <f t="shared" si="17"/>
        <v/>
      </c>
      <c r="AD272" s="48" t="str">
        <f t="shared" si="17"/>
        <v/>
      </c>
      <c r="AE272" s="48" t="str">
        <f t="shared" si="19"/>
        <v/>
      </c>
    </row>
    <row r="273" spans="1:31" x14ac:dyDescent="0.25">
      <c r="A273" s="2"/>
      <c r="B273" s="2"/>
      <c r="C273" s="2"/>
      <c r="D273" s="2" t="str">
        <f>IF(ISBLANK(C273),"",VLOOKUP(C273,configuration!$G$7:$H$10,2,FALSE))</f>
        <v/>
      </c>
      <c r="E273" s="2"/>
      <c r="F273" s="2"/>
      <c r="G273" s="2"/>
      <c r="H273" s="2" t="str">
        <f>IF(ISBLANK(G273),"",VLOOKUP(G273,configuration!$J$7:$K$10,2,FALSE))</f>
        <v/>
      </c>
      <c r="I273" s="30"/>
      <c r="J273" s="2"/>
      <c r="K273" s="31"/>
      <c r="L273" s="35"/>
      <c r="M273" s="2" t="str">
        <f>IF(ISBLANK(L273),"",VLOOKUP(L273,configuration!$M$7:$N$10,2,FALSE))</f>
        <v/>
      </c>
      <c r="N273" s="30"/>
      <c r="O273" s="2"/>
      <c r="P273" s="31"/>
      <c r="Q273" s="54"/>
      <c r="R273" s="55" t="str">
        <f>IF(ISBLANK(Q273),"",VLOOKUP(Q273,configuration!$P$7:$Q$10,2,FALSE))</f>
        <v/>
      </c>
      <c r="S273" s="56"/>
      <c r="T273" s="55"/>
      <c r="U273" s="78"/>
      <c r="V273" s="76" t="str">
        <f t="shared" si="16"/>
        <v/>
      </c>
      <c r="W273" s="48" t="str">
        <f t="shared" si="16"/>
        <v/>
      </c>
      <c r="X273" s="48" t="str">
        <f t="shared" si="16"/>
        <v/>
      </c>
      <c r="Y273" s="48" t="str">
        <f t="shared" si="16"/>
        <v/>
      </c>
      <c r="Z273" s="49" t="str">
        <f t="shared" si="18"/>
        <v/>
      </c>
      <c r="AA273" s="50" t="str">
        <f t="shared" si="17"/>
        <v/>
      </c>
      <c r="AB273" s="48" t="str">
        <f t="shared" si="17"/>
        <v/>
      </c>
      <c r="AC273" s="48" t="str">
        <f t="shared" si="17"/>
        <v/>
      </c>
      <c r="AD273" s="48" t="str">
        <f t="shared" si="17"/>
        <v/>
      </c>
      <c r="AE273" s="48" t="str">
        <f t="shared" si="19"/>
        <v/>
      </c>
    </row>
    <row r="274" spans="1:31" x14ac:dyDescent="0.25">
      <c r="A274" s="2"/>
      <c r="B274" s="2"/>
      <c r="C274" s="2"/>
      <c r="D274" s="2" t="str">
        <f>IF(ISBLANK(C274),"",VLOOKUP(C274,configuration!$G$7:$H$10,2,FALSE))</f>
        <v/>
      </c>
      <c r="E274" s="2"/>
      <c r="F274" s="2"/>
      <c r="G274" s="2"/>
      <c r="H274" s="2" t="str">
        <f>IF(ISBLANK(G274),"",VLOOKUP(G274,configuration!$J$7:$K$10,2,FALSE))</f>
        <v/>
      </c>
      <c r="I274" s="30"/>
      <c r="J274" s="2"/>
      <c r="K274" s="31"/>
      <c r="L274" s="35"/>
      <c r="M274" s="2" t="str">
        <f>IF(ISBLANK(L274),"",VLOOKUP(L274,configuration!$M$7:$N$10,2,FALSE))</f>
        <v/>
      </c>
      <c r="N274" s="30"/>
      <c r="O274" s="2"/>
      <c r="P274" s="31"/>
      <c r="Q274" s="54"/>
      <c r="R274" s="55" t="str">
        <f>IF(ISBLANK(Q274),"",VLOOKUP(Q274,configuration!$P$7:$Q$10,2,FALSE))</f>
        <v/>
      </c>
      <c r="S274" s="56"/>
      <c r="T274" s="55"/>
      <c r="U274" s="78"/>
      <c r="V274" s="76" t="str">
        <f t="shared" si="16"/>
        <v/>
      </c>
      <c r="W274" s="48" t="str">
        <f t="shared" si="16"/>
        <v/>
      </c>
      <c r="X274" s="48" t="str">
        <f t="shared" si="16"/>
        <v/>
      </c>
      <c r="Y274" s="48" t="str">
        <f t="shared" si="16"/>
        <v/>
      </c>
      <c r="Z274" s="49" t="str">
        <f t="shared" si="18"/>
        <v/>
      </c>
      <c r="AA274" s="50" t="str">
        <f t="shared" si="17"/>
        <v/>
      </c>
      <c r="AB274" s="48" t="str">
        <f t="shared" si="17"/>
        <v/>
      </c>
      <c r="AC274" s="48" t="str">
        <f t="shared" si="17"/>
        <v/>
      </c>
      <c r="AD274" s="48" t="str">
        <f t="shared" si="17"/>
        <v/>
      </c>
      <c r="AE274" s="48" t="str">
        <f t="shared" si="19"/>
        <v/>
      </c>
    </row>
    <row r="275" spans="1:31" x14ac:dyDescent="0.25">
      <c r="A275" s="2"/>
      <c r="B275" s="2"/>
      <c r="C275" s="2"/>
      <c r="D275" s="2" t="str">
        <f>IF(ISBLANK(C275),"",VLOOKUP(C275,configuration!$G$7:$H$10,2,FALSE))</f>
        <v/>
      </c>
      <c r="E275" s="2"/>
      <c r="F275" s="2"/>
      <c r="G275" s="2"/>
      <c r="H275" s="2" t="str">
        <f>IF(ISBLANK(G275),"",VLOOKUP(G275,configuration!$J$7:$K$10,2,FALSE))</f>
        <v/>
      </c>
      <c r="I275" s="30"/>
      <c r="J275" s="2"/>
      <c r="K275" s="31"/>
      <c r="L275" s="35"/>
      <c r="M275" s="2" t="str">
        <f>IF(ISBLANK(L275),"",VLOOKUP(L275,configuration!$M$7:$N$10,2,FALSE))</f>
        <v/>
      </c>
      <c r="N275" s="30"/>
      <c r="O275" s="2"/>
      <c r="P275" s="31"/>
      <c r="Q275" s="54"/>
      <c r="R275" s="55" t="str">
        <f>IF(ISBLANK(Q275),"",VLOOKUP(Q275,configuration!$P$7:$Q$10,2,FALSE))</f>
        <v/>
      </c>
      <c r="S275" s="56"/>
      <c r="T275" s="55"/>
      <c r="U275" s="78"/>
      <c r="V275" s="76" t="str">
        <f t="shared" si="16"/>
        <v/>
      </c>
      <c r="W275" s="48" t="str">
        <f t="shared" si="16"/>
        <v/>
      </c>
      <c r="X275" s="48" t="str">
        <f t="shared" si="16"/>
        <v/>
      </c>
      <c r="Y275" s="48" t="str">
        <f t="shared" si="16"/>
        <v/>
      </c>
      <c r="Z275" s="49" t="str">
        <f t="shared" si="18"/>
        <v/>
      </c>
      <c r="AA275" s="50" t="str">
        <f t="shared" si="17"/>
        <v/>
      </c>
      <c r="AB275" s="48" t="str">
        <f t="shared" si="17"/>
        <v/>
      </c>
      <c r="AC275" s="48" t="str">
        <f t="shared" si="17"/>
        <v/>
      </c>
      <c r="AD275" s="48" t="str">
        <f t="shared" si="17"/>
        <v/>
      </c>
      <c r="AE275" s="48" t="str">
        <f t="shared" si="19"/>
        <v/>
      </c>
    </row>
    <row r="276" spans="1:31" x14ac:dyDescent="0.25">
      <c r="A276" s="2"/>
      <c r="B276" s="2"/>
      <c r="C276" s="2"/>
      <c r="D276" s="2" t="str">
        <f>IF(ISBLANK(C276),"",VLOOKUP(C276,configuration!$G$7:$H$10,2,FALSE))</f>
        <v/>
      </c>
      <c r="E276" s="2"/>
      <c r="F276" s="2"/>
      <c r="G276" s="2"/>
      <c r="H276" s="2" t="str">
        <f>IF(ISBLANK(G276),"",VLOOKUP(G276,configuration!$J$7:$K$10,2,FALSE))</f>
        <v/>
      </c>
      <c r="I276" s="30"/>
      <c r="J276" s="2"/>
      <c r="K276" s="31"/>
      <c r="L276" s="35"/>
      <c r="M276" s="2" t="str">
        <f>IF(ISBLANK(L276),"",VLOOKUP(L276,configuration!$M$7:$N$10,2,FALSE))</f>
        <v/>
      </c>
      <c r="N276" s="30"/>
      <c r="O276" s="2"/>
      <c r="P276" s="31"/>
      <c r="Q276" s="54"/>
      <c r="R276" s="55" t="str">
        <f>IF(ISBLANK(Q276),"",VLOOKUP(Q276,configuration!$P$7:$Q$10,2,FALSE))</f>
        <v/>
      </c>
      <c r="S276" s="56"/>
      <c r="T276" s="55"/>
      <c r="U276" s="78"/>
      <c r="V276" s="76" t="str">
        <f t="shared" si="16"/>
        <v/>
      </c>
      <c r="W276" s="48" t="str">
        <f t="shared" si="16"/>
        <v/>
      </c>
      <c r="X276" s="48" t="str">
        <f t="shared" si="16"/>
        <v/>
      </c>
      <c r="Y276" s="48" t="str">
        <f t="shared" ref="V276:Y339" si="20">IF($G276=Y$4,1,"")</f>
        <v/>
      </c>
      <c r="Z276" s="49" t="str">
        <f t="shared" si="18"/>
        <v/>
      </c>
      <c r="AA276" s="50" t="str">
        <f t="shared" si="17"/>
        <v/>
      </c>
      <c r="AB276" s="48" t="str">
        <f t="shared" si="17"/>
        <v/>
      </c>
      <c r="AC276" s="48" t="str">
        <f t="shared" si="17"/>
        <v/>
      </c>
      <c r="AD276" s="48" t="str">
        <f t="shared" ref="AA276:AD339" si="21">IF($L276=AD$4,1,"")</f>
        <v/>
      </c>
      <c r="AE276" s="48" t="str">
        <f t="shared" si="19"/>
        <v/>
      </c>
    </row>
    <row r="277" spans="1:31" x14ac:dyDescent="0.25">
      <c r="A277" s="2"/>
      <c r="B277" s="2"/>
      <c r="C277" s="2"/>
      <c r="D277" s="2" t="str">
        <f>IF(ISBLANK(C277),"",VLOOKUP(C277,configuration!$G$7:$H$10,2,FALSE))</f>
        <v/>
      </c>
      <c r="E277" s="2"/>
      <c r="F277" s="2"/>
      <c r="G277" s="2"/>
      <c r="H277" s="2" t="str">
        <f>IF(ISBLANK(G277),"",VLOOKUP(G277,configuration!$J$7:$K$10,2,FALSE))</f>
        <v/>
      </c>
      <c r="I277" s="30"/>
      <c r="J277" s="2"/>
      <c r="K277" s="31"/>
      <c r="L277" s="35"/>
      <c r="M277" s="2" t="str">
        <f>IF(ISBLANK(L277),"",VLOOKUP(L277,configuration!$M$7:$N$10,2,FALSE))</f>
        <v/>
      </c>
      <c r="N277" s="30"/>
      <c r="O277" s="2"/>
      <c r="P277" s="31"/>
      <c r="Q277" s="54"/>
      <c r="R277" s="55" t="str">
        <f>IF(ISBLANK(Q277),"",VLOOKUP(Q277,configuration!$P$7:$Q$10,2,FALSE))</f>
        <v/>
      </c>
      <c r="S277" s="56"/>
      <c r="T277" s="55"/>
      <c r="U277" s="78"/>
      <c r="V277" s="76" t="str">
        <f t="shared" si="20"/>
        <v/>
      </c>
      <c r="W277" s="48" t="str">
        <f t="shared" si="20"/>
        <v/>
      </c>
      <c r="X277" s="48" t="str">
        <f t="shared" si="20"/>
        <v/>
      </c>
      <c r="Y277" s="48" t="str">
        <f t="shared" si="20"/>
        <v/>
      </c>
      <c r="Z277" s="49" t="str">
        <f t="shared" si="18"/>
        <v/>
      </c>
      <c r="AA277" s="50" t="str">
        <f t="shared" si="21"/>
        <v/>
      </c>
      <c r="AB277" s="48" t="str">
        <f t="shared" si="21"/>
        <v/>
      </c>
      <c r="AC277" s="48" t="str">
        <f t="shared" si="21"/>
        <v/>
      </c>
      <c r="AD277" s="48" t="str">
        <f t="shared" si="21"/>
        <v/>
      </c>
      <c r="AE277" s="48" t="str">
        <f t="shared" si="19"/>
        <v/>
      </c>
    </row>
    <row r="278" spans="1:31" x14ac:dyDescent="0.25">
      <c r="A278" s="2"/>
      <c r="B278" s="2"/>
      <c r="C278" s="2"/>
      <c r="D278" s="2" t="str">
        <f>IF(ISBLANK(C278),"",VLOOKUP(C278,configuration!$G$7:$H$10,2,FALSE))</f>
        <v/>
      </c>
      <c r="E278" s="2"/>
      <c r="F278" s="2"/>
      <c r="G278" s="2"/>
      <c r="H278" s="2" t="str">
        <f>IF(ISBLANK(G278),"",VLOOKUP(G278,configuration!$J$7:$K$10,2,FALSE))</f>
        <v/>
      </c>
      <c r="I278" s="30"/>
      <c r="J278" s="2"/>
      <c r="K278" s="31"/>
      <c r="L278" s="35"/>
      <c r="M278" s="2" t="str">
        <f>IF(ISBLANK(L278),"",VLOOKUP(L278,configuration!$M$7:$N$10,2,FALSE))</f>
        <v/>
      </c>
      <c r="N278" s="30"/>
      <c r="O278" s="2"/>
      <c r="P278" s="31"/>
      <c r="Q278" s="54"/>
      <c r="R278" s="55" t="str">
        <f>IF(ISBLANK(Q278),"",VLOOKUP(Q278,configuration!$P$7:$Q$10,2,FALSE))</f>
        <v/>
      </c>
      <c r="S278" s="56"/>
      <c r="T278" s="55"/>
      <c r="U278" s="78"/>
      <c r="V278" s="76" t="str">
        <f t="shared" si="20"/>
        <v/>
      </c>
      <c r="W278" s="48" t="str">
        <f t="shared" si="20"/>
        <v/>
      </c>
      <c r="X278" s="48" t="str">
        <f t="shared" si="20"/>
        <v/>
      </c>
      <c r="Y278" s="48" t="str">
        <f t="shared" si="20"/>
        <v/>
      </c>
      <c r="Z278" s="49" t="str">
        <f t="shared" si="18"/>
        <v/>
      </c>
      <c r="AA278" s="50" t="str">
        <f t="shared" si="21"/>
        <v/>
      </c>
      <c r="AB278" s="48" t="str">
        <f t="shared" si="21"/>
        <v/>
      </c>
      <c r="AC278" s="48" t="str">
        <f t="shared" si="21"/>
        <v/>
      </c>
      <c r="AD278" s="48" t="str">
        <f t="shared" si="21"/>
        <v/>
      </c>
      <c r="AE278" s="48" t="str">
        <f t="shared" si="19"/>
        <v/>
      </c>
    </row>
    <row r="279" spans="1:31" x14ac:dyDescent="0.25">
      <c r="A279" s="2"/>
      <c r="B279" s="2"/>
      <c r="C279" s="2"/>
      <c r="D279" s="2" t="str">
        <f>IF(ISBLANK(C279),"",VLOOKUP(C279,configuration!$G$7:$H$10,2,FALSE))</f>
        <v/>
      </c>
      <c r="E279" s="2"/>
      <c r="F279" s="2"/>
      <c r="G279" s="2"/>
      <c r="H279" s="2" t="str">
        <f>IF(ISBLANK(G279),"",VLOOKUP(G279,configuration!$J$7:$K$10,2,FALSE))</f>
        <v/>
      </c>
      <c r="I279" s="30"/>
      <c r="J279" s="2"/>
      <c r="K279" s="31"/>
      <c r="L279" s="35"/>
      <c r="M279" s="2" t="str">
        <f>IF(ISBLANK(L279),"",VLOOKUP(L279,configuration!$M$7:$N$10,2,FALSE))</f>
        <v/>
      </c>
      <c r="N279" s="30"/>
      <c r="O279" s="2"/>
      <c r="P279" s="31"/>
      <c r="Q279" s="54"/>
      <c r="R279" s="55" t="str">
        <f>IF(ISBLANK(Q279),"",VLOOKUP(Q279,configuration!$P$7:$Q$10,2,FALSE))</f>
        <v/>
      </c>
      <c r="S279" s="56"/>
      <c r="T279" s="55"/>
      <c r="U279" s="78"/>
      <c r="V279" s="76" t="str">
        <f t="shared" si="20"/>
        <v/>
      </c>
      <c r="W279" s="48" t="str">
        <f t="shared" si="20"/>
        <v/>
      </c>
      <c r="X279" s="48" t="str">
        <f t="shared" si="20"/>
        <v/>
      </c>
      <c r="Y279" s="48" t="str">
        <f t="shared" si="20"/>
        <v/>
      </c>
      <c r="Z279" s="49" t="str">
        <f t="shared" si="18"/>
        <v/>
      </c>
      <c r="AA279" s="50" t="str">
        <f t="shared" si="21"/>
        <v/>
      </c>
      <c r="AB279" s="48" t="str">
        <f t="shared" si="21"/>
        <v/>
      </c>
      <c r="AC279" s="48" t="str">
        <f t="shared" si="21"/>
        <v/>
      </c>
      <c r="AD279" s="48" t="str">
        <f t="shared" si="21"/>
        <v/>
      </c>
      <c r="AE279" s="48" t="str">
        <f t="shared" si="19"/>
        <v/>
      </c>
    </row>
    <row r="280" spans="1:31" x14ac:dyDescent="0.25">
      <c r="A280" s="2"/>
      <c r="B280" s="2"/>
      <c r="C280" s="2"/>
      <c r="D280" s="2" t="str">
        <f>IF(ISBLANK(C280),"",VLOOKUP(C280,configuration!$G$7:$H$10,2,FALSE))</f>
        <v/>
      </c>
      <c r="E280" s="2"/>
      <c r="F280" s="2"/>
      <c r="G280" s="2"/>
      <c r="H280" s="2" t="str">
        <f>IF(ISBLANK(G280),"",VLOOKUP(G280,configuration!$J$7:$K$10,2,FALSE))</f>
        <v/>
      </c>
      <c r="I280" s="30"/>
      <c r="J280" s="2"/>
      <c r="K280" s="31"/>
      <c r="L280" s="35"/>
      <c r="M280" s="2" t="str">
        <f>IF(ISBLANK(L280),"",VLOOKUP(L280,configuration!$M$7:$N$10,2,FALSE))</f>
        <v/>
      </c>
      <c r="N280" s="30"/>
      <c r="O280" s="2"/>
      <c r="P280" s="31"/>
      <c r="Q280" s="54"/>
      <c r="R280" s="55" t="str">
        <f>IF(ISBLANK(Q280),"",VLOOKUP(Q280,configuration!$P$7:$Q$10,2,FALSE))</f>
        <v/>
      </c>
      <c r="S280" s="56"/>
      <c r="T280" s="55"/>
      <c r="U280" s="78"/>
      <c r="V280" s="76" t="str">
        <f t="shared" si="20"/>
        <v/>
      </c>
      <c r="W280" s="48" t="str">
        <f t="shared" si="20"/>
        <v/>
      </c>
      <c r="X280" s="48" t="str">
        <f t="shared" si="20"/>
        <v/>
      </c>
      <c r="Y280" s="48" t="str">
        <f t="shared" si="20"/>
        <v/>
      </c>
      <c r="Z280" s="49" t="str">
        <f t="shared" si="18"/>
        <v/>
      </c>
      <c r="AA280" s="50" t="str">
        <f t="shared" si="21"/>
        <v/>
      </c>
      <c r="AB280" s="48" t="str">
        <f t="shared" si="21"/>
        <v/>
      </c>
      <c r="AC280" s="48" t="str">
        <f t="shared" si="21"/>
        <v/>
      </c>
      <c r="AD280" s="48" t="str">
        <f t="shared" si="21"/>
        <v/>
      </c>
      <c r="AE280" s="48" t="str">
        <f t="shared" si="19"/>
        <v/>
      </c>
    </row>
    <row r="281" spans="1:31" x14ac:dyDescent="0.25">
      <c r="A281" s="2"/>
      <c r="B281" s="2"/>
      <c r="C281" s="2"/>
      <c r="D281" s="2" t="str">
        <f>IF(ISBLANK(C281),"",VLOOKUP(C281,configuration!$G$7:$H$10,2,FALSE))</f>
        <v/>
      </c>
      <c r="E281" s="2"/>
      <c r="F281" s="2"/>
      <c r="G281" s="2"/>
      <c r="H281" s="2" t="str">
        <f>IF(ISBLANK(G281),"",VLOOKUP(G281,configuration!$J$7:$K$10,2,FALSE))</f>
        <v/>
      </c>
      <c r="I281" s="30"/>
      <c r="J281" s="2"/>
      <c r="K281" s="31"/>
      <c r="L281" s="35"/>
      <c r="M281" s="2" t="str">
        <f>IF(ISBLANK(L281),"",VLOOKUP(L281,configuration!$M$7:$N$10,2,FALSE))</f>
        <v/>
      </c>
      <c r="N281" s="30"/>
      <c r="O281" s="2"/>
      <c r="P281" s="31"/>
      <c r="Q281" s="54"/>
      <c r="R281" s="55" t="str">
        <f>IF(ISBLANK(Q281),"",VLOOKUP(Q281,configuration!$P$7:$Q$10,2,FALSE))</f>
        <v/>
      </c>
      <c r="S281" s="56"/>
      <c r="T281" s="55"/>
      <c r="U281" s="78"/>
      <c r="V281" s="76" t="str">
        <f t="shared" si="20"/>
        <v/>
      </c>
      <c r="W281" s="48" t="str">
        <f t="shared" si="20"/>
        <v/>
      </c>
      <c r="X281" s="48" t="str">
        <f t="shared" si="20"/>
        <v/>
      </c>
      <c r="Y281" s="48" t="str">
        <f t="shared" si="20"/>
        <v/>
      </c>
      <c r="Z281" s="49" t="str">
        <f t="shared" si="18"/>
        <v/>
      </c>
      <c r="AA281" s="50" t="str">
        <f t="shared" si="21"/>
        <v/>
      </c>
      <c r="AB281" s="48" t="str">
        <f t="shared" si="21"/>
        <v/>
      </c>
      <c r="AC281" s="48" t="str">
        <f t="shared" si="21"/>
        <v/>
      </c>
      <c r="AD281" s="48" t="str">
        <f t="shared" si="21"/>
        <v/>
      </c>
      <c r="AE281" s="48" t="str">
        <f t="shared" si="19"/>
        <v/>
      </c>
    </row>
    <row r="282" spans="1:31" x14ac:dyDescent="0.25">
      <c r="A282" s="2"/>
      <c r="B282" s="2"/>
      <c r="C282" s="2"/>
      <c r="D282" s="2" t="str">
        <f>IF(ISBLANK(C282),"",VLOOKUP(C282,configuration!$G$7:$H$10,2,FALSE))</f>
        <v/>
      </c>
      <c r="E282" s="2"/>
      <c r="F282" s="2"/>
      <c r="G282" s="2"/>
      <c r="H282" s="2" t="str">
        <f>IF(ISBLANK(G282),"",VLOOKUP(G282,configuration!$J$7:$K$10,2,FALSE))</f>
        <v/>
      </c>
      <c r="I282" s="30"/>
      <c r="J282" s="2"/>
      <c r="K282" s="31"/>
      <c r="L282" s="35"/>
      <c r="M282" s="2" t="str">
        <f>IF(ISBLANK(L282),"",VLOOKUP(L282,configuration!$M$7:$N$10,2,FALSE))</f>
        <v/>
      </c>
      <c r="N282" s="30"/>
      <c r="O282" s="2"/>
      <c r="P282" s="31"/>
      <c r="Q282" s="54"/>
      <c r="R282" s="55" t="str">
        <f>IF(ISBLANK(Q282),"",VLOOKUP(Q282,configuration!$P$7:$Q$10,2,FALSE))</f>
        <v/>
      </c>
      <c r="S282" s="56"/>
      <c r="T282" s="55"/>
      <c r="U282" s="78"/>
      <c r="V282" s="76" t="str">
        <f t="shared" si="20"/>
        <v/>
      </c>
      <c r="W282" s="48" t="str">
        <f t="shared" si="20"/>
        <v/>
      </c>
      <c r="X282" s="48" t="str">
        <f t="shared" si="20"/>
        <v/>
      </c>
      <c r="Y282" s="48" t="str">
        <f t="shared" si="20"/>
        <v/>
      </c>
      <c r="Z282" s="49" t="str">
        <f t="shared" si="18"/>
        <v/>
      </c>
      <c r="AA282" s="50" t="str">
        <f t="shared" si="21"/>
        <v/>
      </c>
      <c r="AB282" s="48" t="str">
        <f t="shared" si="21"/>
        <v/>
      </c>
      <c r="AC282" s="48" t="str">
        <f t="shared" si="21"/>
        <v/>
      </c>
      <c r="AD282" s="48" t="str">
        <f t="shared" si="21"/>
        <v/>
      </c>
      <c r="AE282" s="48" t="str">
        <f t="shared" si="19"/>
        <v/>
      </c>
    </row>
    <row r="283" spans="1:31" x14ac:dyDescent="0.25">
      <c r="A283" s="2"/>
      <c r="B283" s="2"/>
      <c r="C283" s="2"/>
      <c r="D283" s="2" t="str">
        <f>IF(ISBLANK(C283),"",VLOOKUP(C283,configuration!$G$7:$H$10,2,FALSE))</f>
        <v/>
      </c>
      <c r="E283" s="2"/>
      <c r="F283" s="2"/>
      <c r="G283" s="2"/>
      <c r="H283" s="2" t="str">
        <f>IF(ISBLANK(G283),"",VLOOKUP(G283,configuration!$J$7:$K$10,2,FALSE))</f>
        <v/>
      </c>
      <c r="I283" s="30"/>
      <c r="J283" s="2"/>
      <c r="K283" s="31"/>
      <c r="L283" s="35"/>
      <c r="M283" s="2" t="str">
        <f>IF(ISBLANK(L283),"",VLOOKUP(L283,configuration!$M$7:$N$10,2,FALSE))</f>
        <v/>
      </c>
      <c r="N283" s="30"/>
      <c r="O283" s="2"/>
      <c r="P283" s="31"/>
      <c r="Q283" s="54"/>
      <c r="R283" s="55" t="str">
        <f>IF(ISBLANK(Q283),"",VLOOKUP(Q283,configuration!$P$7:$Q$10,2,FALSE))</f>
        <v/>
      </c>
      <c r="S283" s="56"/>
      <c r="T283" s="55"/>
      <c r="U283" s="78"/>
      <c r="V283" s="76" t="str">
        <f t="shared" si="20"/>
        <v/>
      </c>
      <c r="W283" s="48" t="str">
        <f t="shared" si="20"/>
        <v/>
      </c>
      <c r="X283" s="48" t="str">
        <f t="shared" si="20"/>
        <v/>
      </c>
      <c r="Y283" s="48" t="str">
        <f t="shared" si="20"/>
        <v/>
      </c>
      <c r="Z283" s="49" t="str">
        <f t="shared" si="18"/>
        <v/>
      </c>
      <c r="AA283" s="50" t="str">
        <f t="shared" si="21"/>
        <v/>
      </c>
      <c r="AB283" s="48" t="str">
        <f t="shared" si="21"/>
        <v/>
      </c>
      <c r="AC283" s="48" t="str">
        <f t="shared" si="21"/>
        <v/>
      </c>
      <c r="AD283" s="48" t="str">
        <f t="shared" si="21"/>
        <v/>
      </c>
      <c r="AE283" s="48" t="str">
        <f t="shared" si="19"/>
        <v/>
      </c>
    </row>
    <row r="284" spans="1:31" x14ac:dyDescent="0.25">
      <c r="A284" s="2"/>
      <c r="B284" s="2"/>
      <c r="C284" s="2"/>
      <c r="D284" s="2" t="str">
        <f>IF(ISBLANK(C284),"",VLOOKUP(C284,configuration!$G$7:$H$10,2,FALSE))</f>
        <v/>
      </c>
      <c r="E284" s="2"/>
      <c r="F284" s="2"/>
      <c r="G284" s="2"/>
      <c r="H284" s="2" t="str">
        <f>IF(ISBLANK(G284),"",VLOOKUP(G284,configuration!$J$7:$K$10,2,FALSE))</f>
        <v/>
      </c>
      <c r="I284" s="30"/>
      <c r="J284" s="2"/>
      <c r="K284" s="31"/>
      <c r="L284" s="35"/>
      <c r="M284" s="2" t="str">
        <f>IF(ISBLANK(L284),"",VLOOKUP(L284,configuration!$M$7:$N$10,2,FALSE))</f>
        <v/>
      </c>
      <c r="N284" s="30"/>
      <c r="O284" s="2"/>
      <c r="P284" s="31"/>
      <c r="Q284" s="54"/>
      <c r="R284" s="55" t="str">
        <f>IF(ISBLANK(Q284),"",VLOOKUP(Q284,configuration!$P$7:$Q$10,2,FALSE))</f>
        <v/>
      </c>
      <c r="S284" s="56"/>
      <c r="T284" s="55"/>
      <c r="U284" s="78"/>
      <c r="V284" s="76" t="str">
        <f t="shared" si="20"/>
        <v/>
      </c>
      <c r="W284" s="48" t="str">
        <f t="shared" si="20"/>
        <v/>
      </c>
      <c r="X284" s="48" t="str">
        <f t="shared" si="20"/>
        <v/>
      </c>
      <c r="Y284" s="48" t="str">
        <f t="shared" si="20"/>
        <v/>
      </c>
      <c r="Z284" s="49" t="str">
        <f t="shared" si="18"/>
        <v/>
      </c>
      <c r="AA284" s="50" t="str">
        <f t="shared" si="21"/>
        <v/>
      </c>
      <c r="AB284" s="48" t="str">
        <f t="shared" si="21"/>
        <v/>
      </c>
      <c r="AC284" s="48" t="str">
        <f t="shared" si="21"/>
        <v/>
      </c>
      <c r="AD284" s="48" t="str">
        <f t="shared" si="21"/>
        <v/>
      </c>
      <c r="AE284" s="48" t="str">
        <f t="shared" si="19"/>
        <v/>
      </c>
    </row>
    <row r="285" spans="1:31" x14ac:dyDescent="0.25">
      <c r="A285" s="2"/>
      <c r="B285" s="2"/>
      <c r="C285" s="2"/>
      <c r="D285" s="2" t="str">
        <f>IF(ISBLANK(C285),"",VLOOKUP(C285,configuration!$G$7:$H$10,2,FALSE))</f>
        <v/>
      </c>
      <c r="E285" s="2"/>
      <c r="F285" s="2"/>
      <c r="G285" s="2"/>
      <c r="H285" s="2" t="str">
        <f>IF(ISBLANK(G285),"",VLOOKUP(G285,configuration!$J$7:$K$10,2,FALSE))</f>
        <v/>
      </c>
      <c r="I285" s="30"/>
      <c r="J285" s="2"/>
      <c r="K285" s="31"/>
      <c r="L285" s="35"/>
      <c r="M285" s="2" t="str">
        <f>IF(ISBLANK(L285),"",VLOOKUP(L285,configuration!$M$7:$N$10,2,FALSE))</f>
        <v/>
      </c>
      <c r="N285" s="30"/>
      <c r="O285" s="2"/>
      <c r="P285" s="31"/>
      <c r="Q285" s="54"/>
      <c r="R285" s="55" t="str">
        <f>IF(ISBLANK(Q285),"",VLOOKUP(Q285,configuration!$P$7:$Q$10,2,FALSE))</f>
        <v/>
      </c>
      <c r="S285" s="56"/>
      <c r="T285" s="55"/>
      <c r="U285" s="78"/>
      <c r="V285" s="76" t="str">
        <f t="shared" si="20"/>
        <v/>
      </c>
      <c r="W285" s="48" t="str">
        <f t="shared" si="20"/>
        <v/>
      </c>
      <c r="X285" s="48" t="str">
        <f t="shared" si="20"/>
        <v/>
      </c>
      <c r="Y285" s="48" t="str">
        <f t="shared" si="20"/>
        <v/>
      </c>
      <c r="Z285" s="49" t="str">
        <f t="shared" si="18"/>
        <v/>
      </c>
      <c r="AA285" s="50" t="str">
        <f t="shared" si="21"/>
        <v/>
      </c>
      <c r="AB285" s="48" t="str">
        <f t="shared" si="21"/>
        <v/>
      </c>
      <c r="AC285" s="48" t="str">
        <f t="shared" si="21"/>
        <v/>
      </c>
      <c r="AD285" s="48" t="str">
        <f t="shared" si="21"/>
        <v/>
      </c>
      <c r="AE285" s="48" t="str">
        <f t="shared" si="19"/>
        <v/>
      </c>
    </row>
    <row r="286" spans="1:31" x14ac:dyDescent="0.25">
      <c r="A286" s="2"/>
      <c r="B286" s="2"/>
      <c r="C286" s="2"/>
      <c r="D286" s="2" t="str">
        <f>IF(ISBLANK(C286),"",VLOOKUP(C286,configuration!$G$7:$H$10,2,FALSE))</f>
        <v/>
      </c>
      <c r="E286" s="2"/>
      <c r="F286" s="2"/>
      <c r="G286" s="2"/>
      <c r="H286" s="2" t="str">
        <f>IF(ISBLANK(G286),"",VLOOKUP(G286,configuration!$J$7:$K$10,2,FALSE))</f>
        <v/>
      </c>
      <c r="I286" s="30"/>
      <c r="J286" s="2"/>
      <c r="K286" s="31"/>
      <c r="L286" s="35"/>
      <c r="M286" s="2" t="str">
        <f>IF(ISBLANK(L286),"",VLOOKUP(L286,configuration!$M$7:$N$10,2,FALSE))</f>
        <v/>
      </c>
      <c r="N286" s="30"/>
      <c r="O286" s="2"/>
      <c r="P286" s="31"/>
      <c r="Q286" s="54"/>
      <c r="R286" s="55" t="str">
        <f>IF(ISBLANK(Q286),"",VLOOKUP(Q286,configuration!$P$7:$Q$10,2,FALSE))</f>
        <v/>
      </c>
      <c r="S286" s="56"/>
      <c r="T286" s="55"/>
      <c r="U286" s="78"/>
      <c r="V286" s="76" t="str">
        <f t="shared" si="20"/>
        <v/>
      </c>
      <c r="W286" s="48" t="str">
        <f t="shared" si="20"/>
        <v/>
      </c>
      <c r="X286" s="48" t="str">
        <f t="shared" si="20"/>
        <v/>
      </c>
      <c r="Y286" s="48" t="str">
        <f t="shared" si="20"/>
        <v/>
      </c>
      <c r="Z286" s="49" t="str">
        <f t="shared" si="18"/>
        <v/>
      </c>
      <c r="AA286" s="50" t="str">
        <f t="shared" si="21"/>
        <v/>
      </c>
      <c r="AB286" s="48" t="str">
        <f t="shared" si="21"/>
        <v/>
      </c>
      <c r="AC286" s="48" t="str">
        <f t="shared" si="21"/>
        <v/>
      </c>
      <c r="AD286" s="48" t="str">
        <f t="shared" si="21"/>
        <v/>
      </c>
      <c r="AE286" s="48" t="str">
        <f t="shared" si="19"/>
        <v/>
      </c>
    </row>
    <row r="287" spans="1:31" x14ac:dyDescent="0.25">
      <c r="A287" s="2"/>
      <c r="B287" s="2"/>
      <c r="C287" s="2"/>
      <c r="D287" s="2" t="str">
        <f>IF(ISBLANK(C287),"",VLOOKUP(C287,configuration!$G$7:$H$10,2,FALSE))</f>
        <v/>
      </c>
      <c r="E287" s="2"/>
      <c r="F287" s="2"/>
      <c r="G287" s="2"/>
      <c r="H287" s="2" t="str">
        <f>IF(ISBLANK(G287),"",VLOOKUP(G287,configuration!$J$7:$K$10,2,FALSE))</f>
        <v/>
      </c>
      <c r="I287" s="30"/>
      <c r="J287" s="2"/>
      <c r="K287" s="31"/>
      <c r="L287" s="35"/>
      <c r="M287" s="2" t="str">
        <f>IF(ISBLANK(L287),"",VLOOKUP(L287,configuration!$M$7:$N$10,2,FALSE))</f>
        <v/>
      </c>
      <c r="N287" s="30"/>
      <c r="O287" s="2"/>
      <c r="P287" s="31"/>
      <c r="Q287" s="54"/>
      <c r="R287" s="55" t="str">
        <f>IF(ISBLANK(Q287),"",VLOOKUP(Q287,configuration!$P$7:$Q$10,2,FALSE))</f>
        <v/>
      </c>
      <c r="S287" s="56"/>
      <c r="T287" s="55"/>
      <c r="U287" s="78"/>
      <c r="V287" s="76" t="str">
        <f t="shared" si="20"/>
        <v/>
      </c>
      <c r="W287" s="48" t="str">
        <f t="shared" si="20"/>
        <v/>
      </c>
      <c r="X287" s="48" t="str">
        <f t="shared" si="20"/>
        <v/>
      </c>
      <c r="Y287" s="48" t="str">
        <f t="shared" si="20"/>
        <v/>
      </c>
      <c r="Z287" s="49" t="str">
        <f t="shared" si="18"/>
        <v/>
      </c>
      <c r="AA287" s="50" t="str">
        <f t="shared" si="21"/>
        <v/>
      </c>
      <c r="AB287" s="48" t="str">
        <f t="shared" si="21"/>
        <v/>
      </c>
      <c r="AC287" s="48" t="str">
        <f t="shared" si="21"/>
        <v/>
      </c>
      <c r="AD287" s="48" t="str">
        <f t="shared" si="21"/>
        <v/>
      </c>
      <c r="AE287" s="48" t="str">
        <f t="shared" si="19"/>
        <v/>
      </c>
    </row>
    <row r="288" spans="1:31" x14ac:dyDescent="0.25">
      <c r="A288" s="2"/>
      <c r="B288" s="2"/>
      <c r="C288" s="2"/>
      <c r="D288" s="2" t="str">
        <f>IF(ISBLANK(C288),"",VLOOKUP(C288,configuration!$G$7:$H$10,2,FALSE))</f>
        <v/>
      </c>
      <c r="E288" s="2"/>
      <c r="F288" s="2"/>
      <c r="G288" s="2"/>
      <c r="H288" s="2" t="str">
        <f>IF(ISBLANK(G288),"",VLOOKUP(G288,configuration!$J$7:$K$10,2,FALSE))</f>
        <v/>
      </c>
      <c r="I288" s="30"/>
      <c r="J288" s="2"/>
      <c r="K288" s="31"/>
      <c r="L288" s="35"/>
      <c r="M288" s="2" t="str">
        <f>IF(ISBLANK(L288),"",VLOOKUP(L288,configuration!$M$7:$N$10,2,FALSE))</f>
        <v/>
      </c>
      <c r="N288" s="30"/>
      <c r="O288" s="2"/>
      <c r="P288" s="31"/>
      <c r="Q288" s="54"/>
      <c r="R288" s="55" t="str">
        <f>IF(ISBLANK(Q288),"",VLOOKUP(Q288,configuration!$P$7:$Q$10,2,FALSE))</f>
        <v/>
      </c>
      <c r="S288" s="56"/>
      <c r="T288" s="55"/>
      <c r="U288" s="78"/>
      <c r="V288" s="76" t="str">
        <f t="shared" si="20"/>
        <v/>
      </c>
      <c r="W288" s="48" t="str">
        <f t="shared" si="20"/>
        <v/>
      </c>
      <c r="X288" s="48" t="str">
        <f t="shared" si="20"/>
        <v/>
      </c>
      <c r="Y288" s="48" t="str">
        <f t="shared" si="20"/>
        <v/>
      </c>
      <c r="Z288" s="49" t="str">
        <f t="shared" si="18"/>
        <v/>
      </c>
      <c r="AA288" s="50" t="str">
        <f t="shared" si="21"/>
        <v/>
      </c>
      <c r="AB288" s="48" t="str">
        <f t="shared" si="21"/>
        <v/>
      </c>
      <c r="AC288" s="48" t="str">
        <f t="shared" si="21"/>
        <v/>
      </c>
      <c r="AD288" s="48" t="str">
        <f t="shared" si="21"/>
        <v/>
      </c>
      <c r="AE288" s="48" t="str">
        <f t="shared" si="19"/>
        <v/>
      </c>
    </row>
    <row r="289" spans="1:31" x14ac:dyDescent="0.25">
      <c r="A289" s="2"/>
      <c r="B289" s="2"/>
      <c r="C289" s="2"/>
      <c r="D289" s="2" t="str">
        <f>IF(ISBLANK(C289),"",VLOOKUP(C289,configuration!$G$7:$H$10,2,FALSE))</f>
        <v/>
      </c>
      <c r="E289" s="2"/>
      <c r="F289" s="2"/>
      <c r="G289" s="2"/>
      <c r="H289" s="2" t="str">
        <f>IF(ISBLANK(G289),"",VLOOKUP(G289,configuration!$J$7:$K$10,2,FALSE))</f>
        <v/>
      </c>
      <c r="I289" s="30"/>
      <c r="J289" s="2"/>
      <c r="K289" s="31"/>
      <c r="L289" s="35"/>
      <c r="M289" s="2" t="str">
        <f>IF(ISBLANK(L289),"",VLOOKUP(L289,configuration!$M$7:$N$10,2,FALSE))</f>
        <v/>
      </c>
      <c r="N289" s="30"/>
      <c r="O289" s="2"/>
      <c r="P289" s="31"/>
      <c r="Q289" s="54"/>
      <c r="R289" s="55" t="str">
        <f>IF(ISBLANK(Q289),"",VLOOKUP(Q289,configuration!$P$7:$Q$10,2,FALSE))</f>
        <v/>
      </c>
      <c r="S289" s="56"/>
      <c r="T289" s="55"/>
      <c r="U289" s="78"/>
      <c r="V289" s="76" t="str">
        <f t="shared" si="20"/>
        <v/>
      </c>
      <c r="W289" s="48" t="str">
        <f t="shared" si="20"/>
        <v/>
      </c>
      <c r="X289" s="48" t="str">
        <f t="shared" si="20"/>
        <v/>
      </c>
      <c r="Y289" s="48" t="str">
        <f t="shared" si="20"/>
        <v/>
      </c>
      <c r="Z289" s="49" t="str">
        <f t="shared" si="18"/>
        <v/>
      </c>
      <c r="AA289" s="50" t="str">
        <f t="shared" si="21"/>
        <v/>
      </c>
      <c r="AB289" s="48" t="str">
        <f t="shared" si="21"/>
        <v/>
      </c>
      <c r="AC289" s="48" t="str">
        <f t="shared" si="21"/>
        <v/>
      </c>
      <c r="AD289" s="48" t="str">
        <f t="shared" si="21"/>
        <v/>
      </c>
      <c r="AE289" s="48" t="str">
        <f t="shared" si="19"/>
        <v/>
      </c>
    </row>
    <row r="290" spans="1:31" x14ac:dyDescent="0.25">
      <c r="A290" s="2"/>
      <c r="B290" s="2"/>
      <c r="C290" s="2"/>
      <c r="D290" s="2" t="str">
        <f>IF(ISBLANK(C290),"",VLOOKUP(C290,configuration!$G$7:$H$10,2,FALSE))</f>
        <v/>
      </c>
      <c r="E290" s="2"/>
      <c r="F290" s="2"/>
      <c r="G290" s="2"/>
      <c r="H290" s="2" t="str">
        <f>IF(ISBLANK(G290),"",VLOOKUP(G290,configuration!$J$7:$K$10,2,FALSE))</f>
        <v/>
      </c>
      <c r="I290" s="30"/>
      <c r="J290" s="2"/>
      <c r="K290" s="31"/>
      <c r="L290" s="35"/>
      <c r="M290" s="2" t="str">
        <f>IF(ISBLANK(L290),"",VLOOKUP(L290,configuration!$M$7:$N$10,2,FALSE))</f>
        <v/>
      </c>
      <c r="N290" s="30"/>
      <c r="O290" s="2"/>
      <c r="P290" s="31"/>
      <c r="Q290" s="54"/>
      <c r="R290" s="55" t="str">
        <f>IF(ISBLANK(Q290),"",VLOOKUP(Q290,configuration!$P$7:$Q$10,2,FALSE))</f>
        <v/>
      </c>
      <c r="S290" s="56"/>
      <c r="T290" s="55"/>
      <c r="U290" s="78"/>
      <c r="V290" s="76" t="str">
        <f t="shared" si="20"/>
        <v/>
      </c>
      <c r="W290" s="48" t="str">
        <f t="shared" si="20"/>
        <v/>
      </c>
      <c r="X290" s="48" t="str">
        <f t="shared" si="20"/>
        <v/>
      </c>
      <c r="Y290" s="48" t="str">
        <f t="shared" si="20"/>
        <v/>
      </c>
      <c r="Z290" s="49" t="str">
        <f t="shared" si="18"/>
        <v/>
      </c>
      <c r="AA290" s="50" t="str">
        <f t="shared" si="21"/>
        <v/>
      </c>
      <c r="AB290" s="48" t="str">
        <f t="shared" si="21"/>
        <v/>
      </c>
      <c r="AC290" s="48" t="str">
        <f t="shared" si="21"/>
        <v/>
      </c>
      <c r="AD290" s="48" t="str">
        <f t="shared" si="21"/>
        <v/>
      </c>
      <c r="AE290" s="48" t="str">
        <f t="shared" si="19"/>
        <v/>
      </c>
    </row>
    <row r="291" spans="1:31" x14ac:dyDescent="0.25">
      <c r="A291" s="2"/>
      <c r="B291" s="2"/>
      <c r="C291" s="2"/>
      <c r="D291" s="2" t="str">
        <f>IF(ISBLANK(C291),"",VLOOKUP(C291,configuration!$G$7:$H$10,2,FALSE))</f>
        <v/>
      </c>
      <c r="E291" s="2"/>
      <c r="F291" s="2"/>
      <c r="G291" s="2"/>
      <c r="H291" s="2" t="str">
        <f>IF(ISBLANK(G291),"",VLOOKUP(G291,configuration!$J$7:$K$10,2,FALSE))</f>
        <v/>
      </c>
      <c r="I291" s="30"/>
      <c r="J291" s="2"/>
      <c r="K291" s="31"/>
      <c r="L291" s="35"/>
      <c r="M291" s="2" t="str">
        <f>IF(ISBLANK(L291),"",VLOOKUP(L291,configuration!$M$7:$N$10,2,FALSE))</f>
        <v/>
      </c>
      <c r="N291" s="30"/>
      <c r="O291" s="2"/>
      <c r="P291" s="31"/>
      <c r="Q291" s="54"/>
      <c r="R291" s="55" t="str">
        <f>IF(ISBLANK(Q291),"",VLOOKUP(Q291,configuration!$P$7:$Q$10,2,FALSE))</f>
        <v/>
      </c>
      <c r="S291" s="56"/>
      <c r="T291" s="55"/>
      <c r="U291" s="78"/>
      <c r="V291" s="76" t="str">
        <f t="shared" si="20"/>
        <v/>
      </c>
      <c r="W291" s="48" t="str">
        <f t="shared" si="20"/>
        <v/>
      </c>
      <c r="X291" s="48" t="str">
        <f t="shared" si="20"/>
        <v/>
      </c>
      <c r="Y291" s="48" t="str">
        <f t="shared" si="20"/>
        <v/>
      </c>
      <c r="Z291" s="49" t="str">
        <f t="shared" si="18"/>
        <v/>
      </c>
      <c r="AA291" s="50" t="str">
        <f t="shared" si="21"/>
        <v/>
      </c>
      <c r="AB291" s="48" t="str">
        <f t="shared" si="21"/>
        <v/>
      </c>
      <c r="AC291" s="48" t="str">
        <f t="shared" si="21"/>
        <v/>
      </c>
      <c r="AD291" s="48" t="str">
        <f t="shared" si="21"/>
        <v/>
      </c>
      <c r="AE291" s="48" t="str">
        <f t="shared" si="19"/>
        <v/>
      </c>
    </row>
    <row r="292" spans="1:31" x14ac:dyDescent="0.25">
      <c r="A292" s="2"/>
      <c r="B292" s="2"/>
      <c r="C292" s="2"/>
      <c r="D292" s="2" t="str">
        <f>IF(ISBLANK(C292),"",VLOOKUP(C292,configuration!$G$7:$H$10,2,FALSE))</f>
        <v/>
      </c>
      <c r="E292" s="2"/>
      <c r="F292" s="2"/>
      <c r="G292" s="2"/>
      <c r="H292" s="2" t="str">
        <f>IF(ISBLANK(G292),"",VLOOKUP(G292,configuration!$J$7:$K$10,2,FALSE))</f>
        <v/>
      </c>
      <c r="I292" s="30"/>
      <c r="J292" s="2"/>
      <c r="K292" s="31"/>
      <c r="L292" s="35"/>
      <c r="M292" s="2" t="str">
        <f>IF(ISBLANK(L292),"",VLOOKUP(L292,configuration!$M$7:$N$10,2,FALSE))</f>
        <v/>
      </c>
      <c r="N292" s="30"/>
      <c r="O292" s="2"/>
      <c r="P292" s="31"/>
      <c r="Q292" s="54"/>
      <c r="R292" s="55" t="str">
        <f>IF(ISBLANK(Q292),"",VLOOKUP(Q292,configuration!$P$7:$Q$10,2,FALSE))</f>
        <v/>
      </c>
      <c r="S292" s="56"/>
      <c r="T292" s="55"/>
      <c r="U292" s="78"/>
      <c r="V292" s="76" t="str">
        <f t="shared" si="20"/>
        <v/>
      </c>
      <c r="W292" s="48" t="str">
        <f t="shared" si="20"/>
        <v/>
      </c>
      <c r="X292" s="48" t="str">
        <f t="shared" si="20"/>
        <v/>
      </c>
      <c r="Y292" s="48" t="str">
        <f t="shared" si="20"/>
        <v/>
      </c>
      <c r="Z292" s="49" t="str">
        <f t="shared" si="18"/>
        <v/>
      </c>
      <c r="AA292" s="50" t="str">
        <f t="shared" si="21"/>
        <v/>
      </c>
      <c r="AB292" s="48" t="str">
        <f t="shared" si="21"/>
        <v/>
      </c>
      <c r="AC292" s="48" t="str">
        <f t="shared" si="21"/>
        <v/>
      </c>
      <c r="AD292" s="48" t="str">
        <f t="shared" si="21"/>
        <v/>
      </c>
      <c r="AE292" s="48" t="str">
        <f t="shared" si="19"/>
        <v/>
      </c>
    </row>
    <row r="293" spans="1:31" x14ac:dyDescent="0.25">
      <c r="A293" s="2"/>
      <c r="B293" s="2"/>
      <c r="C293" s="2"/>
      <c r="D293" s="2" t="str">
        <f>IF(ISBLANK(C293),"",VLOOKUP(C293,configuration!$G$7:$H$10,2,FALSE))</f>
        <v/>
      </c>
      <c r="E293" s="2"/>
      <c r="F293" s="2"/>
      <c r="G293" s="2"/>
      <c r="H293" s="2" t="str">
        <f>IF(ISBLANK(G293),"",VLOOKUP(G293,configuration!$J$7:$K$10,2,FALSE))</f>
        <v/>
      </c>
      <c r="I293" s="30"/>
      <c r="J293" s="2"/>
      <c r="K293" s="31"/>
      <c r="L293" s="35"/>
      <c r="M293" s="2" t="str">
        <f>IF(ISBLANK(L293),"",VLOOKUP(L293,configuration!$M$7:$N$10,2,FALSE))</f>
        <v/>
      </c>
      <c r="N293" s="30"/>
      <c r="O293" s="2"/>
      <c r="P293" s="31"/>
      <c r="Q293" s="54"/>
      <c r="R293" s="55" t="str">
        <f>IF(ISBLANK(Q293),"",VLOOKUP(Q293,configuration!$P$7:$Q$10,2,FALSE))</f>
        <v/>
      </c>
      <c r="S293" s="56"/>
      <c r="T293" s="55"/>
      <c r="U293" s="78"/>
      <c r="V293" s="76" t="str">
        <f t="shared" si="20"/>
        <v/>
      </c>
      <c r="W293" s="48" t="str">
        <f t="shared" si="20"/>
        <v/>
      </c>
      <c r="X293" s="48" t="str">
        <f t="shared" si="20"/>
        <v/>
      </c>
      <c r="Y293" s="48" t="str">
        <f t="shared" si="20"/>
        <v/>
      </c>
      <c r="Z293" s="49" t="str">
        <f t="shared" si="18"/>
        <v/>
      </c>
      <c r="AA293" s="50" t="str">
        <f t="shared" si="21"/>
        <v/>
      </c>
      <c r="AB293" s="48" t="str">
        <f t="shared" si="21"/>
        <v/>
      </c>
      <c r="AC293" s="48" t="str">
        <f t="shared" si="21"/>
        <v/>
      </c>
      <c r="AD293" s="48" t="str">
        <f t="shared" si="21"/>
        <v/>
      </c>
      <c r="AE293" s="48" t="str">
        <f t="shared" si="19"/>
        <v/>
      </c>
    </row>
    <row r="294" spans="1:31" x14ac:dyDescent="0.25">
      <c r="A294" s="2"/>
      <c r="B294" s="2"/>
      <c r="C294" s="2"/>
      <c r="D294" s="2" t="str">
        <f>IF(ISBLANK(C294),"",VLOOKUP(C294,configuration!$G$7:$H$10,2,FALSE))</f>
        <v/>
      </c>
      <c r="E294" s="2"/>
      <c r="F294" s="2"/>
      <c r="G294" s="2"/>
      <c r="H294" s="2" t="str">
        <f>IF(ISBLANK(G294),"",VLOOKUP(G294,configuration!$J$7:$K$10,2,FALSE))</f>
        <v/>
      </c>
      <c r="I294" s="30"/>
      <c r="J294" s="2"/>
      <c r="K294" s="31"/>
      <c r="L294" s="35"/>
      <c r="M294" s="2" t="str">
        <f>IF(ISBLANK(L294),"",VLOOKUP(L294,configuration!$M$7:$N$10,2,FALSE))</f>
        <v/>
      </c>
      <c r="N294" s="30"/>
      <c r="O294" s="2"/>
      <c r="P294" s="31"/>
      <c r="Q294" s="54"/>
      <c r="R294" s="55" t="str">
        <f>IF(ISBLANK(Q294),"",VLOOKUP(Q294,configuration!$P$7:$Q$10,2,FALSE))</f>
        <v/>
      </c>
      <c r="S294" s="56"/>
      <c r="T294" s="55"/>
      <c r="U294" s="78"/>
      <c r="V294" s="76" t="str">
        <f t="shared" si="20"/>
        <v/>
      </c>
      <c r="W294" s="48" t="str">
        <f t="shared" si="20"/>
        <v/>
      </c>
      <c r="X294" s="48" t="str">
        <f t="shared" si="20"/>
        <v/>
      </c>
      <c r="Y294" s="48" t="str">
        <f t="shared" si="20"/>
        <v/>
      </c>
      <c r="Z294" s="49" t="str">
        <f t="shared" si="18"/>
        <v/>
      </c>
      <c r="AA294" s="50" t="str">
        <f t="shared" si="21"/>
        <v/>
      </c>
      <c r="AB294" s="48" t="str">
        <f t="shared" si="21"/>
        <v/>
      </c>
      <c r="AC294" s="48" t="str">
        <f t="shared" si="21"/>
        <v/>
      </c>
      <c r="AD294" s="48" t="str">
        <f t="shared" si="21"/>
        <v/>
      </c>
      <c r="AE294" s="48" t="str">
        <f t="shared" si="19"/>
        <v/>
      </c>
    </row>
    <row r="295" spans="1:31" x14ac:dyDescent="0.25">
      <c r="A295" s="2"/>
      <c r="B295" s="2"/>
      <c r="C295" s="2"/>
      <c r="D295" s="2" t="str">
        <f>IF(ISBLANK(C295),"",VLOOKUP(C295,configuration!$G$7:$H$10,2,FALSE))</f>
        <v/>
      </c>
      <c r="E295" s="2"/>
      <c r="F295" s="2"/>
      <c r="G295" s="2"/>
      <c r="H295" s="2" t="str">
        <f>IF(ISBLANK(G295),"",VLOOKUP(G295,configuration!$J$7:$K$10,2,FALSE))</f>
        <v/>
      </c>
      <c r="I295" s="30"/>
      <c r="J295" s="2"/>
      <c r="K295" s="31"/>
      <c r="L295" s="35"/>
      <c r="M295" s="2" t="str">
        <f>IF(ISBLANK(L295),"",VLOOKUP(L295,configuration!$M$7:$N$10,2,FALSE))</f>
        <v/>
      </c>
      <c r="N295" s="30"/>
      <c r="O295" s="2"/>
      <c r="P295" s="31"/>
      <c r="Q295" s="54"/>
      <c r="R295" s="55" t="str">
        <f>IF(ISBLANK(Q295),"",VLOOKUP(Q295,configuration!$P$7:$Q$10,2,FALSE))</f>
        <v/>
      </c>
      <c r="S295" s="56"/>
      <c r="T295" s="55"/>
      <c r="U295" s="78"/>
      <c r="V295" s="76" t="str">
        <f t="shared" si="20"/>
        <v/>
      </c>
      <c r="W295" s="48" t="str">
        <f t="shared" si="20"/>
        <v/>
      </c>
      <c r="X295" s="48" t="str">
        <f t="shared" si="20"/>
        <v/>
      </c>
      <c r="Y295" s="48" t="str">
        <f t="shared" si="20"/>
        <v/>
      </c>
      <c r="Z295" s="49" t="str">
        <f t="shared" si="18"/>
        <v/>
      </c>
      <c r="AA295" s="50" t="str">
        <f t="shared" si="21"/>
        <v/>
      </c>
      <c r="AB295" s="48" t="str">
        <f t="shared" si="21"/>
        <v/>
      </c>
      <c r="AC295" s="48" t="str">
        <f t="shared" si="21"/>
        <v/>
      </c>
      <c r="AD295" s="48" t="str">
        <f t="shared" si="21"/>
        <v/>
      </c>
      <c r="AE295" s="48" t="str">
        <f t="shared" si="19"/>
        <v/>
      </c>
    </row>
    <row r="296" spans="1:31" x14ac:dyDescent="0.25">
      <c r="A296" s="2"/>
      <c r="B296" s="2"/>
      <c r="C296" s="2"/>
      <c r="D296" s="2" t="str">
        <f>IF(ISBLANK(C296),"",VLOOKUP(C296,configuration!$G$7:$H$10,2,FALSE))</f>
        <v/>
      </c>
      <c r="E296" s="2"/>
      <c r="F296" s="2"/>
      <c r="G296" s="2"/>
      <c r="H296" s="2" t="str">
        <f>IF(ISBLANK(G296),"",VLOOKUP(G296,configuration!$J$7:$K$10,2,FALSE))</f>
        <v/>
      </c>
      <c r="I296" s="30"/>
      <c r="J296" s="2"/>
      <c r="K296" s="31"/>
      <c r="L296" s="35"/>
      <c r="M296" s="2" t="str">
        <f>IF(ISBLANK(L296),"",VLOOKUP(L296,configuration!$M$7:$N$10,2,FALSE))</f>
        <v/>
      </c>
      <c r="N296" s="30"/>
      <c r="O296" s="2"/>
      <c r="P296" s="31"/>
      <c r="Q296" s="54"/>
      <c r="R296" s="55" t="str">
        <f>IF(ISBLANK(Q296),"",VLOOKUP(Q296,configuration!$P$7:$Q$10,2,FALSE))</f>
        <v/>
      </c>
      <c r="S296" s="56"/>
      <c r="T296" s="55"/>
      <c r="U296" s="78"/>
      <c r="V296" s="76" t="str">
        <f t="shared" si="20"/>
        <v/>
      </c>
      <c r="W296" s="48" t="str">
        <f t="shared" si="20"/>
        <v/>
      </c>
      <c r="X296" s="48" t="str">
        <f t="shared" si="20"/>
        <v/>
      </c>
      <c r="Y296" s="48" t="str">
        <f t="shared" si="20"/>
        <v/>
      </c>
      <c r="Z296" s="49" t="str">
        <f t="shared" si="18"/>
        <v/>
      </c>
      <c r="AA296" s="50" t="str">
        <f t="shared" si="21"/>
        <v/>
      </c>
      <c r="AB296" s="48" t="str">
        <f t="shared" si="21"/>
        <v/>
      </c>
      <c r="AC296" s="48" t="str">
        <f t="shared" si="21"/>
        <v/>
      </c>
      <c r="AD296" s="48" t="str">
        <f t="shared" si="21"/>
        <v/>
      </c>
      <c r="AE296" s="48" t="str">
        <f t="shared" si="19"/>
        <v/>
      </c>
    </row>
    <row r="297" spans="1:31" x14ac:dyDescent="0.25">
      <c r="A297" s="2"/>
      <c r="B297" s="2"/>
      <c r="C297" s="2"/>
      <c r="D297" s="2" t="str">
        <f>IF(ISBLANK(C297),"",VLOOKUP(C297,configuration!$G$7:$H$10,2,FALSE))</f>
        <v/>
      </c>
      <c r="E297" s="2"/>
      <c r="F297" s="2"/>
      <c r="G297" s="2"/>
      <c r="H297" s="2" t="str">
        <f>IF(ISBLANK(G297),"",VLOOKUP(G297,configuration!$J$7:$K$10,2,FALSE))</f>
        <v/>
      </c>
      <c r="I297" s="30"/>
      <c r="J297" s="2"/>
      <c r="K297" s="31"/>
      <c r="L297" s="35"/>
      <c r="M297" s="2" t="str">
        <f>IF(ISBLANK(L297),"",VLOOKUP(L297,configuration!$M$7:$N$10,2,FALSE))</f>
        <v/>
      </c>
      <c r="N297" s="30"/>
      <c r="O297" s="2"/>
      <c r="P297" s="31"/>
      <c r="Q297" s="54"/>
      <c r="R297" s="55" t="str">
        <f>IF(ISBLANK(Q297),"",VLOOKUP(Q297,configuration!$P$7:$Q$10,2,FALSE))</f>
        <v/>
      </c>
      <c r="S297" s="56"/>
      <c r="T297" s="55"/>
      <c r="U297" s="78"/>
      <c r="V297" s="76" t="str">
        <f t="shared" si="20"/>
        <v/>
      </c>
      <c r="W297" s="48" t="str">
        <f t="shared" si="20"/>
        <v/>
      </c>
      <c r="X297" s="48" t="str">
        <f t="shared" si="20"/>
        <v/>
      </c>
      <c r="Y297" s="48" t="str">
        <f t="shared" si="20"/>
        <v/>
      </c>
      <c r="Z297" s="49" t="str">
        <f t="shared" si="18"/>
        <v/>
      </c>
      <c r="AA297" s="50" t="str">
        <f t="shared" si="21"/>
        <v/>
      </c>
      <c r="AB297" s="48" t="str">
        <f t="shared" si="21"/>
        <v/>
      </c>
      <c r="AC297" s="48" t="str">
        <f t="shared" si="21"/>
        <v/>
      </c>
      <c r="AD297" s="48" t="str">
        <f t="shared" si="21"/>
        <v/>
      </c>
      <c r="AE297" s="48" t="str">
        <f t="shared" si="19"/>
        <v/>
      </c>
    </row>
    <row r="298" spans="1:31" x14ac:dyDescent="0.25">
      <c r="A298" s="2"/>
      <c r="B298" s="2"/>
      <c r="C298" s="2"/>
      <c r="D298" s="2" t="str">
        <f>IF(ISBLANK(C298),"",VLOOKUP(C298,configuration!$G$7:$H$10,2,FALSE))</f>
        <v/>
      </c>
      <c r="E298" s="2"/>
      <c r="F298" s="2"/>
      <c r="G298" s="2"/>
      <c r="H298" s="2" t="str">
        <f>IF(ISBLANK(G298),"",VLOOKUP(G298,configuration!$J$7:$K$10,2,FALSE))</f>
        <v/>
      </c>
      <c r="I298" s="30"/>
      <c r="J298" s="2"/>
      <c r="K298" s="31"/>
      <c r="L298" s="35"/>
      <c r="M298" s="2" t="str">
        <f>IF(ISBLANK(L298),"",VLOOKUP(L298,configuration!$M$7:$N$10,2,FALSE))</f>
        <v/>
      </c>
      <c r="N298" s="30"/>
      <c r="O298" s="2"/>
      <c r="P298" s="31"/>
      <c r="Q298" s="54"/>
      <c r="R298" s="55" t="str">
        <f>IF(ISBLANK(Q298),"",VLOOKUP(Q298,configuration!$P$7:$Q$10,2,FALSE))</f>
        <v/>
      </c>
      <c r="S298" s="56"/>
      <c r="T298" s="55"/>
      <c r="U298" s="78"/>
      <c r="V298" s="76" t="str">
        <f t="shared" si="20"/>
        <v/>
      </c>
      <c r="W298" s="48" t="str">
        <f t="shared" si="20"/>
        <v/>
      </c>
      <c r="X298" s="48" t="str">
        <f t="shared" si="20"/>
        <v/>
      </c>
      <c r="Y298" s="48" t="str">
        <f t="shared" si="20"/>
        <v/>
      </c>
      <c r="Z298" s="49" t="str">
        <f t="shared" si="18"/>
        <v/>
      </c>
      <c r="AA298" s="50" t="str">
        <f t="shared" si="21"/>
        <v/>
      </c>
      <c r="AB298" s="48" t="str">
        <f t="shared" si="21"/>
        <v/>
      </c>
      <c r="AC298" s="48" t="str">
        <f t="shared" si="21"/>
        <v/>
      </c>
      <c r="AD298" s="48" t="str">
        <f t="shared" si="21"/>
        <v/>
      </c>
      <c r="AE298" s="48" t="str">
        <f t="shared" si="19"/>
        <v/>
      </c>
    </row>
    <row r="299" spans="1:31" x14ac:dyDescent="0.25">
      <c r="A299" s="2"/>
      <c r="B299" s="2"/>
      <c r="C299" s="2"/>
      <c r="D299" s="2" t="str">
        <f>IF(ISBLANK(C299),"",VLOOKUP(C299,configuration!$G$7:$H$10,2,FALSE))</f>
        <v/>
      </c>
      <c r="E299" s="2"/>
      <c r="F299" s="2"/>
      <c r="G299" s="2"/>
      <c r="H299" s="2" t="str">
        <f>IF(ISBLANK(G299),"",VLOOKUP(G299,configuration!$J$7:$K$10,2,FALSE))</f>
        <v/>
      </c>
      <c r="I299" s="30"/>
      <c r="J299" s="2"/>
      <c r="K299" s="31"/>
      <c r="L299" s="35"/>
      <c r="M299" s="2" t="str">
        <f>IF(ISBLANK(L299),"",VLOOKUP(L299,configuration!$M$7:$N$10,2,FALSE))</f>
        <v/>
      </c>
      <c r="N299" s="30"/>
      <c r="O299" s="2"/>
      <c r="P299" s="31"/>
      <c r="Q299" s="54"/>
      <c r="R299" s="55" t="str">
        <f>IF(ISBLANK(Q299),"",VLOOKUP(Q299,configuration!$P$7:$Q$10,2,FALSE))</f>
        <v/>
      </c>
      <c r="S299" s="56"/>
      <c r="T299" s="55"/>
      <c r="U299" s="78"/>
      <c r="V299" s="76" t="str">
        <f t="shared" si="20"/>
        <v/>
      </c>
      <c r="W299" s="48" t="str">
        <f t="shared" si="20"/>
        <v/>
      </c>
      <c r="X299" s="48" t="str">
        <f t="shared" si="20"/>
        <v/>
      </c>
      <c r="Y299" s="48" t="str">
        <f t="shared" si="20"/>
        <v/>
      </c>
      <c r="Z299" s="49" t="str">
        <f t="shared" si="18"/>
        <v/>
      </c>
      <c r="AA299" s="50" t="str">
        <f t="shared" si="21"/>
        <v/>
      </c>
      <c r="AB299" s="48" t="str">
        <f t="shared" si="21"/>
        <v/>
      </c>
      <c r="AC299" s="48" t="str">
        <f t="shared" si="21"/>
        <v/>
      </c>
      <c r="AD299" s="48" t="str">
        <f t="shared" si="21"/>
        <v/>
      </c>
      <c r="AE299" s="48" t="str">
        <f t="shared" si="19"/>
        <v/>
      </c>
    </row>
    <row r="300" spans="1:31" x14ac:dyDescent="0.25">
      <c r="A300" s="2"/>
      <c r="B300" s="2"/>
      <c r="C300" s="2"/>
      <c r="D300" s="2" t="str">
        <f>IF(ISBLANK(C300),"",VLOOKUP(C300,configuration!$G$7:$H$10,2,FALSE))</f>
        <v/>
      </c>
      <c r="E300" s="2"/>
      <c r="F300" s="2"/>
      <c r="G300" s="2"/>
      <c r="H300" s="2" t="str">
        <f>IF(ISBLANK(G300),"",VLOOKUP(G300,configuration!$J$7:$K$10,2,FALSE))</f>
        <v/>
      </c>
      <c r="I300" s="30"/>
      <c r="J300" s="2"/>
      <c r="K300" s="31"/>
      <c r="L300" s="35"/>
      <c r="M300" s="2" t="str">
        <f>IF(ISBLANK(L300),"",VLOOKUP(L300,configuration!$M$7:$N$10,2,FALSE))</f>
        <v/>
      </c>
      <c r="N300" s="30"/>
      <c r="O300" s="2"/>
      <c r="P300" s="31"/>
      <c r="Q300" s="54"/>
      <c r="R300" s="55" t="str">
        <f>IF(ISBLANK(Q300),"",VLOOKUP(Q300,configuration!$P$7:$Q$10,2,FALSE))</f>
        <v/>
      </c>
      <c r="S300" s="56"/>
      <c r="T300" s="55"/>
      <c r="U300" s="78"/>
      <c r="V300" s="76" t="str">
        <f t="shared" si="20"/>
        <v/>
      </c>
      <c r="W300" s="48" t="str">
        <f t="shared" si="20"/>
        <v/>
      </c>
      <c r="X300" s="48" t="str">
        <f t="shared" si="20"/>
        <v/>
      </c>
      <c r="Y300" s="48" t="str">
        <f t="shared" si="20"/>
        <v/>
      </c>
      <c r="Z300" s="49" t="str">
        <f t="shared" si="18"/>
        <v/>
      </c>
      <c r="AA300" s="50" t="str">
        <f t="shared" si="21"/>
        <v/>
      </c>
      <c r="AB300" s="48" t="str">
        <f t="shared" si="21"/>
        <v/>
      </c>
      <c r="AC300" s="48" t="str">
        <f t="shared" si="21"/>
        <v/>
      </c>
      <c r="AD300" s="48" t="str">
        <f t="shared" si="21"/>
        <v/>
      </c>
      <c r="AE300" s="48" t="str">
        <f t="shared" si="19"/>
        <v/>
      </c>
    </row>
    <row r="301" spans="1:31" x14ac:dyDescent="0.25">
      <c r="A301" s="2"/>
      <c r="B301" s="2"/>
      <c r="C301" s="2"/>
      <c r="D301" s="2" t="str">
        <f>IF(ISBLANK(C301),"",VLOOKUP(C301,configuration!$G$7:$H$10,2,FALSE))</f>
        <v/>
      </c>
      <c r="E301" s="2"/>
      <c r="F301" s="2"/>
      <c r="G301" s="2"/>
      <c r="H301" s="2" t="str">
        <f>IF(ISBLANK(G301),"",VLOOKUP(G301,configuration!$J$7:$K$10,2,FALSE))</f>
        <v/>
      </c>
      <c r="I301" s="30"/>
      <c r="J301" s="2"/>
      <c r="K301" s="31"/>
      <c r="L301" s="35"/>
      <c r="M301" s="2" t="str">
        <f>IF(ISBLANK(L301),"",VLOOKUP(L301,configuration!$M$7:$N$10,2,FALSE))</f>
        <v/>
      </c>
      <c r="N301" s="30"/>
      <c r="O301" s="2"/>
      <c r="P301" s="31"/>
      <c r="Q301" s="54"/>
      <c r="R301" s="55" t="str">
        <f>IF(ISBLANK(Q301),"",VLOOKUP(Q301,configuration!$P$7:$Q$10,2,FALSE))</f>
        <v/>
      </c>
      <c r="S301" s="56"/>
      <c r="T301" s="55"/>
      <c r="U301" s="78"/>
      <c r="V301" s="76" t="str">
        <f t="shared" si="20"/>
        <v/>
      </c>
      <c r="W301" s="48" t="str">
        <f t="shared" si="20"/>
        <v/>
      </c>
      <c r="X301" s="48" t="str">
        <f t="shared" si="20"/>
        <v/>
      </c>
      <c r="Y301" s="48" t="str">
        <f t="shared" si="20"/>
        <v/>
      </c>
      <c r="Z301" s="49" t="str">
        <f t="shared" si="18"/>
        <v/>
      </c>
      <c r="AA301" s="50" t="str">
        <f t="shared" si="21"/>
        <v/>
      </c>
      <c r="AB301" s="48" t="str">
        <f t="shared" si="21"/>
        <v/>
      </c>
      <c r="AC301" s="48" t="str">
        <f t="shared" si="21"/>
        <v/>
      </c>
      <c r="AD301" s="48" t="str">
        <f t="shared" si="21"/>
        <v/>
      </c>
      <c r="AE301" s="48" t="str">
        <f t="shared" si="19"/>
        <v/>
      </c>
    </row>
    <row r="302" spans="1:31" x14ac:dyDescent="0.25">
      <c r="A302" s="2"/>
      <c r="B302" s="2"/>
      <c r="C302" s="2"/>
      <c r="D302" s="2" t="str">
        <f>IF(ISBLANK(C302),"",VLOOKUP(C302,configuration!$G$7:$H$10,2,FALSE))</f>
        <v/>
      </c>
      <c r="E302" s="2"/>
      <c r="F302" s="2"/>
      <c r="G302" s="2"/>
      <c r="H302" s="2" t="str">
        <f>IF(ISBLANK(G302),"",VLOOKUP(G302,configuration!$J$7:$K$10,2,FALSE))</f>
        <v/>
      </c>
      <c r="I302" s="30"/>
      <c r="J302" s="2"/>
      <c r="K302" s="31"/>
      <c r="L302" s="35"/>
      <c r="M302" s="2" t="str">
        <f>IF(ISBLANK(L302),"",VLOOKUP(L302,configuration!$M$7:$N$10,2,FALSE))</f>
        <v/>
      </c>
      <c r="N302" s="30"/>
      <c r="O302" s="2"/>
      <c r="P302" s="31"/>
      <c r="Q302" s="54"/>
      <c r="R302" s="55" t="str">
        <f>IF(ISBLANK(Q302),"",VLOOKUP(Q302,configuration!$P$7:$Q$10,2,FALSE))</f>
        <v/>
      </c>
      <c r="S302" s="56"/>
      <c r="T302" s="55"/>
      <c r="U302" s="78"/>
      <c r="V302" s="76" t="str">
        <f t="shared" si="20"/>
        <v/>
      </c>
      <c r="W302" s="48" t="str">
        <f t="shared" si="20"/>
        <v/>
      </c>
      <c r="X302" s="48" t="str">
        <f t="shared" si="20"/>
        <v/>
      </c>
      <c r="Y302" s="48" t="str">
        <f t="shared" si="20"/>
        <v/>
      </c>
      <c r="Z302" s="49" t="str">
        <f t="shared" si="18"/>
        <v/>
      </c>
      <c r="AA302" s="50" t="str">
        <f t="shared" si="21"/>
        <v/>
      </c>
      <c r="AB302" s="48" t="str">
        <f t="shared" si="21"/>
        <v/>
      </c>
      <c r="AC302" s="48" t="str">
        <f t="shared" si="21"/>
        <v/>
      </c>
      <c r="AD302" s="48" t="str">
        <f t="shared" si="21"/>
        <v/>
      </c>
      <c r="AE302" s="48" t="str">
        <f t="shared" si="19"/>
        <v/>
      </c>
    </row>
    <row r="303" spans="1:31" x14ac:dyDescent="0.25">
      <c r="A303" s="2"/>
      <c r="B303" s="2"/>
      <c r="C303" s="2"/>
      <c r="D303" s="2" t="str">
        <f>IF(ISBLANK(C303),"",VLOOKUP(C303,configuration!$G$7:$H$10,2,FALSE))</f>
        <v/>
      </c>
      <c r="E303" s="2"/>
      <c r="F303" s="2"/>
      <c r="G303" s="2"/>
      <c r="H303" s="2" t="str">
        <f>IF(ISBLANK(G303),"",VLOOKUP(G303,configuration!$J$7:$K$10,2,FALSE))</f>
        <v/>
      </c>
      <c r="I303" s="30"/>
      <c r="J303" s="2"/>
      <c r="K303" s="31"/>
      <c r="L303" s="35"/>
      <c r="M303" s="2" t="str">
        <f>IF(ISBLANK(L303),"",VLOOKUP(L303,configuration!$M$7:$N$10,2,FALSE))</f>
        <v/>
      </c>
      <c r="N303" s="30"/>
      <c r="O303" s="2"/>
      <c r="P303" s="31"/>
      <c r="Q303" s="54"/>
      <c r="R303" s="55" t="str">
        <f>IF(ISBLANK(Q303),"",VLOOKUP(Q303,configuration!$P$7:$Q$10,2,FALSE))</f>
        <v/>
      </c>
      <c r="S303" s="56"/>
      <c r="T303" s="55"/>
      <c r="U303" s="78"/>
      <c r="V303" s="76" t="str">
        <f t="shared" si="20"/>
        <v/>
      </c>
      <c r="W303" s="48" t="str">
        <f t="shared" si="20"/>
        <v/>
      </c>
      <c r="X303" s="48" t="str">
        <f t="shared" si="20"/>
        <v/>
      </c>
      <c r="Y303" s="48" t="str">
        <f t="shared" si="20"/>
        <v/>
      </c>
      <c r="Z303" s="49" t="str">
        <f t="shared" si="18"/>
        <v/>
      </c>
      <c r="AA303" s="50" t="str">
        <f t="shared" si="21"/>
        <v/>
      </c>
      <c r="AB303" s="48" t="str">
        <f t="shared" si="21"/>
        <v/>
      </c>
      <c r="AC303" s="48" t="str">
        <f t="shared" si="21"/>
        <v/>
      </c>
      <c r="AD303" s="48" t="str">
        <f t="shared" si="21"/>
        <v/>
      </c>
      <c r="AE303" s="48" t="str">
        <f t="shared" si="19"/>
        <v/>
      </c>
    </row>
    <row r="304" spans="1:31" x14ac:dyDescent="0.25">
      <c r="A304" s="2"/>
      <c r="B304" s="2"/>
      <c r="C304" s="2"/>
      <c r="D304" s="2" t="str">
        <f>IF(ISBLANK(C304),"",VLOOKUP(C304,configuration!$G$7:$H$10,2,FALSE))</f>
        <v/>
      </c>
      <c r="E304" s="2"/>
      <c r="F304" s="2"/>
      <c r="G304" s="2"/>
      <c r="H304" s="2" t="str">
        <f>IF(ISBLANK(G304),"",VLOOKUP(G304,configuration!$J$7:$K$10,2,FALSE))</f>
        <v/>
      </c>
      <c r="I304" s="30"/>
      <c r="J304" s="2"/>
      <c r="K304" s="31"/>
      <c r="L304" s="35"/>
      <c r="M304" s="2" t="str">
        <f>IF(ISBLANK(L304),"",VLOOKUP(L304,configuration!$M$7:$N$10,2,FALSE))</f>
        <v/>
      </c>
      <c r="N304" s="30"/>
      <c r="O304" s="2"/>
      <c r="P304" s="31"/>
      <c r="Q304" s="54"/>
      <c r="R304" s="55" t="str">
        <f>IF(ISBLANK(Q304),"",VLOOKUP(Q304,configuration!$P$7:$Q$10,2,FALSE))</f>
        <v/>
      </c>
      <c r="S304" s="56"/>
      <c r="T304" s="55"/>
      <c r="U304" s="78"/>
      <c r="V304" s="76" t="str">
        <f t="shared" si="20"/>
        <v/>
      </c>
      <c r="W304" s="48" t="str">
        <f t="shared" si="20"/>
        <v/>
      </c>
      <c r="X304" s="48" t="str">
        <f t="shared" si="20"/>
        <v/>
      </c>
      <c r="Y304" s="48" t="str">
        <f t="shared" si="20"/>
        <v/>
      </c>
      <c r="Z304" s="49" t="str">
        <f t="shared" si="18"/>
        <v/>
      </c>
      <c r="AA304" s="50" t="str">
        <f t="shared" si="21"/>
        <v/>
      </c>
      <c r="AB304" s="48" t="str">
        <f t="shared" si="21"/>
        <v/>
      </c>
      <c r="AC304" s="48" t="str">
        <f t="shared" si="21"/>
        <v/>
      </c>
      <c r="AD304" s="48" t="str">
        <f t="shared" si="21"/>
        <v/>
      </c>
      <c r="AE304" s="48" t="str">
        <f t="shared" si="19"/>
        <v/>
      </c>
    </row>
    <row r="305" spans="1:31" x14ac:dyDescent="0.25">
      <c r="A305" s="2"/>
      <c r="B305" s="2"/>
      <c r="C305" s="2"/>
      <c r="D305" s="2" t="str">
        <f>IF(ISBLANK(C305),"",VLOOKUP(C305,configuration!$G$7:$H$10,2,FALSE))</f>
        <v/>
      </c>
      <c r="E305" s="2"/>
      <c r="F305" s="2"/>
      <c r="G305" s="2"/>
      <c r="H305" s="2" t="str">
        <f>IF(ISBLANK(G305),"",VLOOKUP(G305,configuration!$J$7:$K$10,2,FALSE))</f>
        <v/>
      </c>
      <c r="I305" s="30"/>
      <c r="J305" s="2"/>
      <c r="K305" s="31"/>
      <c r="L305" s="35"/>
      <c r="M305" s="2" t="str">
        <f>IF(ISBLANK(L305),"",VLOOKUP(L305,configuration!$M$7:$N$10,2,FALSE))</f>
        <v/>
      </c>
      <c r="N305" s="30"/>
      <c r="O305" s="2"/>
      <c r="P305" s="31"/>
      <c r="Q305" s="54"/>
      <c r="R305" s="55" t="str">
        <f>IF(ISBLANK(Q305),"",VLOOKUP(Q305,configuration!$P$7:$Q$10,2,FALSE))</f>
        <v/>
      </c>
      <c r="S305" s="56"/>
      <c r="T305" s="55"/>
      <c r="U305" s="78"/>
      <c r="V305" s="76" t="str">
        <f t="shared" si="20"/>
        <v/>
      </c>
      <c r="W305" s="48" t="str">
        <f t="shared" si="20"/>
        <v/>
      </c>
      <c r="X305" s="48" t="str">
        <f t="shared" si="20"/>
        <v/>
      </c>
      <c r="Y305" s="48" t="str">
        <f t="shared" si="20"/>
        <v/>
      </c>
      <c r="Z305" s="49" t="str">
        <f t="shared" si="18"/>
        <v/>
      </c>
      <c r="AA305" s="50" t="str">
        <f t="shared" si="21"/>
        <v/>
      </c>
      <c r="AB305" s="48" t="str">
        <f t="shared" si="21"/>
        <v/>
      </c>
      <c r="AC305" s="48" t="str">
        <f t="shared" si="21"/>
        <v/>
      </c>
      <c r="AD305" s="48" t="str">
        <f t="shared" si="21"/>
        <v/>
      </c>
      <c r="AE305" s="48" t="str">
        <f t="shared" si="19"/>
        <v/>
      </c>
    </row>
    <row r="306" spans="1:31" x14ac:dyDescent="0.25">
      <c r="A306" s="2"/>
      <c r="B306" s="2"/>
      <c r="C306" s="2"/>
      <c r="D306" s="2" t="str">
        <f>IF(ISBLANK(C306),"",VLOOKUP(C306,configuration!$G$7:$H$10,2,FALSE))</f>
        <v/>
      </c>
      <c r="E306" s="2"/>
      <c r="F306" s="2"/>
      <c r="G306" s="2"/>
      <c r="H306" s="2" t="str">
        <f>IF(ISBLANK(G306),"",VLOOKUP(G306,configuration!$J$7:$K$10,2,FALSE))</f>
        <v/>
      </c>
      <c r="I306" s="30"/>
      <c r="J306" s="2"/>
      <c r="K306" s="31"/>
      <c r="L306" s="35"/>
      <c r="M306" s="2" t="str">
        <f>IF(ISBLANK(L306),"",VLOOKUP(L306,configuration!$M$7:$N$10,2,FALSE))</f>
        <v/>
      </c>
      <c r="N306" s="30"/>
      <c r="O306" s="2"/>
      <c r="P306" s="31"/>
      <c r="Q306" s="54"/>
      <c r="R306" s="55" t="str">
        <f>IF(ISBLANK(Q306),"",VLOOKUP(Q306,configuration!$P$7:$Q$10,2,FALSE))</f>
        <v/>
      </c>
      <c r="S306" s="56"/>
      <c r="T306" s="55"/>
      <c r="U306" s="78"/>
      <c r="V306" s="76" t="str">
        <f t="shared" si="20"/>
        <v/>
      </c>
      <c r="W306" s="48" t="str">
        <f t="shared" si="20"/>
        <v/>
      </c>
      <c r="X306" s="48" t="str">
        <f t="shared" si="20"/>
        <v/>
      </c>
      <c r="Y306" s="48" t="str">
        <f t="shared" si="20"/>
        <v/>
      </c>
      <c r="Z306" s="49" t="str">
        <f t="shared" si="18"/>
        <v/>
      </c>
      <c r="AA306" s="50" t="str">
        <f t="shared" si="21"/>
        <v/>
      </c>
      <c r="AB306" s="48" t="str">
        <f t="shared" si="21"/>
        <v/>
      </c>
      <c r="AC306" s="48" t="str">
        <f t="shared" si="21"/>
        <v/>
      </c>
      <c r="AD306" s="48" t="str">
        <f t="shared" si="21"/>
        <v/>
      </c>
      <c r="AE306" s="48" t="str">
        <f t="shared" si="19"/>
        <v/>
      </c>
    </row>
    <row r="307" spans="1:31" x14ac:dyDescent="0.25">
      <c r="A307" s="2"/>
      <c r="B307" s="2"/>
      <c r="C307" s="2"/>
      <c r="D307" s="2" t="str">
        <f>IF(ISBLANK(C307),"",VLOOKUP(C307,configuration!$G$7:$H$10,2,FALSE))</f>
        <v/>
      </c>
      <c r="E307" s="2"/>
      <c r="F307" s="2"/>
      <c r="G307" s="2"/>
      <c r="H307" s="2" t="str">
        <f>IF(ISBLANK(G307),"",VLOOKUP(G307,configuration!$J$7:$K$10,2,FALSE))</f>
        <v/>
      </c>
      <c r="I307" s="30"/>
      <c r="J307" s="2"/>
      <c r="K307" s="31"/>
      <c r="L307" s="35"/>
      <c r="M307" s="2" t="str">
        <f>IF(ISBLANK(L307),"",VLOOKUP(L307,configuration!$M$7:$N$10,2,FALSE))</f>
        <v/>
      </c>
      <c r="N307" s="30"/>
      <c r="O307" s="2"/>
      <c r="P307" s="31"/>
      <c r="Q307" s="54"/>
      <c r="R307" s="55" t="str">
        <f>IF(ISBLANK(Q307),"",VLOOKUP(Q307,configuration!$P$7:$Q$10,2,FALSE))</f>
        <v/>
      </c>
      <c r="S307" s="56"/>
      <c r="T307" s="55"/>
      <c r="U307" s="78"/>
      <c r="V307" s="76" t="str">
        <f t="shared" si="20"/>
        <v/>
      </c>
      <c r="W307" s="48" t="str">
        <f t="shared" si="20"/>
        <v/>
      </c>
      <c r="X307" s="48" t="str">
        <f t="shared" si="20"/>
        <v/>
      </c>
      <c r="Y307" s="48" t="str">
        <f t="shared" si="20"/>
        <v/>
      </c>
      <c r="Z307" s="49" t="str">
        <f t="shared" si="18"/>
        <v/>
      </c>
      <c r="AA307" s="50" t="str">
        <f t="shared" si="21"/>
        <v/>
      </c>
      <c r="AB307" s="48" t="str">
        <f t="shared" si="21"/>
        <v/>
      </c>
      <c r="AC307" s="48" t="str">
        <f t="shared" si="21"/>
        <v/>
      </c>
      <c r="AD307" s="48" t="str">
        <f t="shared" si="21"/>
        <v/>
      </c>
      <c r="AE307" s="48" t="str">
        <f t="shared" si="19"/>
        <v/>
      </c>
    </row>
    <row r="308" spans="1:31" x14ac:dyDescent="0.25">
      <c r="A308" s="2"/>
      <c r="B308" s="2"/>
      <c r="C308" s="2"/>
      <c r="D308" s="2" t="str">
        <f>IF(ISBLANK(C308),"",VLOOKUP(C308,configuration!$G$7:$H$10,2,FALSE))</f>
        <v/>
      </c>
      <c r="E308" s="2"/>
      <c r="F308" s="2"/>
      <c r="G308" s="2"/>
      <c r="H308" s="2" t="str">
        <f>IF(ISBLANK(G308),"",VLOOKUP(G308,configuration!$J$7:$K$10,2,FALSE))</f>
        <v/>
      </c>
      <c r="I308" s="30"/>
      <c r="J308" s="2"/>
      <c r="K308" s="31"/>
      <c r="L308" s="35"/>
      <c r="M308" s="2" t="str">
        <f>IF(ISBLANK(L308),"",VLOOKUP(L308,configuration!$M$7:$N$10,2,FALSE))</f>
        <v/>
      </c>
      <c r="N308" s="30"/>
      <c r="O308" s="2"/>
      <c r="P308" s="31"/>
      <c r="Q308" s="54"/>
      <c r="R308" s="55" t="str">
        <f>IF(ISBLANK(Q308),"",VLOOKUP(Q308,configuration!$P$7:$Q$10,2,FALSE))</f>
        <v/>
      </c>
      <c r="S308" s="56"/>
      <c r="T308" s="55"/>
      <c r="U308" s="78"/>
      <c r="V308" s="76" t="str">
        <f t="shared" si="20"/>
        <v/>
      </c>
      <c r="W308" s="48" t="str">
        <f t="shared" si="20"/>
        <v/>
      </c>
      <c r="X308" s="48" t="str">
        <f t="shared" si="20"/>
        <v/>
      </c>
      <c r="Y308" s="48" t="str">
        <f t="shared" si="20"/>
        <v/>
      </c>
      <c r="Z308" s="49" t="str">
        <f t="shared" si="18"/>
        <v/>
      </c>
      <c r="AA308" s="50" t="str">
        <f t="shared" si="21"/>
        <v/>
      </c>
      <c r="AB308" s="48" t="str">
        <f t="shared" si="21"/>
        <v/>
      </c>
      <c r="AC308" s="48" t="str">
        <f t="shared" si="21"/>
        <v/>
      </c>
      <c r="AD308" s="48" t="str">
        <f t="shared" si="21"/>
        <v/>
      </c>
      <c r="AE308" s="48" t="str">
        <f t="shared" si="19"/>
        <v/>
      </c>
    </row>
    <row r="309" spans="1:31" x14ac:dyDescent="0.25">
      <c r="A309" s="2"/>
      <c r="B309" s="2"/>
      <c r="C309" s="2"/>
      <c r="D309" s="2" t="str">
        <f>IF(ISBLANK(C309),"",VLOOKUP(C309,configuration!$G$7:$H$10,2,FALSE))</f>
        <v/>
      </c>
      <c r="E309" s="2"/>
      <c r="F309" s="2"/>
      <c r="G309" s="2"/>
      <c r="H309" s="2" t="str">
        <f>IF(ISBLANK(G309),"",VLOOKUP(G309,configuration!$J$7:$K$10,2,FALSE))</f>
        <v/>
      </c>
      <c r="I309" s="30"/>
      <c r="J309" s="2"/>
      <c r="K309" s="31"/>
      <c r="L309" s="35"/>
      <c r="M309" s="2" t="str">
        <f>IF(ISBLANK(L309),"",VLOOKUP(L309,configuration!$M$7:$N$10,2,FALSE))</f>
        <v/>
      </c>
      <c r="N309" s="30"/>
      <c r="O309" s="2"/>
      <c r="P309" s="31"/>
      <c r="Q309" s="54"/>
      <c r="R309" s="55" t="str">
        <f>IF(ISBLANK(Q309),"",VLOOKUP(Q309,configuration!$P$7:$Q$10,2,FALSE))</f>
        <v/>
      </c>
      <c r="S309" s="56"/>
      <c r="T309" s="55"/>
      <c r="U309" s="78"/>
      <c r="V309" s="76" t="str">
        <f t="shared" si="20"/>
        <v/>
      </c>
      <c r="W309" s="48" t="str">
        <f t="shared" si="20"/>
        <v/>
      </c>
      <c r="X309" s="48" t="str">
        <f t="shared" si="20"/>
        <v/>
      </c>
      <c r="Y309" s="48" t="str">
        <f t="shared" si="20"/>
        <v/>
      </c>
      <c r="Z309" s="49" t="str">
        <f t="shared" si="18"/>
        <v/>
      </c>
      <c r="AA309" s="50" t="str">
        <f t="shared" si="21"/>
        <v/>
      </c>
      <c r="AB309" s="48" t="str">
        <f t="shared" si="21"/>
        <v/>
      </c>
      <c r="AC309" s="48" t="str">
        <f t="shared" si="21"/>
        <v/>
      </c>
      <c r="AD309" s="48" t="str">
        <f t="shared" si="21"/>
        <v/>
      </c>
      <c r="AE309" s="48" t="str">
        <f t="shared" si="19"/>
        <v/>
      </c>
    </row>
    <row r="310" spans="1:31" x14ac:dyDescent="0.25">
      <c r="A310" s="2"/>
      <c r="B310" s="2"/>
      <c r="C310" s="2"/>
      <c r="D310" s="2" t="str">
        <f>IF(ISBLANK(C310),"",VLOOKUP(C310,configuration!$G$7:$H$10,2,FALSE))</f>
        <v/>
      </c>
      <c r="E310" s="2"/>
      <c r="F310" s="2"/>
      <c r="G310" s="2"/>
      <c r="H310" s="2" t="str">
        <f>IF(ISBLANK(G310),"",VLOOKUP(G310,configuration!$J$7:$K$10,2,FALSE))</f>
        <v/>
      </c>
      <c r="I310" s="30"/>
      <c r="J310" s="2"/>
      <c r="K310" s="31"/>
      <c r="L310" s="35"/>
      <c r="M310" s="2" t="str">
        <f>IF(ISBLANK(L310),"",VLOOKUP(L310,configuration!$M$7:$N$10,2,FALSE))</f>
        <v/>
      </c>
      <c r="N310" s="30"/>
      <c r="O310" s="2"/>
      <c r="P310" s="31"/>
      <c r="Q310" s="54"/>
      <c r="R310" s="55" t="str">
        <f>IF(ISBLANK(Q310),"",VLOOKUP(Q310,configuration!$P$7:$Q$10,2,FALSE))</f>
        <v/>
      </c>
      <c r="S310" s="56"/>
      <c r="T310" s="55"/>
      <c r="U310" s="78"/>
      <c r="V310" s="76" t="str">
        <f t="shared" si="20"/>
        <v/>
      </c>
      <c r="W310" s="48" t="str">
        <f t="shared" si="20"/>
        <v/>
      </c>
      <c r="X310" s="48" t="str">
        <f t="shared" si="20"/>
        <v/>
      </c>
      <c r="Y310" s="48" t="str">
        <f t="shared" si="20"/>
        <v/>
      </c>
      <c r="Z310" s="49" t="str">
        <f t="shared" si="18"/>
        <v/>
      </c>
      <c r="AA310" s="50" t="str">
        <f t="shared" si="21"/>
        <v/>
      </c>
      <c r="AB310" s="48" t="str">
        <f t="shared" si="21"/>
        <v/>
      </c>
      <c r="AC310" s="48" t="str">
        <f t="shared" si="21"/>
        <v/>
      </c>
      <c r="AD310" s="48" t="str">
        <f t="shared" si="21"/>
        <v/>
      </c>
      <c r="AE310" s="48" t="str">
        <f t="shared" si="19"/>
        <v/>
      </c>
    </row>
    <row r="311" spans="1:31" x14ac:dyDescent="0.25">
      <c r="A311" s="2"/>
      <c r="B311" s="2"/>
      <c r="C311" s="2"/>
      <c r="D311" s="2" t="str">
        <f>IF(ISBLANK(C311),"",VLOOKUP(C311,configuration!$G$7:$H$10,2,FALSE))</f>
        <v/>
      </c>
      <c r="E311" s="2"/>
      <c r="F311" s="2"/>
      <c r="G311" s="2"/>
      <c r="H311" s="2" t="str">
        <f>IF(ISBLANK(G311),"",VLOOKUP(G311,configuration!$J$7:$K$10,2,FALSE))</f>
        <v/>
      </c>
      <c r="I311" s="30"/>
      <c r="J311" s="2"/>
      <c r="K311" s="31"/>
      <c r="L311" s="35"/>
      <c r="M311" s="2" t="str">
        <f>IF(ISBLANK(L311),"",VLOOKUP(L311,configuration!$M$7:$N$10,2,FALSE))</f>
        <v/>
      </c>
      <c r="N311" s="30"/>
      <c r="O311" s="2"/>
      <c r="P311" s="31"/>
      <c r="Q311" s="54"/>
      <c r="R311" s="55" t="str">
        <f>IF(ISBLANK(Q311),"",VLOOKUP(Q311,configuration!$P$7:$Q$10,2,FALSE))</f>
        <v/>
      </c>
      <c r="S311" s="56"/>
      <c r="T311" s="55"/>
      <c r="U311" s="78"/>
      <c r="V311" s="76" t="str">
        <f t="shared" si="20"/>
        <v/>
      </c>
      <c r="W311" s="48" t="str">
        <f t="shared" si="20"/>
        <v/>
      </c>
      <c r="X311" s="48" t="str">
        <f t="shared" si="20"/>
        <v/>
      </c>
      <c r="Y311" s="48" t="str">
        <f t="shared" si="20"/>
        <v/>
      </c>
      <c r="Z311" s="49" t="str">
        <f t="shared" si="18"/>
        <v/>
      </c>
      <c r="AA311" s="50" t="str">
        <f t="shared" si="21"/>
        <v/>
      </c>
      <c r="AB311" s="48" t="str">
        <f t="shared" si="21"/>
        <v/>
      </c>
      <c r="AC311" s="48" t="str">
        <f t="shared" si="21"/>
        <v/>
      </c>
      <c r="AD311" s="48" t="str">
        <f t="shared" si="21"/>
        <v/>
      </c>
      <c r="AE311" s="48" t="str">
        <f t="shared" si="19"/>
        <v/>
      </c>
    </row>
    <row r="312" spans="1:31" x14ac:dyDescent="0.25">
      <c r="A312" s="2"/>
      <c r="B312" s="2"/>
      <c r="C312" s="2"/>
      <c r="D312" s="2" t="str">
        <f>IF(ISBLANK(C312),"",VLOOKUP(C312,configuration!$G$7:$H$10,2,FALSE))</f>
        <v/>
      </c>
      <c r="E312" s="2"/>
      <c r="F312" s="2"/>
      <c r="G312" s="2"/>
      <c r="H312" s="2" t="str">
        <f>IF(ISBLANK(G312),"",VLOOKUP(G312,configuration!$J$7:$K$10,2,FALSE))</f>
        <v/>
      </c>
      <c r="I312" s="30"/>
      <c r="J312" s="2"/>
      <c r="K312" s="31"/>
      <c r="L312" s="35"/>
      <c r="M312" s="2" t="str">
        <f>IF(ISBLANK(L312),"",VLOOKUP(L312,configuration!$M$7:$N$10,2,FALSE))</f>
        <v/>
      </c>
      <c r="N312" s="30"/>
      <c r="O312" s="2"/>
      <c r="P312" s="31"/>
      <c r="Q312" s="54"/>
      <c r="R312" s="55" t="str">
        <f>IF(ISBLANK(Q312),"",VLOOKUP(Q312,configuration!$P$7:$Q$10,2,FALSE))</f>
        <v/>
      </c>
      <c r="S312" s="56"/>
      <c r="T312" s="55"/>
      <c r="U312" s="78"/>
      <c r="V312" s="76" t="str">
        <f t="shared" si="20"/>
        <v/>
      </c>
      <c r="W312" s="48" t="str">
        <f t="shared" si="20"/>
        <v/>
      </c>
      <c r="X312" s="48" t="str">
        <f t="shared" si="20"/>
        <v/>
      </c>
      <c r="Y312" s="48" t="str">
        <f t="shared" si="20"/>
        <v/>
      </c>
      <c r="Z312" s="49" t="str">
        <f t="shared" si="18"/>
        <v/>
      </c>
      <c r="AA312" s="50" t="str">
        <f t="shared" si="21"/>
        <v/>
      </c>
      <c r="AB312" s="48" t="str">
        <f t="shared" si="21"/>
        <v/>
      </c>
      <c r="AC312" s="48" t="str">
        <f t="shared" si="21"/>
        <v/>
      </c>
      <c r="AD312" s="48" t="str">
        <f t="shared" si="21"/>
        <v/>
      </c>
      <c r="AE312" s="48" t="str">
        <f t="shared" si="19"/>
        <v/>
      </c>
    </row>
    <row r="313" spans="1:31" x14ac:dyDescent="0.25">
      <c r="A313" s="2"/>
      <c r="B313" s="2"/>
      <c r="C313" s="2"/>
      <c r="D313" s="2" t="str">
        <f>IF(ISBLANK(C313),"",VLOOKUP(C313,configuration!$G$7:$H$10,2,FALSE))</f>
        <v/>
      </c>
      <c r="E313" s="2"/>
      <c r="F313" s="2"/>
      <c r="G313" s="2"/>
      <c r="H313" s="2" t="str">
        <f>IF(ISBLANK(G313),"",VLOOKUP(G313,configuration!$J$7:$K$10,2,FALSE))</f>
        <v/>
      </c>
      <c r="I313" s="30"/>
      <c r="J313" s="2"/>
      <c r="K313" s="31"/>
      <c r="L313" s="35"/>
      <c r="M313" s="2" t="str">
        <f>IF(ISBLANK(L313),"",VLOOKUP(L313,configuration!$M$7:$N$10,2,FALSE))</f>
        <v/>
      </c>
      <c r="N313" s="30"/>
      <c r="O313" s="2"/>
      <c r="P313" s="31"/>
      <c r="Q313" s="54"/>
      <c r="R313" s="55" t="str">
        <f>IF(ISBLANK(Q313),"",VLOOKUP(Q313,configuration!$P$7:$Q$10,2,FALSE))</f>
        <v/>
      </c>
      <c r="S313" s="56"/>
      <c r="T313" s="55"/>
      <c r="U313" s="78"/>
      <c r="V313" s="76" t="str">
        <f t="shared" si="20"/>
        <v/>
      </c>
      <c r="W313" s="48" t="str">
        <f t="shared" si="20"/>
        <v/>
      </c>
      <c r="X313" s="48" t="str">
        <f t="shared" si="20"/>
        <v/>
      </c>
      <c r="Y313" s="48" t="str">
        <f t="shared" si="20"/>
        <v/>
      </c>
      <c r="Z313" s="49" t="str">
        <f t="shared" si="18"/>
        <v/>
      </c>
      <c r="AA313" s="50" t="str">
        <f t="shared" si="21"/>
        <v/>
      </c>
      <c r="AB313" s="48" t="str">
        <f t="shared" si="21"/>
        <v/>
      </c>
      <c r="AC313" s="48" t="str">
        <f t="shared" si="21"/>
        <v/>
      </c>
      <c r="AD313" s="48" t="str">
        <f t="shared" si="21"/>
        <v/>
      </c>
      <c r="AE313" s="48" t="str">
        <f t="shared" si="19"/>
        <v/>
      </c>
    </row>
    <row r="314" spans="1:31" x14ac:dyDescent="0.25">
      <c r="A314" s="2"/>
      <c r="B314" s="2"/>
      <c r="C314" s="2"/>
      <c r="D314" s="2" t="str">
        <f>IF(ISBLANK(C314),"",VLOOKUP(C314,configuration!$G$7:$H$10,2,FALSE))</f>
        <v/>
      </c>
      <c r="E314" s="2"/>
      <c r="F314" s="2"/>
      <c r="G314" s="2"/>
      <c r="H314" s="2" t="str">
        <f>IF(ISBLANK(G314),"",VLOOKUP(G314,configuration!$J$7:$K$10,2,FALSE))</f>
        <v/>
      </c>
      <c r="I314" s="30"/>
      <c r="J314" s="2"/>
      <c r="K314" s="31"/>
      <c r="L314" s="35"/>
      <c r="M314" s="2" t="str">
        <f>IF(ISBLANK(L314),"",VLOOKUP(L314,configuration!$M$7:$N$10,2,FALSE))</f>
        <v/>
      </c>
      <c r="N314" s="30"/>
      <c r="O314" s="2"/>
      <c r="P314" s="31"/>
      <c r="Q314" s="54"/>
      <c r="R314" s="55" t="str">
        <f>IF(ISBLANK(Q314),"",VLOOKUP(Q314,configuration!$P$7:$Q$10,2,FALSE))</f>
        <v/>
      </c>
      <c r="S314" s="56"/>
      <c r="T314" s="55"/>
      <c r="U314" s="78"/>
      <c r="V314" s="76" t="str">
        <f t="shared" si="20"/>
        <v/>
      </c>
      <c r="W314" s="48" t="str">
        <f t="shared" si="20"/>
        <v/>
      </c>
      <c r="X314" s="48" t="str">
        <f t="shared" si="20"/>
        <v/>
      </c>
      <c r="Y314" s="48" t="str">
        <f t="shared" si="20"/>
        <v/>
      </c>
      <c r="Z314" s="49" t="str">
        <f t="shared" si="18"/>
        <v/>
      </c>
      <c r="AA314" s="50" t="str">
        <f t="shared" si="21"/>
        <v/>
      </c>
      <c r="AB314" s="48" t="str">
        <f t="shared" si="21"/>
        <v/>
      </c>
      <c r="AC314" s="48" t="str">
        <f t="shared" si="21"/>
        <v/>
      </c>
      <c r="AD314" s="48" t="str">
        <f t="shared" si="21"/>
        <v/>
      </c>
      <c r="AE314" s="48" t="str">
        <f t="shared" si="19"/>
        <v/>
      </c>
    </row>
    <row r="315" spans="1:31" x14ac:dyDescent="0.25">
      <c r="A315" s="2"/>
      <c r="B315" s="2"/>
      <c r="C315" s="2"/>
      <c r="D315" s="2" t="str">
        <f>IF(ISBLANK(C315),"",VLOOKUP(C315,configuration!$G$7:$H$10,2,FALSE))</f>
        <v/>
      </c>
      <c r="E315" s="2"/>
      <c r="F315" s="2"/>
      <c r="G315" s="2"/>
      <c r="H315" s="2" t="str">
        <f>IF(ISBLANK(G315),"",VLOOKUP(G315,configuration!$J$7:$K$10,2,FALSE))</f>
        <v/>
      </c>
      <c r="I315" s="30"/>
      <c r="J315" s="2"/>
      <c r="K315" s="31"/>
      <c r="L315" s="35"/>
      <c r="M315" s="2" t="str">
        <f>IF(ISBLANK(L315),"",VLOOKUP(L315,configuration!$M$7:$N$10,2,FALSE))</f>
        <v/>
      </c>
      <c r="N315" s="30"/>
      <c r="O315" s="2"/>
      <c r="P315" s="31"/>
      <c r="Q315" s="54"/>
      <c r="R315" s="55" t="str">
        <f>IF(ISBLANK(Q315),"",VLOOKUP(Q315,configuration!$P$7:$Q$10,2,FALSE))</f>
        <v/>
      </c>
      <c r="S315" s="56"/>
      <c r="T315" s="55"/>
      <c r="U315" s="78"/>
      <c r="V315" s="76" t="str">
        <f t="shared" si="20"/>
        <v/>
      </c>
      <c r="W315" s="48" t="str">
        <f t="shared" si="20"/>
        <v/>
      </c>
      <c r="X315" s="48" t="str">
        <f t="shared" si="20"/>
        <v/>
      </c>
      <c r="Y315" s="48" t="str">
        <f t="shared" si="20"/>
        <v/>
      </c>
      <c r="Z315" s="49" t="str">
        <f t="shared" si="18"/>
        <v/>
      </c>
      <c r="AA315" s="50" t="str">
        <f t="shared" si="21"/>
        <v/>
      </c>
      <c r="AB315" s="48" t="str">
        <f t="shared" si="21"/>
        <v/>
      </c>
      <c r="AC315" s="48" t="str">
        <f t="shared" si="21"/>
        <v/>
      </c>
      <c r="AD315" s="48" t="str">
        <f t="shared" si="21"/>
        <v/>
      </c>
      <c r="AE315" s="48" t="str">
        <f t="shared" si="19"/>
        <v/>
      </c>
    </row>
    <row r="316" spans="1:31" x14ac:dyDescent="0.25">
      <c r="A316" s="2"/>
      <c r="B316" s="2"/>
      <c r="C316" s="2"/>
      <c r="D316" s="2" t="str">
        <f>IF(ISBLANK(C316),"",VLOOKUP(C316,configuration!$G$7:$H$10,2,FALSE))</f>
        <v/>
      </c>
      <c r="E316" s="2"/>
      <c r="F316" s="2"/>
      <c r="G316" s="2"/>
      <c r="H316" s="2" t="str">
        <f>IF(ISBLANK(G316),"",VLOOKUP(G316,configuration!$J$7:$K$10,2,FALSE))</f>
        <v/>
      </c>
      <c r="I316" s="30"/>
      <c r="J316" s="2"/>
      <c r="K316" s="31"/>
      <c r="L316" s="35"/>
      <c r="M316" s="2" t="str">
        <f>IF(ISBLANK(L316),"",VLOOKUP(L316,configuration!$M$7:$N$10,2,FALSE))</f>
        <v/>
      </c>
      <c r="N316" s="30"/>
      <c r="O316" s="2"/>
      <c r="P316" s="31"/>
      <c r="Q316" s="54"/>
      <c r="R316" s="55" t="str">
        <f>IF(ISBLANK(Q316),"",VLOOKUP(Q316,configuration!$P$7:$Q$10,2,FALSE))</f>
        <v/>
      </c>
      <c r="S316" s="56"/>
      <c r="T316" s="55"/>
      <c r="U316" s="78"/>
      <c r="V316" s="76" t="str">
        <f t="shared" si="20"/>
        <v/>
      </c>
      <c r="W316" s="48" t="str">
        <f t="shared" si="20"/>
        <v/>
      </c>
      <c r="X316" s="48" t="str">
        <f t="shared" si="20"/>
        <v/>
      </c>
      <c r="Y316" s="48" t="str">
        <f t="shared" si="20"/>
        <v/>
      </c>
      <c r="Z316" s="49" t="str">
        <f t="shared" si="18"/>
        <v/>
      </c>
      <c r="AA316" s="50" t="str">
        <f t="shared" si="21"/>
        <v/>
      </c>
      <c r="AB316" s="48" t="str">
        <f t="shared" si="21"/>
        <v/>
      </c>
      <c r="AC316" s="48" t="str">
        <f t="shared" si="21"/>
        <v/>
      </c>
      <c r="AD316" s="48" t="str">
        <f t="shared" si="21"/>
        <v/>
      </c>
      <c r="AE316" s="48" t="str">
        <f t="shared" si="19"/>
        <v/>
      </c>
    </row>
    <row r="317" spans="1:31" x14ac:dyDescent="0.25">
      <c r="A317" s="2"/>
      <c r="B317" s="2"/>
      <c r="C317" s="2"/>
      <c r="D317" s="2" t="str">
        <f>IF(ISBLANK(C317),"",VLOOKUP(C317,configuration!$G$7:$H$10,2,FALSE))</f>
        <v/>
      </c>
      <c r="E317" s="2"/>
      <c r="F317" s="2"/>
      <c r="G317" s="2"/>
      <c r="H317" s="2" t="str">
        <f>IF(ISBLANK(G317),"",VLOOKUP(G317,configuration!$J$7:$K$10,2,FALSE))</f>
        <v/>
      </c>
      <c r="I317" s="30"/>
      <c r="J317" s="2"/>
      <c r="K317" s="31"/>
      <c r="L317" s="35"/>
      <c r="M317" s="2" t="str">
        <f>IF(ISBLANK(L317),"",VLOOKUP(L317,configuration!$M$7:$N$10,2,FALSE))</f>
        <v/>
      </c>
      <c r="N317" s="30"/>
      <c r="O317" s="2"/>
      <c r="P317" s="31"/>
      <c r="Q317" s="54"/>
      <c r="R317" s="55" t="str">
        <f>IF(ISBLANK(Q317),"",VLOOKUP(Q317,configuration!$P$7:$Q$10,2,FALSE))</f>
        <v/>
      </c>
      <c r="S317" s="56"/>
      <c r="T317" s="55"/>
      <c r="U317" s="78"/>
      <c r="V317" s="76" t="str">
        <f t="shared" si="20"/>
        <v/>
      </c>
      <c r="W317" s="48" t="str">
        <f t="shared" si="20"/>
        <v/>
      </c>
      <c r="X317" s="48" t="str">
        <f t="shared" si="20"/>
        <v/>
      </c>
      <c r="Y317" s="48" t="str">
        <f t="shared" si="20"/>
        <v/>
      </c>
      <c r="Z317" s="49" t="str">
        <f t="shared" si="18"/>
        <v/>
      </c>
      <c r="AA317" s="50" t="str">
        <f t="shared" si="21"/>
        <v/>
      </c>
      <c r="AB317" s="48" t="str">
        <f t="shared" si="21"/>
        <v/>
      </c>
      <c r="AC317" s="48" t="str">
        <f t="shared" si="21"/>
        <v/>
      </c>
      <c r="AD317" s="48" t="str">
        <f t="shared" si="21"/>
        <v/>
      </c>
      <c r="AE317" s="48" t="str">
        <f t="shared" si="19"/>
        <v/>
      </c>
    </row>
    <row r="318" spans="1:31" x14ac:dyDescent="0.25">
      <c r="A318" s="2"/>
      <c r="B318" s="2"/>
      <c r="C318" s="2"/>
      <c r="D318" s="2" t="str">
        <f>IF(ISBLANK(C318),"",VLOOKUP(C318,configuration!$G$7:$H$10,2,FALSE))</f>
        <v/>
      </c>
      <c r="E318" s="2"/>
      <c r="F318" s="2"/>
      <c r="G318" s="2"/>
      <c r="H318" s="2" t="str">
        <f>IF(ISBLANK(G318),"",VLOOKUP(G318,configuration!$J$7:$K$10,2,FALSE))</f>
        <v/>
      </c>
      <c r="I318" s="30"/>
      <c r="J318" s="2"/>
      <c r="K318" s="31"/>
      <c r="L318" s="35"/>
      <c r="M318" s="2" t="str">
        <f>IF(ISBLANK(L318),"",VLOOKUP(L318,configuration!$M$7:$N$10,2,FALSE))</f>
        <v/>
      </c>
      <c r="N318" s="30"/>
      <c r="O318" s="2"/>
      <c r="P318" s="31"/>
      <c r="Q318" s="54"/>
      <c r="R318" s="55" t="str">
        <f>IF(ISBLANK(Q318),"",VLOOKUP(Q318,configuration!$P$7:$Q$10,2,FALSE))</f>
        <v/>
      </c>
      <c r="S318" s="56"/>
      <c r="T318" s="55"/>
      <c r="U318" s="78"/>
      <c r="V318" s="76" t="str">
        <f t="shared" si="20"/>
        <v/>
      </c>
      <c r="W318" s="48" t="str">
        <f t="shared" si="20"/>
        <v/>
      </c>
      <c r="X318" s="48" t="str">
        <f t="shared" si="20"/>
        <v/>
      </c>
      <c r="Y318" s="48" t="str">
        <f t="shared" si="20"/>
        <v/>
      </c>
      <c r="Z318" s="49" t="str">
        <f t="shared" si="18"/>
        <v/>
      </c>
      <c r="AA318" s="50" t="str">
        <f t="shared" si="21"/>
        <v/>
      </c>
      <c r="AB318" s="48" t="str">
        <f t="shared" si="21"/>
        <v/>
      </c>
      <c r="AC318" s="48" t="str">
        <f t="shared" si="21"/>
        <v/>
      </c>
      <c r="AD318" s="48" t="str">
        <f t="shared" si="21"/>
        <v/>
      </c>
      <c r="AE318" s="48" t="str">
        <f t="shared" si="19"/>
        <v/>
      </c>
    </row>
    <row r="319" spans="1:31" x14ac:dyDescent="0.25">
      <c r="A319" s="2"/>
      <c r="B319" s="2"/>
      <c r="C319" s="2"/>
      <c r="D319" s="2" t="str">
        <f>IF(ISBLANK(C319),"",VLOOKUP(C319,configuration!$G$7:$H$10,2,FALSE))</f>
        <v/>
      </c>
      <c r="E319" s="2"/>
      <c r="F319" s="2"/>
      <c r="G319" s="2"/>
      <c r="H319" s="2" t="str">
        <f>IF(ISBLANK(G319),"",VLOOKUP(G319,configuration!$J$7:$K$10,2,FALSE))</f>
        <v/>
      </c>
      <c r="I319" s="30"/>
      <c r="J319" s="2"/>
      <c r="K319" s="31"/>
      <c r="L319" s="35"/>
      <c r="M319" s="2" t="str">
        <f>IF(ISBLANK(L319),"",VLOOKUP(L319,configuration!$M$7:$N$10,2,FALSE))</f>
        <v/>
      </c>
      <c r="N319" s="30"/>
      <c r="O319" s="2"/>
      <c r="P319" s="31"/>
      <c r="Q319" s="54"/>
      <c r="R319" s="55" t="str">
        <f>IF(ISBLANK(Q319),"",VLOOKUP(Q319,configuration!$P$7:$Q$10,2,FALSE))</f>
        <v/>
      </c>
      <c r="S319" s="56"/>
      <c r="T319" s="55"/>
      <c r="U319" s="78"/>
      <c r="V319" s="76" t="str">
        <f t="shared" si="20"/>
        <v/>
      </c>
      <c r="W319" s="48" t="str">
        <f t="shared" si="20"/>
        <v/>
      </c>
      <c r="X319" s="48" t="str">
        <f t="shared" si="20"/>
        <v/>
      </c>
      <c r="Y319" s="48" t="str">
        <f t="shared" si="20"/>
        <v/>
      </c>
      <c r="Z319" s="49" t="str">
        <f t="shared" si="18"/>
        <v/>
      </c>
      <c r="AA319" s="50" t="str">
        <f t="shared" si="21"/>
        <v/>
      </c>
      <c r="AB319" s="48" t="str">
        <f t="shared" si="21"/>
        <v/>
      </c>
      <c r="AC319" s="48" t="str">
        <f t="shared" si="21"/>
        <v/>
      </c>
      <c r="AD319" s="48" t="str">
        <f t="shared" si="21"/>
        <v/>
      </c>
      <c r="AE319" s="48" t="str">
        <f t="shared" si="19"/>
        <v/>
      </c>
    </row>
    <row r="320" spans="1:31" x14ac:dyDescent="0.25">
      <c r="A320" s="2"/>
      <c r="B320" s="2"/>
      <c r="C320" s="2"/>
      <c r="D320" s="2" t="str">
        <f>IF(ISBLANK(C320),"",VLOOKUP(C320,configuration!$G$7:$H$10,2,FALSE))</f>
        <v/>
      </c>
      <c r="E320" s="2"/>
      <c r="F320" s="2"/>
      <c r="G320" s="2"/>
      <c r="H320" s="2" t="str">
        <f>IF(ISBLANK(G320),"",VLOOKUP(G320,configuration!$J$7:$K$10,2,FALSE))</f>
        <v/>
      </c>
      <c r="I320" s="30"/>
      <c r="J320" s="2"/>
      <c r="K320" s="31"/>
      <c r="L320" s="35"/>
      <c r="M320" s="2" t="str">
        <f>IF(ISBLANK(L320),"",VLOOKUP(L320,configuration!$M$7:$N$10,2,FALSE))</f>
        <v/>
      </c>
      <c r="N320" s="30"/>
      <c r="O320" s="2"/>
      <c r="P320" s="31"/>
      <c r="Q320" s="54"/>
      <c r="R320" s="55" t="str">
        <f>IF(ISBLANK(Q320),"",VLOOKUP(Q320,configuration!$P$7:$Q$10,2,FALSE))</f>
        <v/>
      </c>
      <c r="S320" s="56"/>
      <c r="T320" s="55"/>
      <c r="U320" s="78"/>
      <c r="V320" s="76" t="str">
        <f t="shared" si="20"/>
        <v/>
      </c>
      <c r="W320" s="48" t="str">
        <f t="shared" si="20"/>
        <v/>
      </c>
      <c r="X320" s="48" t="str">
        <f t="shared" si="20"/>
        <v/>
      </c>
      <c r="Y320" s="48" t="str">
        <f t="shared" si="20"/>
        <v/>
      </c>
      <c r="Z320" s="49" t="str">
        <f t="shared" si="18"/>
        <v/>
      </c>
      <c r="AA320" s="50" t="str">
        <f t="shared" si="21"/>
        <v/>
      </c>
      <c r="AB320" s="48" t="str">
        <f t="shared" si="21"/>
        <v/>
      </c>
      <c r="AC320" s="48" t="str">
        <f t="shared" si="21"/>
        <v/>
      </c>
      <c r="AD320" s="48" t="str">
        <f t="shared" si="21"/>
        <v/>
      </c>
      <c r="AE320" s="48" t="str">
        <f t="shared" si="19"/>
        <v/>
      </c>
    </row>
    <row r="321" spans="1:31" x14ac:dyDescent="0.25">
      <c r="A321" s="2"/>
      <c r="B321" s="2"/>
      <c r="C321" s="2"/>
      <c r="D321" s="2" t="str">
        <f>IF(ISBLANK(C321),"",VLOOKUP(C321,configuration!$G$7:$H$10,2,FALSE))</f>
        <v/>
      </c>
      <c r="E321" s="2"/>
      <c r="F321" s="2"/>
      <c r="G321" s="2"/>
      <c r="H321" s="2" t="str">
        <f>IF(ISBLANK(G321),"",VLOOKUP(G321,configuration!$J$7:$K$10,2,FALSE))</f>
        <v/>
      </c>
      <c r="I321" s="30"/>
      <c r="J321" s="2"/>
      <c r="K321" s="31"/>
      <c r="L321" s="35"/>
      <c r="M321" s="2" t="str">
        <f>IF(ISBLANK(L321),"",VLOOKUP(L321,configuration!$M$7:$N$10,2,FALSE))</f>
        <v/>
      </c>
      <c r="N321" s="30"/>
      <c r="O321" s="2"/>
      <c r="P321" s="31"/>
      <c r="Q321" s="54"/>
      <c r="R321" s="55" t="str">
        <f>IF(ISBLANK(Q321),"",VLOOKUP(Q321,configuration!$P$7:$Q$10,2,FALSE))</f>
        <v/>
      </c>
      <c r="S321" s="56"/>
      <c r="T321" s="55"/>
      <c r="U321" s="78"/>
      <c r="V321" s="76" t="str">
        <f t="shared" si="20"/>
        <v/>
      </c>
      <c r="W321" s="48" t="str">
        <f t="shared" si="20"/>
        <v/>
      </c>
      <c r="X321" s="48" t="str">
        <f t="shared" si="20"/>
        <v/>
      </c>
      <c r="Y321" s="48" t="str">
        <f t="shared" si="20"/>
        <v/>
      </c>
      <c r="Z321" s="49" t="str">
        <f t="shared" si="18"/>
        <v/>
      </c>
      <c r="AA321" s="50" t="str">
        <f t="shared" si="21"/>
        <v/>
      </c>
      <c r="AB321" s="48" t="str">
        <f t="shared" si="21"/>
        <v/>
      </c>
      <c r="AC321" s="48" t="str">
        <f t="shared" si="21"/>
        <v/>
      </c>
      <c r="AD321" s="48" t="str">
        <f t="shared" si="21"/>
        <v/>
      </c>
      <c r="AE321" s="48" t="str">
        <f t="shared" si="19"/>
        <v/>
      </c>
    </row>
    <row r="322" spans="1:31" x14ac:dyDescent="0.25">
      <c r="A322" s="2"/>
      <c r="B322" s="2"/>
      <c r="C322" s="2"/>
      <c r="D322" s="2" t="str">
        <f>IF(ISBLANK(C322),"",VLOOKUP(C322,configuration!$G$7:$H$10,2,FALSE))</f>
        <v/>
      </c>
      <c r="E322" s="2"/>
      <c r="F322" s="2"/>
      <c r="G322" s="2"/>
      <c r="H322" s="2" t="str">
        <f>IF(ISBLANK(G322),"",VLOOKUP(G322,configuration!$J$7:$K$10,2,FALSE))</f>
        <v/>
      </c>
      <c r="I322" s="30"/>
      <c r="J322" s="2"/>
      <c r="K322" s="31"/>
      <c r="L322" s="35"/>
      <c r="M322" s="2" t="str">
        <f>IF(ISBLANK(L322),"",VLOOKUP(L322,configuration!$M$7:$N$10,2,FALSE))</f>
        <v/>
      </c>
      <c r="N322" s="30"/>
      <c r="O322" s="2"/>
      <c r="P322" s="31"/>
      <c r="Q322" s="54"/>
      <c r="R322" s="55" t="str">
        <f>IF(ISBLANK(Q322),"",VLOOKUP(Q322,configuration!$P$7:$Q$10,2,FALSE))</f>
        <v/>
      </c>
      <c r="S322" s="56"/>
      <c r="T322" s="55"/>
      <c r="U322" s="78"/>
      <c r="V322" s="76" t="str">
        <f t="shared" si="20"/>
        <v/>
      </c>
      <c r="W322" s="48" t="str">
        <f t="shared" si="20"/>
        <v/>
      </c>
      <c r="X322" s="48" t="str">
        <f t="shared" si="20"/>
        <v/>
      </c>
      <c r="Y322" s="48" t="str">
        <f t="shared" si="20"/>
        <v/>
      </c>
      <c r="Z322" s="49" t="str">
        <f t="shared" si="18"/>
        <v/>
      </c>
      <c r="AA322" s="50" t="str">
        <f t="shared" si="21"/>
        <v/>
      </c>
      <c r="AB322" s="48" t="str">
        <f t="shared" si="21"/>
        <v/>
      </c>
      <c r="AC322" s="48" t="str">
        <f t="shared" si="21"/>
        <v/>
      </c>
      <c r="AD322" s="48" t="str">
        <f t="shared" si="21"/>
        <v/>
      </c>
      <c r="AE322" s="48" t="str">
        <f t="shared" si="19"/>
        <v/>
      </c>
    </row>
    <row r="323" spans="1:31" x14ac:dyDescent="0.25">
      <c r="A323" s="2"/>
      <c r="B323" s="2"/>
      <c r="C323" s="2"/>
      <c r="D323" s="2" t="str">
        <f>IF(ISBLANK(C323),"",VLOOKUP(C323,configuration!$G$7:$H$10,2,FALSE))</f>
        <v/>
      </c>
      <c r="E323" s="2"/>
      <c r="F323" s="2"/>
      <c r="G323" s="2"/>
      <c r="H323" s="2" t="str">
        <f>IF(ISBLANK(G323),"",VLOOKUP(G323,configuration!$J$7:$K$10,2,FALSE))</f>
        <v/>
      </c>
      <c r="I323" s="30"/>
      <c r="J323" s="2"/>
      <c r="K323" s="31"/>
      <c r="L323" s="35"/>
      <c r="M323" s="2" t="str">
        <f>IF(ISBLANK(L323),"",VLOOKUP(L323,configuration!$M$7:$N$10,2,FALSE))</f>
        <v/>
      </c>
      <c r="N323" s="30"/>
      <c r="O323" s="2"/>
      <c r="P323" s="31"/>
      <c r="Q323" s="54"/>
      <c r="R323" s="55" t="str">
        <f>IF(ISBLANK(Q323),"",VLOOKUP(Q323,configuration!$P$7:$Q$10,2,FALSE))</f>
        <v/>
      </c>
      <c r="S323" s="56"/>
      <c r="T323" s="55"/>
      <c r="U323" s="78"/>
      <c r="V323" s="76" t="str">
        <f t="shared" si="20"/>
        <v/>
      </c>
      <c r="W323" s="48" t="str">
        <f t="shared" si="20"/>
        <v/>
      </c>
      <c r="X323" s="48" t="str">
        <f t="shared" si="20"/>
        <v/>
      </c>
      <c r="Y323" s="48" t="str">
        <f t="shared" si="20"/>
        <v/>
      </c>
      <c r="Z323" s="49" t="str">
        <f t="shared" si="18"/>
        <v/>
      </c>
      <c r="AA323" s="50" t="str">
        <f t="shared" si="21"/>
        <v/>
      </c>
      <c r="AB323" s="48" t="str">
        <f t="shared" si="21"/>
        <v/>
      </c>
      <c r="AC323" s="48" t="str">
        <f t="shared" si="21"/>
        <v/>
      </c>
      <c r="AD323" s="48" t="str">
        <f t="shared" si="21"/>
        <v/>
      </c>
      <c r="AE323" s="48" t="str">
        <f t="shared" si="19"/>
        <v/>
      </c>
    </row>
    <row r="324" spans="1:31" x14ac:dyDescent="0.25">
      <c r="A324" s="2"/>
      <c r="B324" s="2"/>
      <c r="C324" s="2"/>
      <c r="D324" s="2" t="str">
        <f>IF(ISBLANK(C324),"",VLOOKUP(C324,configuration!$G$7:$H$10,2,FALSE))</f>
        <v/>
      </c>
      <c r="E324" s="2"/>
      <c r="F324" s="2"/>
      <c r="G324" s="2"/>
      <c r="H324" s="2" t="str">
        <f>IF(ISBLANK(G324),"",VLOOKUP(G324,configuration!$J$7:$K$10,2,FALSE))</f>
        <v/>
      </c>
      <c r="I324" s="30"/>
      <c r="J324" s="2"/>
      <c r="K324" s="31"/>
      <c r="L324" s="35"/>
      <c r="M324" s="2" t="str">
        <f>IF(ISBLANK(L324),"",VLOOKUP(L324,configuration!$M$7:$N$10,2,FALSE))</f>
        <v/>
      </c>
      <c r="N324" s="30"/>
      <c r="O324" s="2"/>
      <c r="P324" s="31"/>
      <c r="Q324" s="54"/>
      <c r="R324" s="55" t="str">
        <f>IF(ISBLANK(Q324),"",VLOOKUP(Q324,configuration!$P$7:$Q$10,2,FALSE))</f>
        <v/>
      </c>
      <c r="S324" s="56"/>
      <c r="T324" s="55"/>
      <c r="U324" s="78"/>
      <c r="V324" s="76" t="str">
        <f t="shared" si="20"/>
        <v/>
      </c>
      <c r="W324" s="48" t="str">
        <f t="shared" si="20"/>
        <v/>
      </c>
      <c r="X324" s="48" t="str">
        <f t="shared" si="20"/>
        <v/>
      </c>
      <c r="Y324" s="48" t="str">
        <f t="shared" si="20"/>
        <v/>
      </c>
      <c r="Z324" s="49" t="str">
        <f t="shared" si="18"/>
        <v/>
      </c>
      <c r="AA324" s="50" t="str">
        <f t="shared" si="21"/>
        <v/>
      </c>
      <c r="AB324" s="48" t="str">
        <f t="shared" si="21"/>
        <v/>
      </c>
      <c r="AC324" s="48" t="str">
        <f t="shared" si="21"/>
        <v/>
      </c>
      <c r="AD324" s="48" t="str">
        <f t="shared" si="21"/>
        <v/>
      </c>
      <c r="AE324" s="48" t="str">
        <f t="shared" si="19"/>
        <v/>
      </c>
    </row>
    <row r="325" spans="1:31" x14ac:dyDescent="0.25">
      <c r="A325" s="2"/>
      <c r="B325" s="2"/>
      <c r="C325" s="2"/>
      <c r="D325" s="2" t="str">
        <f>IF(ISBLANK(C325),"",VLOOKUP(C325,configuration!$G$7:$H$10,2,FALSE))</f>
        <v/>
      </c>
      <c r="E325" s="2"/>
      <c r="F325" s="2"/>
      <c r="G325" s="2"/>
      <c r="H325" s="2" t="str">
        <f>IF(ISBLANK(G325),"",VLOOKUP(G325,configuration!$J$7:$K$10,2,FALSE))</f>
        <v/>
      </c>
      <c r="I325" s="30"/>
      <c r="J325" s="2"/>
      <c r="K325" s="31"/>
      <c r="L325" s="35"/>
      <c r="M325" s="2" t="str">
        <f>IF(ISBLANK(L325),"",VLOOKUP(L325,configuration!$M$7:$N$10,2,FALSE))</f>
        <v/>
      </c>
      <c r="N325" s="30"/>
      <c r="O325" s="2"/>
      <c r="P325" s="31"/>
      <c r="Q325" s="54"/>
      <c r="R325" s="55" t="str">
        <f>IF(ISBLANK(Q325),"",VLOOKUP(Q325,configuration!$P$7:$Q$10,2,FALSE))</f>
        <v/>
      </c>
      <c r="S325" s="56"/>
      <c r="T325" s="55"/>
      <c r="U325" s="78"/>
      <c r="V325" s="76" t="str">
        <f t="shared" si="20"/>
        <v/>
      </c>
      <c r="W325" s="48" t="str">
        <f t="shared" si="20"/>
        <v/>
      </c>
      <c r="X325" s="48" t="str">
        <f t="shared" si="20"/>
        <v/>
      </c>
      <c r="Y325" s="48" t="str">
        <f t="shared" si="20"/>
        <v/>
      </c>
      <c r="Z325" s="49" t="str">
        <f t="shared" si="18"/>
        <v/>
      </c>
      <c r="AA325" s="50" t="str">
        <f t="shared" si="21"/>
        <v/>
      </c>
      <c r="AB325" s="48" t="str">
        <f t="shared" si="21"/>
        <v/>
      </c>
      <c r="AC325" s="48" t="str">
        <f t="shared" si="21"/>
        <v/>
      </c>
      <c r="AD325" s="48" t="str">
        <f t="shared" si="21"/>
        <v/>
      </c>
      <c r="AE325" s="48" t="str">
        <f t="shared" si="19"/>
        <v/>
      </c>
    </row>
    <row r="326" spans="1:31" x14ac:dyDescent="0.25">
      <c r="A326" s="2"/>
      <c r="B326" s="2"/>
      <c r="C326" s="2"/>
      <c r="D326" s="2" t="str">
        <f>IF(ISBLANK(C326),"",VLOOKUP(C326,configuration!$G$7:$H$10,2,FALSE))</f>
        <v/>
      </c>
      <c r="E326" s="2"/>
      <c r="F326" s="2"/>
      <c r="G326" s="2"/>
      <c r="H326" s="2" t="str">
        <f>IF(ISBLANK(G326),"",VLOOKUP(G326,configuration!$J$7:$K$10,2,FALSE))</f>
        <v/>
      </c>
      <c r="I326" s="30"/>
      <c r="J326" s="2"/>
      <c r="K326" s="31"/>
      <c r="L326" s="35"/>
      <c r="M326" s="2" t="str">
        <f>IF(ISBLANK(L326),"",VLOOKUP(L326,configuration!$M$7:$N$10,2,FALSE))</f>
        <v/>
      </c>
      <c r="N326" s="30"/>
      <c r="O326" s="2"/>
      <c r="P326" s="31"/>
      <c r="Q326" s="54"/>
      <c r="R326" s="55" t="str">
        <f>IF(ISBLANK(Q326),"",VLOOKUP(Q326,configuration!$P$7:$Q$10,2,FALSE))</f>
        <v/>
      </c>
      <c r="S326" s="56"/>
      <c r="T326" s="55"/>
      <c r="U326" s="78"/>
      <c r="V326" s="76" t="str">
        <f t="shared" si="20"/>
        <v/>
      </c>
      <c r="W326" s="48" t="str">
        <f t="shared" si="20"/>
        <v/>
      </c>
      <c r="X326" s="48" t="str">
        <f t="shared" si="20"/>
        <v/>
      </c>
      <c r="Y326" s="48" t="str">
        <f t="shared" si="20"/>
        <v/>
      </c>
      <c r="Z326" s="49" t="str">
        <f t="shared" ref="Z326:Z389" si="22">IF(AND($G326="",A326&lt;&gt;""),1,"")</f>
        <v/>
      </c>
      <c r="AA326" s="50" t="str">
        <f t="shared" si="21"/>
        <v/>
      </c>
      <c r="AB326" s="48" t="str">
        <f t="shared" si="21"/>
        <v/>
      </c>
      <c r="AC326" s="48" t="str">
        <f t="shared" si="21"/>
        <v/>
      </c>
      <c r="AD326" s="48" t="str">
        <f t="shared" si="21"/>
        <v/>
      </c>
      <c r="AE326" s="48" t="str">
        <f t="shared" ref="AE326:AE389" si="23">IF(AND($L326="",A326&lt;&gt;""),1,"")</f>
        <v/>
      </c>
    </row>
    <row r="327" spans="1:31" x14ac:dyDescent="0.25">
      <c r="A327" s="2"/>
      <c r="B327" s="2"/>
      <c r="C327" s="2"/>
      <c r="D327" s="2" t="str">
        <f>IF(ISBLANK(C327),"",VLOOKUP(C327,configuration!$G$7:$H$10,2,FALSE))</f>
        <v/>
      </c>
      <c r="E327" s="2"/>
      <c r="F327" s="2"/>
      <c r="G327" s="2"/>
      <c r="H327" s="2" t="str">
        <f>IF(ISBLANK(G327),"",VLOOKUP(G327,configuration!$J$7:$K$10,2,FALSE))</f>
        <v/>
      </c>
      <c r="I327" s="30"/>
      <c r="J327" s="2"/>
      <c r="K327" s="31"/>
      <c r="L327" s="35"/>
      <c r="M327" s="2" t="str">
        <f>IF(ISBLANK(L327),"",VLOOKUP(L327,configuration!$M$7:$N$10,2,FALSE))</f>
        <v/>
      </c>
      <c r="N327" s="30"/>
      <c r="O327" s="2"/>
      <c r="P327" s="31"/>
      <c r="Q327" s="54"/>
      <c r="R327" s="55" t="str">
        <f>IF(ISBLANK(Q327),"",VLOOKUP(Q327,configuration!$P$7:$Q$10,2,FALSE))</f>
        <v/>
      </c>
      <c r="S327" s="56"/>
      <c r="T327" s="55"/>
      <c r="U327" s="78"/>
      <c r="V327" s="76" t="str">
        <f t="shared" si="20"/>
        <v/>
      </c>
      <c r="W327" s="48" t="str">
        <f t="shared" si="20"/>
        <v/>
      </c>
      <c r="X327" s="48" t="str">
        <f t="shared" si="20"/>
        <v/>
      </c>
      <c r="Y327" s="48" t="str">
        <f t="shared" si="20"/>
        <v/>
      </c>
      <c r="Z327" s="49" t="str">
        <f t="shared" si="22"/>
        <v/>
      </c>
      <c r="AA327" s="50" t="str">
        <f t="shared" si="21"/>
        <v/>
      </c>
      <c r="AB327" s="48" t="str">
        <f t="shared" si="21"/>
        <v/>
      </c>
      <c r="AC327" s="48" t="str">
        <f t="shared" si="21"/>
        <v/>
      </c>
      <c r="AD327" s="48" t="str">
        <f t="shared" si="21"/>
        <v/>
      </c>
      <c r="AE327" s="48" t="str">
        <f t="shared" si="23"/>
        <v/>
      </c>
    </row>
    <row r="328" spans="1:31" x14ac:dyDescent="0.25">
      <c r="A328" s="2"/>
      <c r="B328" s="2"/>
      <c r="C328" s="2"/>
      <c r="D328" s="2" t="str">
        <f>IF(ISBLANK(C328),"",VLOOKUP(C328,configuration!$G$7:$H$10,2,FALSE))</f>
        <v/>
      </c>
      <c r="E328" s="2"/>
      <c r="F328" s="2"/>
      <c r="G328" s="2"/>
      <c r="H328" s="2" t="str">
        <f>IF(ISBLANK(G328),"",VLOOKUP(G328,configuration!$J$7:$K$10,2,FALSE))</f>
        <v/>
      </c>
      <c r="I328" s="30"/>
      <c r="J328" s="2"/>
      <c r="K328" s="31"/>
      <c r="L328" s="35"/>
      <c r="M328" s="2" t="str">
        <f>IF(ISBLANK(L328),"",VLOOKUP(L328,configuration!$M$7:$N$10,2,FALSE))</f>
        <v/>
      </c>
      <c r="N328" s="30"/>
      <c r="O328" s="2"/>
      <c r="P328" s="31"/>
      <c r="Q328" s="54"/>
      <c r="R328" s="55" t="str">
        <f>IF(ISBLANK(Q328),"",VLOOKUP(Q328,configuration!$P$7:$Q$10,2,FALSE))</f>
        <v/>
      </c>
      <c r="S328" s="56"/>
      <c r="T328" s="55"/>
      <c r="U328" s="78"/>
      <c r="V328" s="76" t="str">
        <f t="shared" si="20"/>
        <v/>
      </c>
      <c r="W328" s="48" t="str">
        <f t="shared" si="20"/>
        <v/>
      </c>
      <c r="X328" s="48" t="str">
        <f t="shared" si="20"/>
        <v/>
      </c>
      <c r="Y328" s="48" t="str">
        <f t="shared" si="20"/>
        <v/>
      </c>
      <c r="Z328" s="49" t="str">
        <f t="shared" si="22"/>
        <v/>
      </c>
      <c r="AA328" s="50" t="str">
        <f t="shared" si="21"/>
        <v/>
      </c>
      <c r="AB328" s="48" t="str">
        <f t="shared" si="21"/>
        <v/>
      </c>
      <c r="AC328" s="48" t="str">
        <f t="shared" si="21"/>
        <v/>
      </c>
      <c r="AD328" s="48" t="str">
        <f t="shared" si="21"/>
        <v/>
      </c>
      <c r="AE328" s="48" t="str">
        <f t="shared" si="23"/>
        <v/>
      </c>
    </row>
    <row r="329" spans="1:31" x14ac:dyDescent="0.25">
      <c r="A329" s="2"/>
      <c r="B329" s="2"/>
      <c r="C329" s="2"/>
      <c r="D329" s="2" t="str">
        <f>IF(ISBLANK(C329),"",VLOOKUP(C329,configuration!$G$7:$H$10,2,FALSE))</f>
        <v/>
      </c>
      <c r="E329" s="2"/>
      <c r="F329" s="2"/>
      <c r="G329" s="2"/>
      <c r="H329" s="2" t="str">
        <f>IF(ISBLANK(G329),"",VLOOKUP(G329,configuration!$J$7:$K$10,2,FALSE))</f>
        <v/>
      </c>
      <c r="I329" s="30"/>
      <c r="J329" s="2"/>
      <c r="K329" s="31"/>
      <c r="L329" s="35"/>
      <c r="M329" s="2" t="str">
        <f>IF(ISBLANK(L329),"",VLOOKUP(L329,configuration!$M$7:$N$10,2,FALSE))</f>
        <v/>
      </c>
      <c r="N329" s="30"/>
      <c r="O329" s="2"/>
      <c r="P329" s="31"/>
      <c r="Q329" s="54"/>
      <c r="R329" s="55" t="str">
        <f>IF(ISBLANK(Q329),"",VLOOKUP(Q329,configuration!$P$7:$Q$10,2,FALSE))</f>
        <v/>
      </c>
      <c r="S329" s="56"/>
      <c r="T329" s="55"/>
      <c r="U329" s="78"/>
      <c r="V329" s="76" t="str">
        <f t="shared" si="20"/>
        <v/>
      </c>
      <c r="W329" s="48" t="str">
        <f t="shared" si="20"/>
        <v/>
      </c>
      <c r="X329" s="48" t="str">
        <f t="shared" si="20"/>
        <v/>
      </c>
      <c r="Y329" s="48" t="str">
        <f t="shared" si="20"/>
        <v/>
      </c>
      <c r="Z329" s="49" t="str">
        <f t="shared" si="22"/>
        <v/>
      </c>
      <c r="AA329" s="50" t="str">
        <f t="shared" si="21"/>
        <v/>
      </c>
      <c r="AB329" s="48" t="str">
        <f t="shared" si="21"/>
        <v/>
      </c>
      <c r="AC329" s="48" t="str">
        <f t="shared" si="21"/>
        <v/>
      </c>
      <c r="AD329" s="48" t="str">
        <f t="shared" si="21"/>
        <v/>
      </c>
      <c r="AE329" s="48" t="str">
        <f t="shared" si="23"/>
        <v/>
      </c>
    </row>
    <row r="330" spans="1:31" x14ac:dyDescent="0.25">
      <c r="A330" s="2"/>
      <c r="B330" s="2"/>
      <c r="C330" s="2"/>
      <c r="D330" s="2" t="str">
        <f>IF(ISBLANK(C330),"",VLOOKUP(C330,configuration!$G$7:$H$10,2,FALSE))</f>
        <v/>
      </c>
      <c r="E330" s="2"/>
      <c r="F330" s="2"/>
      <c r="G330" s="2"/>
      <c r="H330" s="2" t="str">
        <f>IF(ISBLANK(G330),"",VLOOKUP(G330,configuration!$J$7:$K$10,2,FALSE))</f>
        <v/>
      </c>
      <c r="I330" s="30"/>
      <c r="J330" s="2"/>
      <c r="K330" s="31"/>
      <c r="L330" s="35"/>
      <c r="M330" s="2" t="str">
        <f>IF(ISBLANK(L330),"",VLOOKUP(L330,configuration!$M$7:$N$10,2,FALSE))</f>
        <v/>
      </c>
      <c r="N330" s="30"/>
      <c r="O330" s="2"/>
      <c r="P330" s="31"/>
      <c r="Q330" s="54"/>
      <c r="R330" s="55" t="str">
        <f>IF(ISBLANK(Q330),"",VLOOKUP(Q330,configuration!$P$7:$Q$10,2,FALSE))</f>
        <v/>
      </c>
      <c r="S330" s="56"/>
      <c r="T330" s="55"/>
      <c r="U330" s="78"/>
      <c r="V330" s="76" t="str">
        <f t="shared" si="20"/>
        <v/>
      </c>
      <c r="W330" s="48" t="str">
        <f t="shared" si="20"/>
        <v/>
      </c>
      <c r="X330" s="48" t="str">
        <f t="shared" si="20"/>
        <v/>
      </c>
      <c r="Y330" s="48" t="str">
        <f t="shared" si="20"/>
        <v/>
      </c>
      <c r="Z330" s="49" t="str">
        <f t="shared" si="22"/>
        <v/>
      </c>
      <c r="AA330" s="50" t="str">
        <f t="shared" si="21"/>
        <v/>
      </c>
      <c r="AB330" s="48" t="str">
        <f t="shared" si="21"/>
        <v/>
      </c>
      <c r="AC330" s="48" t="str">
        <f t="shared" si="21"/>
        <v/>
      </c>
      <c r="AD330" s="48" t="str">
        <f t="shared" si="21"/>
        <v/>
      </c>
      <c r="AE330" s="48" t="str">
        <f t="shared" si="23"/>
        <v/>
      </c>
    </row>
    <row r="331" spans="1:31" x14ac:dyDescent="0.25">
      <c r="A331" s="2"/>
      <c r="B331" s="2"/>
      <c r="C331" s="2"/>
      <c r="D331" s="2" t="str">
        <f>IF(ISBLANK(C331),"",VLOOKUP(C331,configuration!$G$7:$H$10,2,FALSE))</f>
        <v/>
      </c>
      <c r="E331" s="2"/>
      <c r="F331" s="2"/>
      <c r="G331" s="2"/>
      <c r="H331" s="2" t="str">
        <f>IF(ISBLANK(G331),"",VLOOKUP(G331,configuration!$J$7:$K$10,2,FALSE))</f>
        <v/>
      </c>
      <c r="I331" s="30"/>
      <c r="J331" s="2"/>
      <c r="K331" s="31"/>
      <c r="L331" s="35"/>
      <c r="M331" s="2" t="str">
        <f>IF(ISBLANK(L331),"",VLOOKUP(L331,configuration!$M$7:$N$10,2,FALSE))</f>
        <v/>
      </c>
      <c r="N331" s="30"/>
      <c r="O331" s="2"/>
      <c r="P331" s="31"/>
      <c r="Q331" s="54"/>
      <c r="R331" s="55" t="str">
        <f>IF(ISBLANK(Q331),"",VLOOKUP(Q331,configuration!$P$7:$Q$10,2,FALSE))</f>
        <v/>
      </c>
      <c r="S331" s="56"/>
      <c r="T331" s="55"/>
      <c r="U331" s="78"/>
      <c r="V331" s="76" t="str">
        <f t="shared" si="20"/>
        <v/>
      </c>
      <c r="W331" s="48" t="str">
        <f t="shared" si="20"/>
        <v/>
      </c>
      <c r="X331" s="48" t="str">
        <f t="shared" si="20"/>
        <v/>
      </c>
      <c r="Y331" s="48" t="str">
        <f t="shared" si="20"/>
        <v/>
      </c>
      <c r="Z331" s="49" t="str">
        <f t="shared" si="22"/>
        <v/>
      </c>
      <c r="AA331" s="50" t="str">
        <f t="shared" si="21"/>
        <v/>
      </c>
      <c r="AB331" s="48" t="str">
        <f t="shared" si="21"/>
        <v/>
      </c>
      <c r="AC331" s="48" t="str">
        <f t="shared" si="21"/>
        <v/>
      </c>
      <c r="AD331" s="48" t="str">
        <f t="shared" si="21"/>
        <v/>
      </c>
      <c r="AE331" s="48" t="str">
        <f t="shared" si="23"/>
        <v/>
      </c>
    </row>
    <row r="332" spans="1:31" x14ac:dyDescent="0.25">
      <c r="A332" s="2"/>
      <c r="B332" s="2"/>
      <c r="C332" s="2"/>
      <c r="D332" s="2" t="str">
        <f>IF(ISBLANK(C332),"",VLOOKUP(C332,configuration!$G$7:$H$10,2,FALSE))</f>
        <v/>
      </c>
      <c r="E332" s="2"/>
      <c r="F332" s="2"/>
      <c r="G332" s="2"/>
      <c r="H332" s="2" t="str">
        <f>IF(ISBLANK(G332),"",VLOOKUP(G332,configuration!$J$7:$K$10,2,FALSE))</f>
        <v/>
      </c>
      <c r="I332" s="30"/>
      <c r="J332" s="2"/>
      <c r="K332" s="31"/>
      <c r="L332" s="35"/>
      <c r="M332" s="2" t="str">
        <f>IF(ISBLANK(L332),"",VLOOKUP(L332,configuration!$M$7:$N$10,2,FALSE))</f>
        <v/>
      </c>
      <c r="N332" s="30"/>
      <c r="O332" s="2"/>
      <c r="P332" s="31"/>
      <c r="Q332" s="54"/>
      <c r="R332" s="55" t="str">
        <f>IF(ISBLANK(Q332),"",VLOOKUP(Q332,configuration!$P$7:$Q$10,2,FALSE))</f>
        <v/>
      </c>
      <c r="S332" s="56"/>
      <c r="T332" s="55"/>
      <c r="U332" s="78"/>
      <c r="V332" s="76" t="str">
        <f t="shared" si="20"/>
        <v/>
      </c>
      <c r="W332" s="48" t="str">
        <f t="shared" si="20"/>
        <v/>
      </c>
      <c r="X332" s="48" t="str">
        <f t="shared" si="20"/>
        <v/>
      </c>
      <c r="Y332" s="48" t="str">
        <f t="shared" si="20"/>
        <v/>
      </c>
      <c r="Z332" s="49" t="str">
        <f t="shared" si="22"/>
        <v/>
      </c>
      <c r="AA332" s="50" t="str">
        <f t="shared" si="21"/>
        <v/>
      </c>
      <c r="AB332" s="48" t="str">
        <f t="shared" si="21"/>
        <v/>
      </c>
      <c r="AC332" s="48" t="str">
        <f t="shared" si="21"/>
        <v/>
      </c>
      <c r="AD332" s="48" t="str">
        <f t="shared" si="21"/>
        <v/>
      </c>
      <c r="AE332" s="48" t="str">
        <f t="shared" si="23"/>
        <v/>
      </c>
    </row>
    <row r="333" spans="1:31" x14ac:dyDescent="0.25">
      <c r="A333" s="2"/>
      <c r="B333" s="2"/>
      <c r="C333" s="2"/>
      <c r="D333" s="2" t="str">
        <f>IF(ISBLANK(C333),"",VLOOKUP(C333,configuration!$G$7:$H$10,2,FALSE))</f>
        <v/>
      </c>
      <c r="E333" s="2"/>
      <c r="F333" s="2"/>
      <c r="G333" s="2"/>
      <c r="H333" s="2" t="str">
        <f>IF(ISBLANK(G333),"",VLOOKUP(G333,configuration!$J$7:$K$10,2,FALSE))</f>
        <v/>
      </c>
      <c r="I333" s="30"/>
      <c r="J333" s="2"/>
      <c r="K333" s="31"/>
      <c r="L333" s="35"/>
      <c r="M333" s="2" t="str">
        <f>IF(ISBLANK(L333),"",VLOOKUP(L333,configuration!$M$7:$N$10,2,FALSE))</f>
        <v/>
      </c>
      <c r="N333" s="30"/>
      <c r="O333" s="2"/>
      <c r="P333" s="31"/>
      <c r="Q333" s="54"/>
      <c r="R333" s="55" t="str">
        <f>IF(ISBLANK(Q333),"",VLOOKUP(Q333,configuration!$P$7:$Q$10,2,FALSE))</f>
        <v/>
      </c>
      <c r="S333" s="56"/>
      <c r="T333" s="55"/>
      <c r="U333" s="78"/>
      <c r="V333" s="76" t="str">
        <f t="shared" si="20"/>
        <v/>
      </c>
      <c r="W333" s="48" t="str">
        <f t="shared" si="20"/>
        <v/>
      </c>
      <c r="X333" s="48" t="str">
        <f t="shared" si="20"/>
        <v/>
      </c>
      <c r="Y333" s="48" t="str">
        <f t="shared" si="20"/>
        <v/>
      </c>
      <c r="Z333" s="49" t="str">
        <f t="shared" si="22"/>
        <v/>
      </c>
      <c r="AA333" s="50" t="str">
        <f t="shared" si="21"/>
        <v/>
      </c>
      <c r="AB333" s="48" t="str">
        <f t="shared" si="21"/>
        <v/>
      </c>
      <c r="AC333" s="48" t="str">
        <f t="shared" si="21"/>
        <v/>
      </c>
      <c r="AD333" s="48" t="str">
        <f t="shared" si="21"/>
        <v/>
      </c>
      <c r="AE333" s="48" t="str">
        <f t="shared" si="23"/>
        <v/>
      </c>
    </row>
    <row r="334" spans="1:31" x14ac:dyDescent="0.25">
      <c r="A334" s="2"/>
      <c r="B334" s="2"/>
      <c r="C334" s="2"/>
      <c r="D334" s="2" t="str">
        <f>IF(ISBLANK(C334),"",VLOOKUP(C334,configuration!$G$7:$H$10,2,FALSE))</f>
        <v/>
      </c>
      <c r="E334" s="2"/>
      <c r="F334" s="2"/>
      <c r="G334" s="2"/>
      <c r="H334" s="2" t="str">
        <f>IF(ISBLANK(G334),"",VLOOKUP(G334,configuration!$J$7:$K$10,2,FALSE))</f>
        <v/>
      </c>
      <c r="I334" s="30"/>
      <c r="J334" s="2"/>
      <c r="K334" s="31"/>
      <c r="L334" s="35"/>
      <c r="M334" s="2" t="str">
        <f>IF(ISBLANK(L334),"",VLOOKUP(L334,configuration!$M$7:$N$10,2,FALSE))</f>
        <v/>
      </c>
      <c r="N334" s="30"/>
      <c r="O334" s="2"/>
      <c r="P334" s="31"/>
      <c r="Q334" s="54"/>
      <c r="R334" s="55" t="str">
        <f>IF(ISBLANK(Q334),"",VLOOKUP(Q334,configuration!$P$7:$Q$10,2,FALSE))</f>
        <v/>
      </c>
      <c r="S334" s="56"/>
      <c r="T334" s="55"/>
      <c r="U334" s="78"/>
      <c r="V334" s="76" t="str">
        <f t="shared" si="20"/>
        <v/>
      </c>
      <c r="W334" s="48" t="str">
        <f t="shared" si="20"/>
        <v/>
      </c>
      <c r="X334" s="48" t="str">
        <f t="shared" si="20"/>
        <v/>
      </c>
      <c r="Y334" s="48" t="str">
        <f t="shared" si="20"/>
        <v/>
      </c>
      <c r="Z334" s="49" t="str">
        <f t="shared" si="22"/>
        <v/>
      </c>
      <c r="AA334" s="50" t="str">
        <f t="shared" si="21"/>
        <v/>
      </c>
      <c r="AB334" s="48" t="str">
        <f t="shared" si="21"/>
        <v/>
      </c>
      <c r="AC334" s="48" t="str">
        <f t="shared" si="21"/>
        <v/>
      </c>
      <c r="AD334" s="48" t="str">
        <f t="shared" si="21"/>
        <v/>
      </c>
      <c r="AE334" s="48" t="str">
        <f t="shared" si="23"/>
        <v/>
      </c>
    </row>
    <row r="335" spans="1:31" x14ac:dyDescent="0.25">
      <c r="A335" s="2"/>
      <c r="B335" s="2"/>
      <c r="C335" s="2"/>
      <c r="D335" s="2" t="str">
        <f>IF(ISBLANK(C335),"",VLOOKUP(C335,configuration!$G$7:$H$10,2,FALSE))</f>
        <v/>
      </c>
      <c r="E335" s="2"/>
      <c r="F335" s="2"/>
      <c r="G335" s="2"/>
      <c r="H335" s="2" t="str">
        <f>IF(ISBLANK(G335),"",VLOOKUP(G335,configuration!$J$7:$K$10,2,FALSE))</f>
        <v/>
      </c>
      <c r="I335" s="30"/>
      <c r="J335" s="2"/>
      <c r="K335" s="31"/>
      <c r="L335" s="35"/>
      <c r="M335" s="2" t="str">
        <f>IF(ISBLANK(L335),"",VLOOKUP(L335,configuration!$M$7:$N$10,2,FALSE))</f>
        <v/>
      </c>
      <c r="N335" s="30"/>
      <c r="O335" s="2"/>
      <c r="P335" s="31"/>
      <c r="Q335" s="54"/>
      <c r="R335" s="55" t="str">
        <f>IF(ISBLANK(Q335),"",VLOOKUP(Q335,configuration!$P$7:$Q$10,2,FALSE))</f>
        <v/>
      </c>
      <c r="S335" s="56"/>
      <c r="T335" s="55"/>
      <c r="U335" s="78"/>
      <c r="V335" s="76" t="str">
        <f t="shared" si="20"/>
        <v/>
      </c>
      <c r="W335" s="48" t="str">
        <f t="shared" si="20"/>
        <v/>
      </c>
      <c r="X335" s="48" t="str">
        <f t="shared" si="20"/>
        <v/>
      </c>
      <c r="Y335" s="48" t="str">
        <f t="shared" si="20"/>
        <v/>
      </c>
      <c r="Z335" s="49" t="str">
        <f t="shared" si="22"/>
        <v/>
      </c>
      <c r="AA335" s="50" t="str">
        <f t="shared" si="21"/>
        <v/>
      </c>
      <c r="AB335" s="48" t="str">
        <f t="shared" si="21"/>
        <v/>
      </c>
      <c r="AC335" s="48" t="str">
        <f t="shared" si="21"/>
        <v/>
      </c>
      <c r="AD335" s="48" t="str">
        <f t="shared" si="21"/>
        <v/>
      </c>
      <c r="AE335" s="48" t="str">
        <f t="shared" si="23"/>
        <v/>
      </c>
    </row>
    <row r="336" spans="1:31" x14ac:dyDescent="0.25">
      <c r="A336" s="2"/>
      <c r="B336" s="2"/>
      <c r="C336" s="2"/>
      <c r="D336" s="2" t="str">
        <f>IF(ISBLANK(C336),"",VLOOKUP(C336,configuration!$G$7:$H$10,2,FALSE))</f>
        <v/>
      </c>
      <c r="E336" s="2"/>
      <c r="F336" s="2"/>
      <c r="G336" s="2"/>
      <c r="H336" s="2" t="str">
        <f>IF(ISBLANK(G336),"",VLOOKUP(G336,configuration!$J$7:$K$10,2,FALSE))</f>
        <v/>
      </c>
      <c r="I336" s="30"/>
      <c r="J336" s="2"/>
      <c r="K336" s="31"/>
      <c r="L336" s="35"/>
      <c r="M336" s="2" t="str">
        <f>IF(ISBLANK(L336),"",VLOOKUP(L336,configuration!$M$7:$N$10,2,FALSE))</f>
        <v/>
      </c>
      <c r="N336" s="30"/>
      <c r="O336" s="2"/>
      <c r="P336" s="31"/>
      <c r="Q336" s="54"/>
      <c r="R336" s="55" t="str">
        <f>IF(ISBLANK(Q336),"",VLOOKUP(Q336,configuration!$P$7:$Q$10,2,FALSE))</f>
        <v/>
      </c>
      <c r="S336" s="56"/>
      <c r="T336" s="55"/>
      <c r="U336" s="78"/>
      <c r="V336" s="76" t="str">
        <f t="shared" si="20"/>
        <v/>
      </c>
      <c r="W336" s="48" t="str">
        <f t="shared" si="20"/>
        <v/>
      </c>
      <c r="X336" s="48" t="str">
        <f t="shared" si="20"/>
        <v/>
      </c>
      <c r="Y336" s="48" t="str">
        <f t="shared" si="20"/>
        <v/>
      </c>
      <c r="Z336" s="49" t="str">
        <f t="shared" si="22"/>
        <v/>
      </c>
      <c r="AA336" s="50" t="str">
        <f t="shared" si="21"/>
        <v/>
      </c>
      <c r="AB336" s="48" t="str">
        <f t="shared" si="21"/>
        <v/>
      </c>
      <c r="AC336" s="48" t="str">
        <f t="shared" si="21"/>
        <v/>
      </c>
      <c r="AD336" s="48" t="str">
        <f t="shared" si="21"/>
        <v/>
      </c>
      <c r="AE336" s="48" t="str">
        <f t="shared" si="23"/>
        <v/>
      </c>
    </row>
    <row r="337" spans="1:31" x14ac:dyDescent="0.25">
      <c r="A337" s="2"/>
      <c r="B337" s="2"/>
      <c r="C337" s="2"/>
      <c r="D337" s="2" t="str">
        <f>IF(ISBLANK(C337),"",VLOOKUP(C337,configuration!$G$7:$H$10,2,FALSE))</f>
        <v/>
      </c>
      <c r="E337" s="2"/>
      <c r="F337" s="2"/>
      <c r="G337" s="2"/>
      <c r="H337" s="2" t="str">
        <f>IF(ISBLANK(G337),"",VLOOKUP(G337,configuration!$J$7:$K$10,2,FALSE))</f>
        <v/>
      </c>
      <c r="I337" s="30"/>
      <c r="J337" s="2"/>
      <c r="K337" s="31"/>
      <c r="L337" s="35"/>
      <c r="M337" s="2" t="str">
        <f>IF(ISBLANK(L337),"",VLOOKUP(L337,configuration!$M$7:$N$10,2,FALSE))</f>
        <v/>
      </c>
      <c r="N337" s="30"/>
      <c r="O337" s="2"/>
      <c r="P337" s="31"/>
      <c r="Q337" s="54"/>
      <c r="R337" s="55" t="str">
        <f>IF(ISBLANK(Q337),"",VLOOKUP(Q337,configuration!$P$7:$Q$10,2,FALSE))</f>
        <v/>
      </c>
      <c r="S337" s="56"/>
      <c r="T337" s="55"/>
      <c r="U337" s="78"/>
      <c r="V337" s="76" t="str">
        <f t="shared" si="20"/>
        <v/>
      </c>
      <c r="W337" s="48" t="str">
        <f t="shared" si="20"/>
        <v/>
      </c>
      <c r="X337" s="48" t="str">
        <f t="shared" si="20"/>
        <v/>
      </c>
      <c r="Y337" s="48" t="str">
        <f t="shared" si="20"/>
        <v/>
      </c>
      <c r="Z337" s="49" t="str">
        <f t="shared" si="22"/>
        <v/>
      </c>
      <c r="AA337" s="50" t="str">
        <f t="shared" si="21"/>
        <v/>
      </c>
      <c r="AB337" s="48" t="str">
        <f t="shared" si="21"/>
        <v/>
      </c>
      <c r="AC337" s="48" t="str">
        <f t="shared" si="21"/>
        <v/>
      </c>
      <c r="AD337" s="48" t="str">
        <f t="shared" si="21"/>
        <v/>
      </c>
      <c r="AE337" s="48" t="str">
        <f t="shared" si="23"/>
        <v/>
      </c>
    </row>
    <row r="338" spans="1:31" x14ac:dyDescent="0.25">
      <c r="A338" s="2"/>
      <c r="B338" s="2"/>
      <c r="C338" s="2"/>
      <c r="D338" s="2" t="str">
        <f>IF(ISBLANK(C338),"",VLOOKUP(C338,configuration!$G$7:$H$10,2,FALSE))</f>
        <v/>
      </c>
      <c r="E338" s="2"/>
      <c r="F338" s="2"/>
      <c r="G338" s="2"/>
      <c r="H338" s="2" t="str">
        <f>IF(ISBLANK(G338),"",VLOOKUP(G338,configuration!$J$7:$K$10,2,FALSE))</f>
        <v/>
      </c>
      <c r="I338" s="30"/>
      <c r="J338" s="2"/>
      <c r="K338" s="31"/>
      <c r="L338" s="35"/>
      <c r="M338" s="2" t="str">
        <f>IF(ISBLANK(L338),"",VLOOKUP(L338,configuration!$M$7:$N$10,2,FALSE))</f>
        <v/>
      </c>
      <c r="N338" s="30"/>
      <c r="O338" s="2"/>
      <c r="P338" s="31"/>
      <c r="Q338" s="54"/>
      <c r="R338" s="55" t="str">
        <f>IF(ISBLANK(Q338),"",VLOOKUP(Q338,configuration!$P$7:$Q$10,2,FALSE))</f>
        <v/>
      </c>
      <c r="S338" s="56"/>
      <c r="T338" s="55"/>
      <c r="U338" s="78"/>
      <c r="V338" s="76" t="str">
        <f t="shared" si="20"/>
        <v/>
      </c>
      <c r="W338" s="48" t="str">
        <f t="shared" si="20"/>
        <v/>
      </c>
      <c r="X338" s="48" t="str">
        <f t="shared" si="20"/>
        <v/>
      </c>
      <c r="Y338" s="48" t="str">
        <f t="shared" si="20"/>
        <v/>
      </c>
      <c r="Z338" s="49" t="str">
        <f t="shared" si="22"/>
        <v/>
      </c>
      <c r="AA338" s="50" t="str">
        <f t="shared" si="21"/>
        <v/>
      </c>
      <c r="AB338" s="48" t="str">
        <f t="shared" si="21"/>
        <v/>
      </c>
      <c r="AC338" s="48" t="str">
        <f t="shared" si="21"/>
        <v/>
      </c>
      <c r="AD338" s="48" t="str">
        <f t="shared" si="21"/>
        <v/>
      </c>
      <c r="AE338" s="48" t="str">
        <f t="shared" si="23"/>
        <v/>
      </c>
    </row>
    <row r="339" spans="1:31" x14ac:dyDescent="0.25">
      <c r="A339" s="2"/>
      <c r="B339" s="2"/>
      <c r="C339" s="2"/>
      <c r="D339" s="2" t="str">
        <f>IF(ISBLANK(C339),"",VLOOKUP(C339,configuration!$G$7:$H$10,2,FALSE))</f>
        <v/>
      </c>
      <c r="E339" s="2"/>
      <c r="F339" s="2"/>
      <c r="G339" s="2"/>
      <c r="H339" s="2" t="str">
        <f>IF(ISBLANK(G339),"",VLOOKUP(G339,configuration!$J$7:$K$10,2,FALSE))</f>
        <v/>
      </c>
      <c r="I339" s="30"/>
      <c r="J339" s="2"/>
      <c r="K339" s="31"/>
      <c r="L339" s="35"/>
      <c r="M339" s="2" t="str">
        <f>IF(ISBLANK(L339),"",VLOOKUP(L339,configuration!$M$7:$N$10,2,FALSE))</f>
        <v/>
      </c>
      <c r="N339" s="30"/>
      <c r="O339" s="2"/>
      <c r="P339" s="31"/>
      <c r="Q339" s="54"/>
      <c r="R339" s="55" t="str">
        <f>IF(ISBLANK(Q339),"",VLOOKUP(Q339,configuration!$P$7:$Q$10,2,FALSE))</f>
        <v/>
      </c>
      <c r="S339" s="56"/>
      <c r="T339" s="55"/>
      <c r="U339" s="78"/>
      <c r="V339" s="76" t="str">
        <f t="shared" si="20"/>
        <v/>
      </c>
      <c r="W339" s="48" t="str">
        <f t="shared" si="20"/>
        <v/>
      </c>
      <c r="X339" s="48" t="str">
        <f t="shared" si="20"/>
        <v/>
      </c>
      <c r="Y339" s="48" t="str">
        <f t="shared" si="20"/>
        <v/>
      </c>
      <c r="Z339" s="49" t="str">
        <f t="shared" si="22"/>
        <v/>
      </c>
      <c r="AA339" s="50" t="str">
        <f t="shared" si="21"/>
        <v/>
      </c>
      <c r="AB339" s="48" t="str">
        <f t="shared" si="21"/>
        <v/>
      </c>
      <c r="AC339" s="48" t="str">
        <f t="shared" si="21"/>
        <v/>
      </c>
      <c r="AD339" s="48" t="str">
        <f t="shared" si="21"/>
        <v/>
      </c>
      <c r="AE339" s="48" t="str">
        <f t="shared" si="23"/>
        <v/>
      </c>
    </row>
    <row r="340" spans="1:31" x14ac:dyDescent="0.25">
      <c r="A340" s="2"/>
      <c r="B340" s="2"/>
      <c r="C340" s="2"/>
      <c r="D340" s="2" t="str">
        <f>IF(ISBLANK(C340),"",VLOOKUP(C340,configuration!$G$7:$H$10,2,FALSE))</f>
        <v/>
      </c>
      <c r="E340" s="2"/>
      <c r="F340" s="2"/>
      <c r="G340" s="2"/>
      <c r="H340" s="2" t="str">
        <f>IF(ISBLANK(G340),"",VLOOKUP(G340,configuration!$J$7:$K$10,2,FALSE))</f>
        <v/>
      </c>
      <c r="I340" s="30"/>
      <c r="J340" s="2"/>
      <c r="K340" s="31"/>
      <c r="L340" s="35"/>
      <c r="M340" s="2" t="str">
        <f>IF(ISBLANK(L340),"",VLOOKUP(L340,configuration!$M$7:$N$10,2,FALSE))</f>
        <v/>
      </c>
      <c r="N340" s="30"/>
      <c r="O340" s="2"/>
      <c r="P340" s="31"/>
      <c r="Q340" s="54"/>
      <c r="R340" s="55" t="str">
        <f>IF(ISBLANK(Q340),"",VLOOKUP(Q340,configuration!$P$7:$Q$10,2,FALSE))</f>
        <v/>
      </c>
      <c r="S340" s="56"/>
      <c r="T340" s="55"/>
      <c r="U340" s="78"/>
      <c r="V340" s="76" t="str">
        <f t="shared" ref="V340:Y403" si="24">IF($G340=V$4,1,"")</f>
        <v/>
      </c>
      <c r="W340" s="48" t="str">
        <f t="shared" si="24"/>
        <v/>
      </c>
      <c r="X340" s="48" t="str">
        <f t="shared" si="24"/>
        <v/>
      </c>
      <c r="Y340" s="48" t="str">
        <f t="shared" si="24"/>
        <v/>
      </c>
      <c r="Z340" s="49" t="str">
        <f t="shared" si="22"/>
        <v/>
      </c>
      <c r="AA340" s="50" t="str">
        <f t="shared" ref="AA340:AD403" si="25">IF($L340=AA$4,1,"")</f>
        <v/>
      </c>
      <c r="AB340" s="48" t="str">
        <f t="shared" si="25"/>
        <v/>
      </c>
      <c r="AC340" s="48" t="str">
        <f t="shared" si="25"/>
        <v/>
      </c>
      <c r="AD340" s="48" t="str">
        <f t="shared" si="25"/>
        <v/>
      </c>
      <c r="AE340" s="48" t="str">
        <f t="shared" si="23"/>
        <v/>
      </c>
    </row>
    <row r="341" spans="1:31" x14ac:dyDescent="0.25">
      <c r="A341" s="2"/>
      <c r="B341" s="2"/>
      <c r="C341" s="2"/>
      <c r="D341" s="2" t="str">
        <f>IF(ISBLANK(C341),"",VLOOKUP(C341,configuration!$G$7:$H$10,2,FALSE))</f>
        <v/>
      </c>
      <c r="E341" s="2"/>
      <c r="F341" s="2"/>
      <c r="G341" s="2"/>
      <c r="H341" s="2" t="str">
        <f>IF(ISBLANK(G341),"",VLOOKUP(G341,configuration!$J$7:$K$10,2,FALSE))</f>
        <v/>
      </c>
      <c r="I341" s="30"/>
      <c r="J341" s="2"/>
      <c r="K341" s="31"/>
      <c r="L341" s="35"/>
      <c r="M341" s="2" t="str">
        <f>IF(ISBLANK(L341),"",VLOOKUP(L341,configuration!$M$7:$N$10,2,FALSE))</f>
        <v/>
      </c>
      <c r="N341" s="30"/>
      <c r="O341" s="2"/>
      <c r="P341" s="31"/>
      <c r="Q341" s="54"/>
      <c r="R341" s="55" t="str">
        <f>IF(ISBLANK(Q341),"",VLOOKUP(Q341,configuration!$P$7:$Q$10,2,FALSE))</f>
        <v/>
      </c>
      <c r="S341" s="56"/>
      <c r="T341" s="55"/>
      <c r="U341" s="78"/>
      <c r="V341" s="76" t="str">
        <f t="shared" si="24"/>
        <v/>
      </c>
      <c r="W341" s="48" t="str">
        <f t="shared" si="24"/>
        <v/>
      </c>
      <c r="X341" s="48" t="str">
        <f t="shared" si="24"/>
        <v/>
      </c>
      <c r="Y341" s="48" t="str">
        <f t="shared" si="24"/>
        <v/>
      </c>
      <c r="Z341" s="49" t="str">
        <f t="shared" si="22"/>
        <v/>
      </c>
      <c r="AA341" s="50" t="str">
        <f t="shared" si="25"/>
        <v/>
      </c>
      <c r="AB341" s="48" t="str">
        <f t="shared" si="25"/>
        <v/>
      </c>
      <c r="AC341" s="48" t="str">
        <f t="shared" si="25"/>
        <v/>
      </c>
      <c r="AD341" s="48" t="str">
        <f t="shared" si="25"/>
        <v/>
      </c>
      <c r="AE341" s="48" t="str">
        <f t="shared" si="23"/>
        <v/>
      </c>
    </row>
    <row r="342" spans="1:31" x14ac:dyDescent="0.25">
      <c r="A342" s="2"/>
      <c r="B342" s="2"/>
      <c r="C342" s="2"/>
      <c r="D342" s="2" t="str">
        <f>IF(ISBLANK(C342),"",VLOOKUP(C342,configuration!$G$7:$H$10,2,FALSE))</f>
        <v/>
      </c>
      <c r="E342" s="2"/>
      <c r="F342" s="2"/>
      <c r="G342" s="2"/>
      <c r="H342" s="2" t="str">
        <f>IF(ISBLANK(G342),"",VLOOKUP(G342,configuration!$J$7:$K$10,2,FALSE))</f>
        <v/>
      </c>
      <c r="I342" s="30"/>
      <c r="J342" s="2"/>
      <c r="K342" s="31"/>
      <c r="L342" s="35"/>
      <c r="M342" s="2" t="str">
        <f>IF(ISBLANK(L342),"",VLOOKUP(L342,configuration!$M$7:$N$10,2,FALSE))</f>
        <v/>
      </c>
      <c r="N342" s="30"/>
      <c r="O342" s="2"/>
      <c r="P342" s="31"/>
      <c r="Q342" s="54"/>
      <c r="R342" s="55" t="str">
        <f>IF(ISBLANK(Q342),"",VLOOKUP(Q342,configuration!$P$7:$Q$10,2,FALSE))</f>
        <v/>
      </c>
      <c r="S342" s="56"/>
      <c r="T342" s="55"/>
      <c r="U342" s="78"/>
      <c r="V342" s="76" t="str">
        <f t="shared" si="24"/>
        <v/>
      </c>
      <c r="W342" s="48" t="str">
        <f t="shared" si="24"/>
        <v/>
      </c>
      <c r="X342" s="48" t="str">
        <f t="shared" si="24"/>
        <v/>
      </c>
      <c r="Y342" s="48" t="str">
        <f t="shared" si="24"/>
        <v/>
      </c>
      <c r="Z342" s="49" t="str">
        <f t="shared" si="22"/>
        <v/>
      </c>
      <c r="AA342" s="50" t="str">
        <f t="shared" si="25"/>
        <v/>
      </c>
      <c r="AB342" s="48" t="str">
        <f t="shared" si="25"/>
        <v/>
      </c>
      <c r="AC342" s="48" t="str">
        <f t="shared" si="25"/>
        <v/>
      </c>
      <c r="AD342" s="48" t="str">
        <f t="shared" si="25"/>
        <v/>
      </c>
      <c r="AE342" s="48" t="str">
        <f t="shared" si="23"/>
        <v/>
      </c>
    </row>
    <row r="343" spans="1:31" x14ac:dyDescent="0.25">
      <c r="A343" s="2"/>
      <c r="B343" s="2"/>
      <c r="C343" s="2"/>
      <c r="D343" s="2" t="str">
        <f>IF(ISBLANK(C343),"",VLOOKUP(C343,configuration!$G$7:$H$10,2,FALSE))</f>
        <v/>
      </c>
      <c r="E343" s="2"/>
      <c r="F343" s="2"/>
      <c r="G343" s="2"/>
      <c r="H343" s="2" t="str">
        <f>IF(ISBLANK(G343),"",VLOOKUP(G343,configuration!$J$7:$K$10,2,FALSE))</f>
        <v/>
      </c>
      <c r="I343" s="30"/>
      <c r="J343" s="2"/>
      <c r="K343" s="31"/>
      <c r="L343" s="35"/>
      <c r="M343" s="2" t="str">
        <f>IF(ISBLANK(L343),"",VLOOKUP(L343,configuration!$M$7:$N$10,2,FALSE))</f>
        <v/>
      </c>
      <c r="N343" s="30"/>
      <c r="O343" s="2"/>
      <c r="P343" s="31"/>
      <c r="Q343" s="54"/>
      <c r="R343" s="55" t="str">
        <f>IF(ISBLANK(Q343),"",VLOOKUP(Q343,configuration!$P$7:$Q$10,2,FALSE))</f>
        <v/>
      </c>
      <c r="S343" s="56"/>
      <c r="T343" s="55"/>
      <c r="U343" s="78"/>
      <c r="V343" s="76" t="str">
        <f t="shared" si="24"/>
        <v/>
      </c>
      <c r="W343" s="48" t="str">
        <f t="shared" si="24"/>
        <v/>
      </c>
      <c r="X343" s="48" t="str">
        <f t="shared" si="24"/>
        <v/>
      </c>
      <c r="Y343" s="48" t="str">
        <f t="shared" si="24"/>
        <v/>
      </c>
      <c r="Z343" s="49" t="str">
        <f t="shared" si="22"/>
        <v/>
      </c>
      <c r="AA343" s="50" t="str">
        <f t="shared" si="25"/>
        <v/>
      </c>
      <c r="AB343" s="48" t="str">
        <f t="shared" si="25"/>
        <v/>
      </c>
      <c r="AC343" s="48" t="str">
        <f t="shared" si="25"/>
        <v/>
      </c>
      <c r="AD343" s="48" t="str">
        <f t="shared" si="25"/>
        <v/>
      </c>
      <c r="AE343" s="48" t="str">
        <f t="shared" si="23"/>
        <v/>
      </c>
    </row>
    <row r="344" spans="1:31" x14ac:dyDescent="0.25">
      <c r="A344" s="2"/>
      <c r="B344" s="2"/>
      <c r="C344" s="2"/>
      <c r="D344" s="2" t="str">
        <f>IF(ISBLANK(C344),"",VLOOKUP(C344,configuration!$G$7:$H$10,2,FALSE))</f>
        <v/>
      </c>
      <c r="E344" s="2"/>
      <c r="F344" s="2"/>
      <c r="G344" s="2"/>
      <c r="H344" s="2" t="str">
        <f>IF(ISBLANK(G344),"",VLOOKUP(G344,configuration!$J$7:$K$10,2,FALSE))</f>
        <v/>
      </c>
      <c r="I344" s="30"/>
      <c r="J344" s="2"/>
      <c r="K344" s="31"/>
      <c r="L344" s="35"/>
      <c r="M344" s="2" t="str">
        <f>IF(ISBLANK(L344),"",VLOOKUP(L344,configuration!$M$7:$N$10,2,FALSE))</f>
        <v/>
      </c>
      <c r="N344" s="30"/>
      <c r="O344" s="2"/>
      <c r="P344" s="31"/>
      <c r="Q344" s="54"/>
      <c r="R344" s="55" t="str">
        <f>IF(ISBLANK(Q344),"",VLOOKUP(Q344,configuration!$P$7:$Q$10,2,FALSE))</f>
        <v/>
      </c>
      <c r="S344" s="56"/>
      <c r="T344" s="55"/>
      <c r="U344" s="78"/>
      <c r="V344" s="76" t="str">
        <f t="shared" si="24"/>
        <v/>
      </c>
      <c r="W344" s="48" t="str">
        <f t="shared" si="24"/>
        <v/>
      </c>
      <c r="X344" s="48" t="str">
        <f t="shared" si="24"/>
        <v/>
      </c>
      <c r="Y344" s="48" t="str">
        <f t="shared" si="24"/>
        <v/>
      </c>
      <c r="Z344" s="49" t="str">
        <f t="shared" si="22"/>
        <v/>
      </c>
      <c r="AA344" s="50" t="str">
        <f t="shared" si="25"/>
        <v/>
      </c>
      <c r="AB344" s="48" t="str">
        <f t="shared" si="25"/>
        <v/>
      </c>
      <c r="AC344" s="48" t="str">
        <f t="shared" si="25"/>
        <v/>
      </c>
      <c r="AD344" s="48" t="str">
        <f t="shared" si="25"/>
        <v/>
      </c>
      <c r="AE344" s="48" t="str">
        <f t="shared" si="23"/>
        <v/>
      </c>
    </row>
    <row r="345" spans="1:31" x14ac:dyDescent="0.25">
      <c r="A345" s="2"/>
      <c r="B345" s="2"/>
      <c r="C345" s="2"/>
      <c r="D345" s="2" t="str">
        <f>IF(ISBLANK(C345),"",VLOOKUP(C345,configuration!$G$7:$H$10,2,FALSE))</f>
        <v/>
      </c>
      <c r="E345" s="2"/>
      <c r="F345" s="2"/>
      <c r="G345" s="2"/>
      <c r="H345" s="2" t="str">
        <f>IF(ISBLANK(G345),"",VLOOKUP(G345,configuration!$J$7:$K$10,2,FALSE))</f>
        <v/>
      </c>
      <c r="I345" s="30"/>
      <c r="J345" s="2"/>
      <c r="K345" s="31"/>
      <c r="L345" s="35"/>
      <c r="M345" s="2" t="str">
        <f>IF(ISBLANK(L345),"",VLOOKUP(L345,configuration!$M$7:$N$10,2,FALSE))</f>
        <v/>
      </c>
      <c r="N345" s="30"/>
      <c r="O345" s="2"/>
      <c r="P345" s="31"/>
      <c r="Q345" s="54"/>
      <c r="R345" s="55" t="str">
        <f>IF(ISBLANK(Q345),"",VLOOKUP(Q345,configuration!$P$7:$Q$10,2,FALSE))</f>
        <v/>
      </c>
      <c r="S345" s="56"/>
      <c r="T345" s="55"/>
      <c r="U345" s="78"/>
      <c r="V345" s="76" t="str">
        <f t="shared" si="24"/>
        <v/>
      </c>
      <c r="W345" s="48" t="str">
        <f t="shared" si="24"/>
        <v/>
      </c>
      <c r="X345" s="48" t="str">
        <f t="shared" si="24"/>
        <v/>
      </c>
      <c r="Y345" s="48" t="str">
        <f t="shared" si="24"/>
        <v/>
      </c>
      <c r="Z345" s="49" t="str">
        <f t="shared" si="22"/>
        <v/>
      </c>
      <c r="AA345" s="50" t="str">
        <f t="shared" si="25"/>
        <v/>
      </c>
      <c r="AB345" s="48" t="str">
        <f t="shared" si="25"/>
        <v/>
      </c>
      <c r="AC345" s="48" t="str">
        <f t="shared" si="25"/>
        <v/>
      </c>
      <c r="AD345" s="48" t="str">
        <f t="shared" si="25"/>
        <v/>
      </c>
      <c r="AE345" s="48" t="str">
        <f t="shared" si="23"/>
        <v/>
      </c>
    </row>
    <row r="346" spans="1:31" x14ac:dyDescent="0.25">
      <c r="A346" s="2"/>
      <c r="B346" s="2"/>
      <c r="C346" s="2"/>
      <c r="D346" s="2" t="str">
        <f>IF(ISBLANK(C346),"",VLOOKUP(C346,configuration!$G$7:$H$10,2,FALSE))</f>
        <v/>
      </c>
      <c r="E346" s="2"/>
      <c r="F346" s="2"/>
      <c r="G346" s="2"/>
      <c r="H346" s="2" t="str">
        <f>IF(ISBLANK(G346),"",VLOOKUP(G346,configuration!$J$7:$K$10,2,FALSE))</f>
        <v/>
      </c>
      <c r="I346" s="30"/>
      <c r="J346" s="2"/>
      <c r="K346" s="31"/>
      <c r="L346" s="35"/>
      <c r="M346" s="2" t="str">
        <f>IF(ISBLANK(L346),"",VLOOKUP(L346,configuration!$M$7:$N$10,2,FALSE))</f>
        <v/>
      </c>
      <c r="N346" s="30"/>
      <c r="O346" s="2"/>
      <c r="P346" s="31"/>
      <c r="Q346" s="54"/>
      <c r="R346" s="55" t="str">
        <f>IF(ISBLANK(Q346),"",VLOOKUP(Q346,configuration!$P$7:$Q$10,2,FALSE))</f>
        <v/>
      </c>
      <c r="S346" s="56"/>
      <c r="T346" s="55"/>
      <c r="U346" s="78"/>
      <c r="V346" s="76" t="str">
        <f t="shared" si="24"/>
        <v/>
      </c>
      <c r="W346" s="48" t="str">
        <f t="shared" si="24"/>
        <v/>
      </c>
      <c r="X346" s="48" t="str">
        <f t="shared" si="24"/>
        <v/>
      </c>
      <c r="Y346" s="48" t="str">
        <f t="shared" si="24"/>
        <v/>
      </c>
      <c r="Z346" s="49" t="str">
        <f t="shared" si="22"/>
        <v/>
      </c>
      <c r="AA346" s="50" t="str">
        <f t="shared" si="25"/>
        <v/>
      </c>
      <c r="AB346" s="48" t="str">
        <f t="shared" si="25"/>
        <v/>
      </c>
      <c r="AC346" s="48" t="str">
        <f t="shared" si="25"/>
        <v/>
      </c>
      <c r="AD346" s="48" t="str">
        <f t="shared" si="25"/>
        <v/>
      </c>
      <c r="AE346" s="48" t="str">
        <f t="shared" si="23"/>
        <v/>
      </c>
    </row>
    <row r="347" spans="1:31" x14ac:dyDescent="0.25">
      <c r="A347" s="2"/>
      <c r="B347" s="2"/>
      <c r="C347" s="2"/>
      <c r="D347" s="2" t="str">
        <f>IF(ISBLANK(C347),"",VLOOKUP(C347,configuration!$G$7:$H$10,2,FALSE))</f>
        <v/>
      </c>
      <c r="E347" s="2"/>
      <c r="F347" s="2"/>
      <c r="G347" s="2"/>
      <c r="H347" s="2" t="str">
        <f>IF(ISBLANK(G347),"",VLOOKUP(G347,configuration!$J$7:$K$10,2,FALSE))</f>
        <v/>
      </c>
      <c r="I347" s="30"/>
      <c r="J347" s="2"/>
      <c r="K347" s="31"/>
      <c r="L347" s="35"/>
      <c r="M347" s="2" t="str">
        <f>IF(ISBLANK(L347),"",VLOOKUP(L347,configuration!$M$7:$N$10,2,FALSE))</f>
        <v/>
      </c>
      <c r="N347" s="30"/>
      <c r="O347" s="2"/>
      <c r="P347" s="31"/>
      <c r="Q347" s="54"/>
      <c r="R347" s="55" t="str">
        <f>IF(ISBLANK(Q347),"",VLOOKUP(Q347,configuration!$P$7:$Q$10,2,FALSE))</f>
        <v/>
      </c>
      <c r="S347" s="56"/>
      <c r="T347" s="55"/>
      <c r="U347" s="78"/>
      <c r="V347" s="76" t="str">
        <f t="shared" si="24"/>
        <v/>
      </c>
      <c r="W347" s="48" t="str">
        <f t="shared" si="24"/>
        <v/>
      </c>
      <c r="X347" s="48" t="str">
        <f t="shared" si="24"/>
        <v/>
      </c>
      <c r="Y347" s="48" t="str">
        <f t="shared" si="24"/>
        <v/>
      </c>
      <c r="Z347" s="49" t="str">
        <f t="shared" si="22"/>
        <v/>
      </c>
      <c r="AA347" s="50" t="str">
        <f t="shared" si="25"/>
        <v/>
      </c>
      <c r="AB347" s="48" t="str">
        <f t="shared" si="25"/>
        <v/>
      </c>
      <c r="AC347" s="48" t="str">
        <f t="shared" si="25"/>
        <v/>
      </c>
      <c r="AD347" s="48" t="str">
        <f t="shared" si="25"/>
        <v/>
      </c>
      <c r="AE347" s="48" t="str">
        <f t="shared" si="23"/>
        <v/>
      </c>
    </row>
    <row r="348" spans="1:31" x14ac:dyDescent="0.25">
      <c r="A348" s="2"/>
      <c r="B348" s="2"/>
      <c r="C348" s="2"/>
      <c r="D348" s="2" t="str">
        <f>IF(ISBLANK(C348),"",VLOOKUP(C348,configuration!$G$7:$H$10,2,FALSE))</f>
        <v/>
      </c>
      <c r="E348" s="2"/>
      <c r="F348" s="2"/>
      <c r="G348" s="2"/>
      <c r="H348" s="2" t="str">
        <f>IF(ISBLANK(G348),"",VLOOKUP(G348,configuration!$J$7:$K$10,2,FALSE))</f>
        <v/>
      </c>
      <c r="I348" s="30"/>
      <c r="J348" s="2"/>
      <c r="K348" s="31"/>
      <c r="L348" s="35"/>
      <c r="M348" s="2" t="str">
        <f>IF(ISBLANK(L348),"",VLOOKUP(L348,configuration!$M$7:$N$10,2,FALSE))</f>
        <v/>
      </c>
      <c r="N348" s="30"/>
      <c r="O348" s="2"/>
      <c r="P348" s="31"/>
      <c r="Q348" s="54"/>
      <c r="R348" s="55" t="str">
        <f>IF(ISBLANK(Q348),"",VLOOKUP(Q348,configuration!$P$7:$Q$10,2,FALSE))</f>
        <v/>
      </c>
      <c r="S348" s="56"/>
      <c r="T348" s="55"/>
      <c r="U348" s="78"/>
      <c r="V348" s="76" t="str">
        <f t="shared" si="24"/>
        <v/>
      </c>
      <c r="W348" s="48" t="str">
        <f t="shared" si="24"/>
        <v/>
      </c>
      <c r="X348" s="48" t="str">
        <f t="shared" si="24"/>
        <v/>
      </c>
      <c r="Y348" s="48" t="str">
        <f t="shared" si="24"/>
        <v/>
      </c>
      <c r="Z348" s="49" t="str">
        <f t="shared" si="22"/>
        <v/>
      </c>
      <c r="AA348" s="50" t="str">
        <f t="shared" si="25"/>
        <v/>
      </c>
      <c r="AB348" s="48" t="str">
        <f t="shared" si="25"/>
        <v/>
      </c>
      <c r="AC348" s="48" t="str">
        <f t="shared" si="25"/>
        <v/>
      </c>
      <c r="AD348" s="48" t="str">
        <f t="shared" si="25"/>
        <v/>
      </c>
      <c r="AE348" s="48" t="str">
        <f t="shared" si="23"/>
        <v/>
      </c>
    </row>
    <row r="349" spans="1:31" x14ac:dyDescent="0.25">
      <c r="A349" s="2"/>
      <c r="B349" s="2"/>
      <c r="C349" s="2"/>
      <c r="D349" s="2" t="str">
        <f>IF(ISBLANK(C349),"",VLOOKUP(C349,configuration!$G$7:$H$10,2,FALSE))</f>
        <v/>
      </c>
      <c r="E349" s="2"/>
      <c r="F349" s="2"/>
      <c r="G349" s="2"/>
      <c r="H349" s="2" t="str">
        <f>IF(ISBLANK(G349),"",VLOOKUP(G349,configuration!$J$7:$K$10,2,FALSE))</f>
        <v/>
      </c>
      <c r="I349" s="30"/>
      <c r="J349" s="2"/>
      <c r="K349" s="31"/>
      <c r="L349" s="35"/>
      <c r="M349" s="2" t="str">
        <f>IF(ISBLANK(L349),"",VLOOKUP(L349,configuration!$M$7:$N$10,2,FALSE))</f>
        <v/>
      </c>
      <c r="N349" s="30"/>
      <c r="O349" s="2"/>
      <c r="P349" s="31"/>
      <c r="Q349" s="54"/>
      <c r="R349" s="55" t="str">
        <f>IF(ISBLANK(Q349),"",VLOOKUP(Q349,configuration!$P$7:$Q$10,2,FALSE))</f>
        <v/>
      </c>
      <c r="S349" s="56"/>
      <c r="T349" s="55"/>
      <c r="U349" s="78"/>
      <c r="V349" s="76" t="str">
        <f t="shared" si="24"/>
        <v/>
      </c>
      <c r="W349" s="48" t="str">
        <f t="shared" si="24"/>
        <v/>
      </c>
      <c r="X349" s="48" t="str">
        <f t="shared" si="24"/>
        <v/>
      </c>
      <c r="Y349" s="48" t="str">
        <f t="shared" si="24"/>
        <v/>
      </c>
      <c r="Z349" s="49" t="str">
        <f t="shared" si="22"/>
        <v/>
      </c>
      <c r="AA349" s="50" t="str">
        <f t="shared" si="25"/>
        <v/>
      </c>
      <c r="AB349" s="48" t="str">
        <f t="shared" si="25"/>
        <v/>
      </c>
      <c r="AC349" s="48" t="str">
        <f t="shared" si="25"/>
        <v/>
      </c>
      <c r="AD349" s="48" t="str">
        <f t="shared" si="25"/>
        <v/>
      </c>
      <c r="AE349" s="48" t="str">
        <f t="shared" si="23"/>
        <v/>
      </c>
    </row>
    <row r="350" spans="1:31" x14ac:dyDescent="0.25">
      <c r="A350" s="2"/>
      <c r="B350" s="2"/>
      <c r="C350" s="2"/>
      <c r="D350" s="2" t="str">
        <f>IF(ISBLANK(C350),"",VLOOKUP(C350,configuration!$G$7:$H$10,2,FALSE))</f>
        <v/>
      </c>
      <c r="E350" s="2"/>
      <c r="F350" s="2"/>
      <c r="G350" s="2"/>
      <c r="H350" s="2" t="str">
        <f>IF(ISBLANK(G350),"",VLOOKUP(G350,configuration!$J$7:$K$10,2,FALSE))</f>
        <v/>
      </c>
      <c r="I350" s="30"/>
      <c r="J350" s="2"/>
      <c r="K350" s="31"/>
      <c r="L350" s="35"/>
      <c r="M350" s="2" t="str">
        <f>IF(ISBLANK(L350),"",VLOOKUP(L350,configuration!$M$7:$N$10,2,FALSE))</f>
        <v/>
      </c>
      <c r="N350" s="30"/>
      <c r="O350" s="2"/>
      <c r="P350" s="31"/>
      <c r="Q350" s="54"/>
      <c r="R350" s="55" t="str">
        <f>IF(ISBLANK(Q350),"",VLOOKUP(Q350,configuration!$P$7:$Q$10,2,FALSE))</f>
        <v/>
      </c>
      <c r="S350" s="56"/>
      <c r="T350" s="55"/>
      <c r="U350" s="78"/>
      <c r="V350" s="76" t="str">
        <f t="shared" si="24"/>
        <v/>
      </c>
      <c r="W350" s="48" t="str">
        <f t="shared" si="24"/>
        <v/>
      </c>
      <c r="X350" s="48" t="str">
        <f t="shared" si="24"/>
        <v/>
      </c>
      <c r="Y350" s="48" t="str">
        <f t="shared" si="24"/>
        <v/>
      </c>
      <c r="Z350" s="49" t="str">
        <f t="shared" si="22"/>
        <v/>
      </c>
      <c r="AA350" s="50" t="str">
        <f t="shared" si="25"/>
        <v/>
      </c>
      <c r="AB350" s="48" t="str">
        <f t="shared" si="25"/>
        <v/>
      </c>
      <c r="AC350" s="48" t="str">
        <f t="shared" si="25"/>
        <v/>
      </c>
      <c r="AD350" s="48" t="str">
        <f t="shared" si="25"/>
        <v/>
      </c>
      <c r="AE350" s="48" t="str">
        <f t="shared" si="23"/>
        <v/>
      </c>
    </row>
    <row r="351" spans="1:31" x14ac:dyDescent="0.25">
      <c r="A351" s="2"/>
      <c r="B351" s="2"/>
      <c r="C351" s="2"/>
      <c r="D351" s="2" t="str">
        <f>IF(ISBLANK(C351),"",VLOOKUP(C351,configuration!$G$7:$H$10,2,FALSE))</f>
        <v/>
      </c>
      <c r="E351" s="2"/>
      <c r="F351" s="2"/>
      <c r="G351" s="2"/>
      <c r="H351" s="2" t="str">
        <f>IF(ISBLANK(G351),"",VLOOKUP(G351,configuration!$J$7:$K$10,2,FALSE))</f>
        <v/>
      </c>
      <c r="I351" s="30"/>
      <c r="J351" s="2"/>
      <c r="K351" s="31"/>
      <c r="L351" s="35"/>
      <c r="M351" s="2" t="str">
        <f>IF(ISBLANK(L351),"",VLOOKUP(L351,configuration!$M$7:$N$10,2,FALSE))</f>
        <v/>
      </c>
      <c r="N351" s="30"/>
      <c r="O351" s="2"/>
      <c r="P351" s="31"/>
      <c r="Q351" s="54"/>
      <c r="R351" s="55" t="str">
        <f>IF(ISBLANK(Q351),"",VLOOKUP(Q351,configuration!$P$7:$Q$10,2,FALSE))</f>
        <v/>
      </c>
      <c r="S351" s="56"/>
      <c r="T351" s="55"/>
      <c r="U351" s="78"/>
      <c r="V351" s="76" t="str">
        <f t="shared" si="24"/>
        <v/>
      </c>
      <c r="W351" s="48" t="str">
        <f t="shared" si="24"/>
        <v/>
      </c>
      <c r="X351" s="48" t="str">
        <f t="shared" si="24"/>
        <v/>
      </c>
      <c r="Y351" s="48" t="str">
        <f t="shared" si="24"/>
        <v/>
      </c>
      <c r="Z351" s="49" t="str">
        <f t="shared" si="22"/>
        <v/>
      </c>
      <c r="AA351" s="50" t="str">
        <f t="shared" si="25"/>
        <v/>
      </c>
      <c r="AB351" s="48" t="str">
        <f t="shared" si="25"/>
        <v/>
      </c>
      <c r="AC351" s="48" t="str">
        <f t="shared" si="25"/>
        <v/>
      </c>
      <c r="AD351" s="48" t="str">
        <f t="shared" si="25"/>
        <v/>
      </c>
      <c r="AE351" s="48" t="str">
        <f t="shared" si="23"/>
        <v/>
      </c>
    </row>
    <row r="352" spans="1:31" x14ac:dyDescent="0.25">
      <c r="A352" s="2"/>
      <c r="B352" s="2"/>
      <c r="C352" s="2"/>
      <c r="D352" s="2" t="str">
        <f>IF(ISBLANK(C352),"",VLOOKUP(C352,configuration!$G$7:$H$10,2,FALSE))</f>
        <v/>
      </c>
      <c r="E352" s="2"/>
      <c r="F352" s="2"/>
      <c r="G352" s="2"/>
      <c r="H352" s="2" t="str">
        <f>IF(ISBLANK(G352),"",VLOOKUP(G352,configuration!$J$7:$K$10,2,FALSE))</f>
        <v/>
      </c>
      <c r="I352" s="30"/>
      <c r="J352" s="2"/>
      <c r="K352" s="31"/>
      <c r="L352" s="35"/>
      <c r="M352" s="2" t="str">
        <f>IF(ISBLANK(L352),"",VLOOKUP(L352,configuration!$M$7:$N$10,2,FALSE))</f>
        <v/>
      </c>
      <c r="N352" s="30"/>
      <c r="O352" s="2"/>
      <c r="P352" s="31"/>
      <c r="Q352" s="54"/>
      <c r="R352" s="55" t="str">
        <f>IF(ISBLANK(Q352),"",VLOOKUP(Q352,configuration!$P$7:$Q$10,2,FALSE))</f>
        <v/>
      </c>
      <c r="S352" s="56"/>
      <c r="T352" s="55"/>
      <c r="U352" s="78"/>
      <c r="V352" s="76" t="str">
        <f t="shared" si="24"/>
        <v/>
      </c>
      <c r="W352" s="48" t="str">
        <f t="shared" si="24"/>
        <v/>
      </c>
      <c r="X352" s="48" t="str">
        <f t="shared" si="24"/>
        <v/>
      </c>
      <c r="Y352" s="48" t="str">
        <f t="shared" si="24"/>
        <v/>
      </c>
      <c r="Z352" s="49" t="str">
        <f t="shared" si="22"/>
        <v/>
      </c>
      <c r="AA352" s="50" t="str">
        <f t="shared" si="25"/>
        <v/>
      </c>
      <c r="AB352" s="48" t="str">
        <f t="shared" si="25"/>
        <v/>
      </c>
      <c r="AC352" s="48" t="str">
        <f t="shared" si="25"/>
        <v/>
      </c>
      <c r="AD352" s="48" t="str">
        <f t="shared" si="25"/>
        <v/>
      </c>
      <c r="AE352" s="48" t="str">
        <f t="shared" si="23"/>
        <v/>
      </c>
    </row>
    <row r="353" spans="1:31" x14ac:dyDescent="0.25">
      <c r="A353" s="2"/>
      <c r="B353" s="2"/>
      <c r="C353" s="2"/>
      <c r="D353" s="2" t="str">
        <f>IF(ISBLANK(C353),"",VLOOKUP(C353,configuration!$G$7:$H$10,2,FALSE))</f>
        <v/>
      </c>
      <c r="E353" s="2"/>
      <c r="F353" s="2"/>
      <c r="G353" s="2"/>
      <c r="H353" s="2" t="str">
        <f>IF(ISBLANK(G353),"",VLOOKUP(G353,configuration!$J$7:$K$10,2,FALSE))</f>
        <v/>
      </c>
      <c r="I353" s="30"/>
      <c r="J353" s="2"/>
      <c r="K353" s="31"/>
      <c r="L353" s="35"/>
      <c r="M353" s="2" t="str">
        <f>IF(ISBLANK(L353),"",VLOOKUP(L353,configuration!$M$7:$N$10,2,FALSE))</f>
        <v/>
      </c>
      <c r="N353" s="30"/>
      <c r="O353" s="2"/>
      <c r="P353" s="31"/>
      <c r="Q353" s="54"/>
      <c r="R353" s="55" t="str">
        <f>IF(ISBLANK(Q353),"",VLOOKUP(Q353,configuration!$P$7:$Q$10,2,FALSE))</f>
        <v/>
      </c>
      <c r="S353" s="56"/>
      <c r="T353" s="55"/>
      <c r="U353" s="78"/>
      <c r="V353" s="76" t="str">
        <f t="shared" si="24"/>
        <v/>
      </c>
      <c r="W353" s="48" t="str">
        <f t="shared" si="24"/>
        <v/>
      </c>
      <c r="X353" s="48" t="str">
        <f t="shared" si="24"/>
        <v/>
      </c>
      <c r="Y353" s="48" t="str">
        <f t="shared" si="24"/>
        <v/>
      </c>
      <c r="Z353" s="49" t="str">
        <f t="shared" si="22"/>
        <v/>
      </c>
      <c r="AA353" s="50" t="str">
        <f t="shared" si="25"/>
        <v/>
      </c>
      <c r="AB353" s="48" t="str">
        <f t="shared" si="25"/>
        <v/>
      </c>
      <c r="AC353" s="48" t="str">
        <f t="shared" si="25"/>
        <v/>
      </c>
      <c r="AD353" s="48" t="str">
        <f t="shared" si="25"/>
        <v/>
      </c>
      <c r="AE353" s="48" t="str">
        <f t="shared" si="23"/>
        <v/>
      </c>
    </row>
    <row r="354" spans="1:31" x14ac:dyDescent="0.25">
      <c r="A354" s="2"/>
      <c r="B354" s="2"/>
      <c r="C354" s="2"/>
      <c r="D354" s="2" t="str">
        <f>IF(ISBLANK(C354),"",VLOOKUP(C354,configuration!$G$7:$H$10,2,FALSE))</f>
        <v/>
      </c>
      <c r="E354" s="2"/>
      <c r="F354" s="2"/>
      <c r="G354" s="2"/>
      <c r="H354" s="2" t="str">
        <f>IF(ISBLANK(G354),"",VLOOKUP(G354,configuration!$J$7:$K$10,2,FALSE))</f>
        <v/>
      </c>
      <c r="I354" s="30"/>
      <c r="J354" s="2"/>
      <c r="K354" s="31"/>
      <c r="L354" s="35"/>
      <c r="M354" s="2" t="str">
        <f>IF(ISBLANK(L354),"",VLOOKUP(L354,configuration!$M$7:$N$10,2,FALSE))</f>
        <v/>
      </c>
      <c r="N354" s="30"/>
      <c r="O354" s="2"/>
      <c r="P354" s="31"/>
      <c r="Q354" s="54"/>
      <c r="R354" s="55" t="str">
        <f>IF(ISBLANK(Q354),"",VLOOKUP(Q354,configuration!$P$7:$Q$10,2,FALSE))</f>
        <v/>
      </c>
      <c r="S354" s="56"/>
      <c r="T354" s="55"/>
      <c r="U354" s="78"/>
      <c r="V354" s="76" t="str">
        <f t="shared" si="24"/>
        <v/>
      </c>
      <c r="W354" s="48" t="str">
        <f t="shared" si="24"/>
        <v/>
      </c>
      <c r="X354" s="48" t="str">
        <f t="shared" si="24"/>
        <v/>
      </c>
      <c r="Y354" s="48" t="str">
        <f t="shared" si="24"/>
        <v/>
      </c>
      <c r="Z354" s="49" t="str">
        <f t="shared" si="22"/>
        <v/>
      </c>
      <c r="AA354" s="50" t="str">
        <f t="shared" si="25"/>
        <v/>
      </c>
      <c r="AB354" s="48" t="str">
        <f t="shared" si="25"/>
        <v/>
      </c>
      <c r="AC354" s="48" t="str">
        <f t="shared" si="25"/>
        <v/>
      </c>
      <c r="AD354" s="48" t="str">
        <f t="shared" si="25"/>
        <v/>
      </c>
      <c r="AE354" s="48" t="str">
        <f t="shared" si="23"/>
        <v/>
      </c>
    </row>
    <row r="355" spans="1:31" x14ac:dyDescent="0.25">
      <c r="A355" s="2"/>
      <c r="B355" s="2"/>
      <c r="C355" s="2"/>
      <c r="D355" s="2" t="str">
        <f>IF(ISBLANK(C355),"",VLOOKUP(C355,configuration!$G$7:$H$10,2,FALSE))</f>
        <v/>
      </c>
      <c r="E355" s="2"/>
      <c r="F355" s="2"/>
      <c r="G355" s="2"/>
      <c r="H355" s="2" t="str">
        <f>IF(ISBLANK(G355),"",VLOOKUP(G355,configuration!$J$7:$K$10,2,FALSE))</f>
        <v/>
      </c>
      <c r="I355" s="30"/>
      <c r="J355" s="2"/>
      <c r="K355" s="31"/>
      <c r="L355" s="35"/>
      <c r="M355" s="2" t="str">
        <f>IF(ISBLANK(L355),"",VLOOKUP(L355,configuration!$M$7:$N$10,2,FALSE))</f>
        <v/>
      </c>
      <c r="N355" s="30"/>
      <c r="O355" s="2"/>
      <c r="P355" s="31"/>
      <c r="Q355" s="54"/>
      <c r="R355" s="55" t="str">
        <f>IF(ISBLANK(Q355),"",VLOOKUP(Q355,configuration!$P$7:$Q$10,2,FALSE))</f>
        <v/>
      </c>
      <c r="S355" s="56"/>
      <c r="T355" s="55"/>
      <c r="U355" s="78"/>
      <c r="V355" s="76" t="str">
        <f t="shared" si="24"/>
        <v/>
      </c>
      <c r="W355" s="48" t="str">
        <f t="shared" si="24"/>
        <v/>
      </c>
      <c r="X355" s="48" t="str">
        <f t="shared" si="24"/>
        <v/>
      </c>
      <c r="Y355" s="48" t="str">
        <f t="shared" si="24"/>
        <v/>
      </c>
      <c r="Z355" s="49" t="str">
        <f t="shared" si="22"/>
        <v/>
      </c>
      <c r="AA355" s="50" t="str">
        <f t="shared" si="25"/>
        <v/>
      </c>
      <c r="AB355" s="48" t="str">
        <f t="shared" si="25"/>
        <v/>
      </c>
      <c r="AC355" s="48" t="str">
        <f t="shared" si="25"/>
        <v/>
      </c>
      <c r="AD355" s="48" t="str">
        <f t="shared" si="25"/>
        <v/>
      </c>
      <c r="AE355" s="48" t="str">
        <f t="shared" si="23"/>
        <v/>
      </c>
    </row>
    <row r="356" spans="1:31" x14ac:dyDescent="0.25">
      <c r="A356" s="2"/>
      <c r="B356" s="2"/>
      <c r="C356" s="2"/>
      <c r="D356" s="2" t="str">
        <f>IF(ISBLANK(C356),"",VLOOKUP(C356,configuration!$G$7:$H$10,2,FALSE))</f>
        <v/>
      </c>
      <c r="E356" s="2"/>
      <c r="F356" s="2"/>
      <c r="G356" s="2"/>
      <c r="H356" s="2" t="str">
        <f>IF(ISBLANK(G356),"",VLOOKUP(G356,configuration!$J$7:$K$10,2,FALSE))</f>
        <v/>
      </c>
      <c r="I356" s="30"/>
      <c r="J356" s="2"/>
      <c r="K356" s="31"/>
      <c r="L356" s="35"/>
      <c r="M356" s="2" t="str">
        <f>IF(ISBLANK(L356),"",VLOOKUP(L356,configuration!$M$7:$N$10,2,FALSE))</f>
        <v/>
      </c>
      <c r="N356" s="30"/>
      <c r="O356" s="2"/>
      <c r="P356" s="31"/>
      <c r="Q356" s="54"/>
      <c r="R356" s="55" t="str">
        <f>IF(ISBLANK(Q356),"",VLOOKUP(Q356,configuration!$P$7:$Q$10,2,FALSE))</f>
        <v/>
      </c>
      <c r="S356" s="56"/>
      <c r="T356" s="55"/>
      <c r="U356" s="78"/>
      <c r="V356" s="76" t="str">
        <f t="shared" si="24"/>
        <v/>
      </c>
      <c r="W356" s="48" t="str">
        <f t="shared" si="24"/>
        <v/>
      </c>
      <c r="X356" s="48" t="str">
        <f t="shared" si="24"/>
        <v/>
      </c>
      <c r="Y356" s="48" t="str">
        <f t="shared" si="24"/>
        <v/>
      </c>
      <c r="Z356" s="49" t="str">
        <f t="shared" si="22"/>
        <v/>
      </c>
      <c r="AA356" s="50" t="str">
        <f t="shared" si="25"/>
        <v/>
      </c>
      <c r="AB356" s="48" t="str">
        <f t="shared" si="25"/>
        <v/>
      </c>
      <c r="AC356" s="48" t="str">
        <f t="shared" si="25"/>
        <v/>
      </c>
      <c r="AD356" s="48" t="str">
        <f t="shared" si="25"/>
        <v/>
      </c>
      <c r="AE356" s="48" t="str">
        <f t="shared" si="23"/>
        <v/>
      </c>
    </row>
    <row r="357" spans="1:31" x14ac:dyDescent="0.25">
      <c r="A357" s="2"/>
      <c r="B357" s="2"/>
      <c r="C357" s="2"/>
      <c r="D357" s="2" t="str">
        <f>IF(ISBLANK(C357),"",VLOOKUP(C357,configuration!$G$7:$H$10,2,FALSE))</f>
        <v/>
      </c>
      <c r="E357" s="2"/>
      <c r="F357" s="2"/>
      <c r="G357" s="2"/>
      <c r="H357" s="2" t="str">
        <f>IF(ISBLANK(G357),"",VLOOKUP(G357,configuration!$J$7:$K$10,2,FALSE))</f>
        <v/>
      </c>
      <c r="I357" s="30"/>
      <c r="J357" s="2"/>
      <c r="K357" s="31"/>
      <c r="L357" s="35"/>
      <c r="M357" s="2" t="str">
        <f>IF(ISBLANK(L357),"",VLOOKUP(L357,configuration!$M$7:$N$10,2,FALSE))</f>
        <v/>
      </c>
      <c r="N357" s="30"/>
      <c r="O357" s="2"/>
      <c r="P357" s="31"/>
      <c r="Q357" s="54"/>
      <c r="R357" s="55" t="str">
        <f>IF(ISBLANK(Q357),"",VLOOKUP(Q357,configuration!$P$7:$Q$10,2,FALSE))</f>
        <v/>
      </c>
      <c r="S357" s="56"/>
      <c r="T357" s="55"/>
      <c r="U357" s="78"/>
      <c r="V357" s="76" t="str">
        <f t="shared" si="24"/>
        <v/>
      </c>
      <c r="W357" s="48" t="str">
        <f t="shared" si="24"/>
        <v/>
      </c>
      <c r="X357" s="48" t="str">
        <f t="shared" si="24"/>
        <v/>
      </c>
      <c r="Y357" s="48" t="str">
        <f t="shared" si="24"/>
        <v/>
      </c>
      <c r="Z357" s="49" t="str">
        <f t="shared" si="22"/>
        <v/>
      </c>
      <c r="AA357" s="50" t="str">
        <f t="shared" si="25"/>
        <v/>
      </c>
      <c r="AB357" s="48" t="str">
        <f t="shared" si="25"/>
        <v/>
      </c>
      <c r="AC357" s="48" t="str">
        <f t="shared" si="25"/>
        <v/>
      </c>
      <c r="AD357" s="48" t="str">
        <f t="shared" si="25"/>
        <v/>
      </c>
      <c r="AE357" s="48" t="str">
        <f t="shared" si="23"/>
        <v/>
      </c>
    </row>
    <row r="358" spans="1:31" x14ac:dyDescent="0.25">
      <c r="A358" s="2"/>
      <c r="B358" s="2"/>
      <c r="C358" s="2"/>
      <c r="D358" s="2" t="str">
        <f>IF(ISBLANK(C358),"",VLOOKUP(C358,configuration!$G$7:$H$10,2,FALSE))</f>
        <v/>
      </c>
      <c r="E358" s="2"/>
      <c r="F358" s="2"/>
      <c r="G358" s="2"/>
      <c r="H358" s="2" t="str">
        <f>IF(ISBLANK(G358),"",VLOOKUP(G358,configuration!$J$7:$K$10,2,FALSE))</f>
        <v/>
      </c>
      <c r="I358" s="30"/>
      <c r="J358" s="2"/>
      <c r="K358" s="31"/>
      <c r="L358" s="35"/>
      <c r="M358" s="2" t="str">
        <f>IF(ISBLANK(L358),"",VLOOKUP(L358,configuration!$M$7:$N$10,2,FALSE))</f>
        <v/>
      </c>
      <c r="N358" s="30"/>
      <c r="O358" s="2"/>
      <c r="P358" s="31"/>
      <c r="Q358" s="54"/>
      <c r="R358" s="55" t="str">
        <f>IF(ISBLANK(Q358),"",VLOOKUP(Q358,configuration!$P$7:$Q$10,2,FALSE))</f>
        <v/>
      </c>
      <c r="S358" s="56"/>
      <c r="T358" s="55"/>
      <c r="U358" s="78"/>
      <c r="V358" s="76" t="str">
        <f t="shared" si="24"/>
        <v/>
      </c>
      <c r="W358" s="48" t="str">
        <f t="shared" si="24"/>
        <v/>
      </c>
      <c r="X358" s="48" t="str">
        <f t="shared" si="24"/>
        <v/>
      </c>
      <c r="Y358" s="48" t="str">
        <f t="shared" si="24"/>
        <v/>
      </c>
      <c r="Z358" s="49" t="str">
        <f t="shared" si="22"/>
        <v/>
      </c>
      <c r="AA358" s="50" t="str">
        <f t="shared" si="25"/>
        <v/>
      </c>
      <c r="AB358" s="48" t="str">
        <f t="shared" si="25"/>
        <v/>
      </c>
      <c r="AC358" s="48" t="str">
        <f t="shared" si="25"/>
        <v/>
      </c>
      <c r="AD358" s="48" t="str">
        <f t="shared" si="25"/>
        <v/>
      </c>
      <c r="AE358" s="48" t="str">
        <f t="shared" si="23"/>
        <v/>
      </c>
    </row>
    <row r="359" spans="1:31" x14ac:dyDescent="0.25">
      <c r="A359" s="2"/>
      <c r="B359" s="2"/>
      <c r="C359" s="2"/>
      <c r="D359" s="2" t="str">
        <f>IF(ISBLANK(C359),"",VLOOKUP(C359,configuration!$G$7:$H$10,2,FALSE))</f>
        <v/>
      </c>
      <c r="E359" s="2"/>
      <c r="F359" s="2"/>
      <c r="G359" s="2"/>
      <c r="H359" s="2" t="str">
        <f>IF(ISBLANK(G359),"",VLOOKUP(G359,configuration!$J$7:$K$10,2,FALSE))</f>
        <v/>
      </c>
      <c r="I359" s="30"/>
      <c r="J359" s="2"/>
      <c r="K359" s="31"/>
      <c r="L359" s="35"/>
      <c r="M359" s="2" t="str">
        <f>IF(ISBLANK(L359),"",VLOOKUP(L359,configuration!$M$7:$N$10,2,FALSE))</f>
        <v/>
      </c>
      <c r="N359" s="30"/>
      <c r="O359" s="2"/>
      <c r="P359" s="31"/>
      <c r="Q359" s="54"/>
      <c r="R359" s="55" t="str">
        <f>IF(ISBLANK(Q359),"",VLOOKUP(Q359,configuration!$P$7:$Q$10,2,FALSE))</f>
        <v/>
      </c>
      <c r="S359" s="56"/>
      <c r="T359" s="55"/>
      <c r="U359" s="78"/>
      <c r="V359" s="76" t="str">
        <f t="shared" si="24"/>
        <v/>
      </c>
      <c r="W359" s="48" t="str">
        <f t="shared" si="24"/>
        <v/>
      </c>
      <c r="X359" s="48" t="str">
        <f t="shared" si="24"/>
        <v/>
      </c>
      <c r="Y359" s="48" t="str">
        <f t="shared" si="24"/>
        <v/>
      </c>
      <c r="Z359" s="49" t="str">
        <f t="shared" si="22"/>
        <v/>
      </c>
      <c r="AA359" s="50" t="str">
        <f t="shared" si="25"/>
        <v/>
      </c>
      <c r="AB359" s="48" t="str">
        <f t="shared" si="25"/>
        <v/>
      </c>
      <c r="AC359" s="48" t="str">
        <f t="shared" si="25"/>
        <v/>
      </c>
      <c r="AD359" s="48" t="str">
        <f t="shared" si="25"/>
        <v/>
      </c>
      <c r="AE359" s="48" t="str">
        <f t="shared" si="23"/>
        <v/>
      </c>
    </row>
    <row r="360" spans="1:31" x14ac:dyDescent="0.25">
      <c r="A360" s="2"/>
      <c r="B360" s="2"/>
      <c r="C360" s="2"/>
      <c r="D360" s="2" t="str">
        <f>IF(ISBLANK(C360),"",VLOOKUP(C360,configuration!$G$7:$H$10,2,FALSE))</f>
        <v/>
      </c>
      <c r="E360" s="2"/>
      <c r="F360" s="2"/>
      <c r="G360" s="2"/>
      <c r="H360" s="2" t="str">
        <f>IF(ISBLANK(G360),"",VLOOKUP(G360,configuration!$J$7:$K$10,2,FALSE))</f>
        <v/>
      </c>
      <c r="I360" s="30"/>
      <c r="J360" s="2"/>
      <c r="K360" s="31"/>
      <c r="L360" s="35"/>
      <c r="M360" s="2" t="str">
        <f>IF(ISBLANK(L360),"",VLOOKUP(L360,configuration!$M$7:$N$10,2,FALSE))</f>
        <v/>
      </c>
      <c r="N360" s="30"/>
      <c r="O360" s="2"/>
      <c r="P360" s="31"/>
      <c r="Q360" s="54"/>
      <c r="R360" s="55" t="str">
        <f>IF(ISBLANK(Q360),"",VLOOKUP(Q360,configuration!$P$7:$Q$10,2,FALSE))</f>
        <v/>
      </c>
      <c r="S360" s="56"/>
      <c r="T360" s="55"/>
      <c r="U360" s="78"/>
      <c r="V360" s="76" t="str">
        <f t="shared" si="24"/>
        <v/>
      </c>
      <c r="W360" s="48" t="str">
        <f t="shared" si="24"/>
        <v/>
      </c>
      <c r="X360" s="48" t="str">
        <f t="shared" si="24"/>
        <v/>
      </c>
      <c r="Y360" s="48" t="str">
        <f t="shared" si="24"/>
        <v/>
      </c>
      <c r="Z360" s="49" t="str">
        <f t="shared" si="22"/>
        <v/>
      </c>
      <c r="AA360" s="50" t="str">
        <f t="shared" si="25"/>
        <v/>
      </c>
      <c r="AB360" s="48" t="str">
        <f t="shared" si="25"/>
        <v/>
      </c>
      <c r="AC360" s="48" t="str">
        <f t="shared" si="25"/>
        <v/>
      </c>
      <c r="AD360" s="48" t="str">
        <f t="shared" si="25"/>
        <v/>
      </c>
      <c r="AE360" s="48" t="str">
        <f t="shared" si="23"/>
        <v/>
      </c>
    </row>
    <row r="361" spans="1:31" x14ac:dyDescent="0.25">
      <c r="A361" s="2"/>
      <c r="B361" s="2"/>
      <c r="C361" s="2"/>
      <c r="D361" s="2" t="str">
        <f>IF(ISBLANK(C361),"",VLOOKUP(C361,configuration!$G$7:$H$10,2,FALSE))</f>
        <v/>
      </c>
      <c r="E361" s="2"/>
      <c r="F361" s="2"/>
      <c r="G361" s="2"/>
      <c r="H361" s="2" t="str">
        <f>IF(ISBLANK(G361),"",VLOOKUP(G361,configuration!$J$7:$K$10,2,FALSE))</f>
        <v/>
      </c>
      <c r="I361" s="30"/>
      <c r="J361" s="2"/>
      <c r="K361" s="31"/>
      <c r="L361" s="35"/>
      <c r="M361" s="2" t="str">
        <f>IF(ISBLANK(L361),"",VLOOKUP(L361,configuration!$M$7:$N$10,2,FALSE))</f>
        <v/>
      </c>
      <c r="N361" s="30"/>
      <c r="O361" s="2"/>
      <c r="P361" s="31"/>
      <c r="Q361" s="54"/>
      <c r="R361" s="55" t="str">
        <f>IF(ISBLANK(Q361),"",VLOOKUP(Q361,configuration!$P$7:$Q$10,2,FALSE))</f>
        <v/>
      </c>
      <c r="S361" s="56"/>
      <c r="T361" s="55"/>
      <c r="U361" s="78"/>
      <c r="V361" s="76" t="str">
        <f t="shared" si="24"/>
        <v/>
      </c>
      <c r="W361" s="48" t="str">
        <f t="shared" si="24"/>
        <v/>
      </c>
      <c r="X361" s="48" t="str">
        <f t="shared" si="24"/>
        <v/>
      </c>
      <c r="Y361" s="48" t="str">
        <f t="shared" si="24"/>
        <v/>
      </c>
      <c r="Z361" s="49" t="str">
        <f t="shared" si="22"/>
        <v/>
      </c>
      <c r="AA361" s="50" t="str">
        <f t="shared" si="25"/>
        <v/>
      </c>
      <c r="AB361" s="48" t="str">
        <f t="shared" si="25"/>
        <v/>
      </c>
      <c r="AC361" s="48" t="str">
        <f t="shared" si="25"/>
        <v/>
      </c>
      <c r="AD361" s="48" t="str">
        <f t="shared" si="25"/>
        <v/>
      </c>
      <c r="AE361" s="48" t="str">
        <f t="shared" si="23"/>
        <v/>
      </c>
    </row>
    <row r="362" spans="1:31" x14ac:dyDescent="0.25">
      <c r="A362" s="2"/>
      <c r="B362" s="2"/>
      <c r="C362" s="2"/>
      <c r="D362" s="2" t="str">
        <f>IF(ISBLANK(C362),"",VLOOKUP(C362,configuration!$G$7:$H$10,2,FALSE))</f>
        <v/>
      </c>
      <c r="E362" s="2"/>
      <c r="F362" s="2"/>
      <c r="G362" s="2"/>
      <c r="H362" s="2" t="str">
        <f>IF(ISBLANK(G362),"",VLOOKUP(G362,configuration!$J$7:$K$10,2,FALSE))</f>
        <v/>
      </c>
      <c r="I362" s="30"/>
      <c r="J362" s="2"/>
      <c r="K362" s="31"/>
      <c r="L362" s="35"/>
      <c r="M362" s="2" t="str">
        <f>IF(ISBLANK(L362),"",VLOOKUP(L362,configuration!$M$7:$N$10,2,FALSE))</f>
        <v/>
      </c>
      <c r="N362" s="30"/>
      <c r="O362" s="2"/>
      <c r="P362" s="31"/>
      <c r="Q362" s="54"/>
      <c r="R362" s="55" t="str">
        <f>IF(ISBLANK(Q362),"",VLOOKUP(Q362,configuration!$P$7:$Q$10,2,FALSE))</f>
        <v/>
      </c>
      <c r="S362" s="56"/>
      <c r="T362" s="55"/>
      <c r="U362" s="78"/>
      <c r="V362" s="76" t="str">
        <f t="shared" si="24"/>
        <v/>
      </c>
      <c r="W362" s="48" t="str">
        <f t="shared" si="24"/>
        <v/>
      </c>
      <c r="X362" s="48" t="str">
        <f t="shared" si="24"/>
        <v/>
      </c>
      <c r="Y362" s="48" t="str">
        <f t="shared" si="24"/>
        <v/>
      </c>
      <c r="Z362" s="49" t="str">
        <f t="shared" si="22"/>
        <v/>
      </c>
      <c r="AA362" s="50" t="str">
        <f t="shared" si="25"/>
        <v/>
      </c>
      <c r="AB362" s="48" t="str">
        <f t="shared" si="25"/>
        <v/>
      </c>
      <c r="AC362" s="48" t="str">
        <f t="shared" si="25"/>
        <v/>
      </c>
      <c r="AD362" s="48" t="str">
        <f t="shared" si="25"/>
        <v/>
      </c>
      <c r="AE362" s="48" t="str">
        <f t="shared" si="23"/>
        <v/>
      </c>
    </row>
    <row r="363" spans="1:31" x14ac:dyDescent="0.25">
      <c r="A363" s="2"/>
      <c r="B363" s="2"/>
      <c r="C363" s="2"/>
      <c r="D363" s="2" t="str">
        <f>IF(ISBLANK(C363),"",VLOOKUP(C363,configuration!$G$7:$H$10,2,FALSE))</f>
        <v/>
      </c>
      <c r="E363" s="2"/>
      <c r="F363" s="2"/>
      <c r="G363" s="2"/>
      <c r="H363" s="2" t="str">
        <f>IF(ISBLANK(G363),"",VLOOKUP(G363,configuration!$J$7:$K$10,2,FALSE))</f>
        <v/>
      </c>
      <c r="I363" s="30"/>
      <c r="J363" s="2"/>
      <c r="K363" s="31"/>
      <c r="L363" s="35"/>
      <c r="M363" s="2" t="str">
        <f>IF(ISBLANK(L363),"",VLOOKUP(L363,configuration!$M$7:$N$10,2,FALSE))</f>
        <v/>
      </c>
      <c r="N363" s="30"/>
      <c r="O363" s="2"/>
      <c r="P363" s="31"/>
      <c r="Q363" s="54"/>
      <c r="R363" s="55" t="str">
        <f>IF(ISBLANK(Q363),"",VLOOKUP(Q363,configuration!$P$7:$Q$10,2,FALSE))</f>
        <v/>
      </c>
      <c r="S363" s="56"/>
      <c r="T363" s="55"/>
      <c r="U363" s="78"/>
      <c r="V363" s="76" t="str">
        <f t="shared" si="24"/>
        <v/>
      </c>
      <c r="W363" s="48" t="str">
        <f t="shared" si="24"/>
        <v/>
      </c>
      <c r="X363" s="48" t="str">
        <f t="shared" si="24"/>
        <v/>
      </c>
      <c r="Y363" s="48" t="str">
        <f t="shared" si="24"/>
        <v/>
      </c>
      <c r="Z363" s="49" t="str">
        <f t="shared" si="22"/>
        <v/>
      </c>
      <c r="AA363" s="50" t="str">
        <f t="shared" si="25"/>
        <v/>
      </c>
      <c r="AB363" s="48" t="str">
        <f t="shared" si="25"/>
        <v/>
      </c>
      <c r="AC363" s="48" t="str">
        <f t="shared" si="25"/>
        <v/>
      </c>
      <c r="AD363" s="48" t="str">
        <f t="shared" si="25"/>
        <v/>
      </c>
      <c r="AE363" s="48" t="str">
        <f t="shared" si="23"/>
        <v/>
      </c>
    </row>
    <row r="364" spans="1:31" x14ac:dyDescent="0.25">
      <c r="A364" s="2"/>
      <c r="B364" s="2"/>
      <c r="C364" s="2"/>
      <c r="D364" s="2" t="str">
        <f>IF(ISBLANK(C364),"",VLOOKUP(C364,configuration!$G$7:$H$10,2,FALSE))</f>
        <v/>
      </c>
      <c r="E364" s="2"/>
      <c r="F364" s="2"/>
      <c r="G364" s="2"/>
      <c r="H364" s="2" t="str">
        <f>IF(ISBLANK(G364),"",VLOOKUP(G364,configuration!$J$7:$K$10,2,FALSE))</f>
        <v/>
      </c>
      <c r="I364" s="30"/>
      <c r="J364" s="2"/>
      <c r="K364" s="31"/>
      <c r="L364" s="35"/>
      <c r="M364" s="2" t="str">
        <f>IF(ISBLANK(L364),"",VLOOKUP(L364,configuration!$M$7:$N$10,2,FALSE))</f>
        <v/>
      </c>
      <c r="N364" s="30"/>
      <c r="O364" s="2"/>
      <c r="P364" s="31"/>
      <c r="Q364" s="54"/>
      <c r="R364" s="55" t="str">
        <f>IF(ISBLANK(Q364),"",VLOOKUP(Q364,configuration!$P$7:$Q$10,2,FALSE))</f>
        <v/>
      </c>
      <c r="S364" s="56"/>
      <c r="T364" s="55"/>
      <c r="U364" s="78"/>
      <c r="V364" s="76" t="str">
        <f t="shared" si="24"/>
        <v/>
      </c>
      <c r="W364" s="48" t="str">
        <f t="shared" si="24"/>
        <v/>
      </c>
      <c r="X364" s="48" t="str">
        <f t="shared" si="24"/>
        <v/>
      </c>
      <c r="Y364" s="48" t="str">
        <f t="shared" si="24"/>
        <v/>
      </c>
      <c r="Z364" s="49" t="str">
        <f t="shared" si="22"/>
        <v/>
      </c>
      <c r="AA364" s="50" t="str">
        <f t="shared" si="25"/>
        <v/>
      </c>
      <c r="AB364" s="48" t="str">
        <f t="shared" si="25"/>
        <v/>
      </c>
      <c r="AC364" s="48" t="str">
        <f t="shared" si="25"/>
        <v/>
      </c>
      <c r="AD364" s="48" t="str">
        <f t="shared" si="25"/>
        <v/>
      </c>
      <c r="AE364" s="48" t="str">
        <f t="shared" si="23"/>
        <v/>
      </c>
    </row>
    <row r="365" spans="1:31" x14ac:dyDescent="0.25">
      <c r="A365" s="2"/>
      <c r="B365" s="2"/>
      <c r="C365" s="2"/>
      <c r="D365" s="2" t="str">
        <f>IF(ISBLANK(C365),"",VLOOKUP(C365,configuration!$G$7:$H$10,2,FALSE))</f>
        <v/>
      </c>
      <c r="E365" s="2"/>
      <c r="F365" s="2"/>
      <c r="G365" s="2"/>
      <c r="H365" s="2" t="str">
        <f>IF(ISBLANK(G365),"",VLOOKUP(G365,configuration!$J$7:$K$10,2,FALSE))</f>
        <v/>
      </c>
      <c r="I365" s="30"/>
      <c r="J365" s="2"/>
      <c r="K365" s="31"/>
      <c r="L365" s="35"/>
      <c r="M365" s="2" t="str">
        <f>IF(ISBLANK(L365),"",VLOOKUP(L365,configuration!$M$7:$N$10,2,FALSE))</f>
        <v/>
      </c>
      <c r="N365" s="30"/>
      <c r="O365" s="2"/>
      <c r="P365" s="31"/>
      <c r="Q365" s="54"/>
      <c r="R365" s="55" t="str">
        <f>IF(ISBLANK(Q365),"",VLOOKUP(Q365,configuration!$P$7:$Q$10,2,FALSE))</f>
        <v/>
      </c>
      <c r="S365" s="56"/>
      <c r="T365" s="55"/>
      <c r="U365" s="78"/>
      <c r="V365" s="76" t="str">
        <f t="shared" si="24"/>
        <v/>
      </c>
      <c r="W365" s="48" t="str">
        <f t="shared" si="24"/>
        <v/>
      </c>
      <c r="X365" s="48" t="str">
        <f t="shared" si="24"/>
        <v/>
      </c>
      <c r="Y365" s="48" t="str">
        <f t="shared" si="24"/>
        <v/>
      </c>
      <c r="Z365" s="49" t="str">
        <f t="shared" si="22"/>
        <v/>
      </c>
      <c r="AA365" s="50" t="str">
        <f t="shared" si="25"/>
        <v/>
      </c>
      <c r="AB365" s="48" t="str">
        <f t="shared" si="25"/>
        <v/>
      </c>
      <c r="AC365" s="48" t="str">
        <f t="shared" si="25"/>
        <v/>
      </c>
      <c r="AD365" s="48" t="str">
        <f t="shared" si="25"/>
        <v/>
      </c>
      <c r="AE365" s="48" t="str">
        <f t="shared" si="23"/>
        <v/>
      </c>
    </row>
    <row r="366" spans="1:31" x14ac:dyDescent="0.25">
      <c r="A366" s="2"/>
      <c r="B366" s="2"/>
      <c r="C366" s="2"/>
      <c r="D366" s="2" t="str">
        <f>IF(ISBLANK(C366),"",VLOOKUP(C366,configuration!$G$7:$H$10,2,FALSE))</f>
        <v/>
      </c>
      <c r="E366" s="2"/>
      <c r="F366" s="2"/>
      <c r="G366" s="2"/>
      <c r="H366" s="2" t="str">
        <f>IF(ISBLANK(G366),"",VLOOKUP(G366,configuration!$J$7:$K$10,2,FALSE))</f>
        <v/>
      </c>
      <c r="I366" s="30"/>
      <c r="J366" s="2"/>
      <c r="K366" s="31"/>
      <c r="L366" s="35"/>
      <c r="M366" s="2" t="str">
        <f>IF(ISBLANK(L366),"",VLOOKUP(L366,configuration!$M$7:$N$10,2,FALSE))</f>
        <v/>
      </c>
      <c r="N366" s="30"/>
      <c r="O366" s="2"/>
      <c r="P366" s="31"/>
      <c r="Q366" s="54"/>
      <c r="R366" s="55" t="str">
        <f>IF(ISBLANK(Q366),"",VLOOKUP(Q366,configuration!$P$7:$Q$10,2,FALSE))</f>
        <v/>
      </c>
      <c r="S366" s="56"/>
      <c r="T366" s="55"/>
      <c r="U366" s="78"/>
      <c r="V366" s="76" t="str">
        <f t="shared" si="24"/>
        <v/>
      </c>
      <c r="W366" s="48" t="str">
        <f t="shared" si="24"/>
        <v/>
      </c>
      <c r="X366" s="48" t="str">
        <f t="shared" si="24"/>
        <v/>
      </c>
      <c r="Y366" s="48" t="str">
        <f t="shared" si="24"/>
        <v/>
      </c>
      <c r="Z366" s="49" t="str">
        <f t="shared" si="22"/>
        <v/>
      </c>
      <c r="AA366" s="50" t="str">
        <f t="shared" si="25"/>
        <v/>
      </c>
      <c r="AB366" s="48" t="str">
        <f t="shared" si="25"/>
        <v/>
      </c>
      <c r="AC366" s="48" t="str">
        <f t="shared" si="25"/>
        <v/>
      </c>
      <c r="AD366" s="48" t="str">
        <f t="shared" si="25"/>
        <v/>
      </c>
      <c r="AE366" s="48" t="str">
        <f t="shared" si="23"/>
        <v/>
      </c>
    </row>
    <row r="367" spans="1:31" x14ac:dyDescent="0.25">
      <c r="A367" s="2"/>
      <c r="B367" s="2"/>
      <c r="C367" s="2"/>
      <c r="D367" s="2" t="str">
        <f>IF(ISBLANK(C367),"",VLOOKUP(C367,configuration!$G$7:$H$10,2,FALSE))</f>
        <v/>
      </c>
      <c r="E367" s="2"/>
      <c r="F367" s="2"/>
      <c r="G367" s="2"/>
      <c r="H367" s="2" t="str">
        <f>IF(ISBLANK(G367),"",VLOOKUP(G367,configuration!$J$7:$K$10,2,FALSE))</f>
        <v/>
      </c>
      <c r="I367" s="30"/>
      <c r="J367" s="2"/>
      <c r="K367" s="31"/>
      <c r="L367" s="35"/>
      <c r="M367" s="2" t="str">
        <f>IF(ISBLANK(L367),"",VLOOKUP(L367,configuration!$M$7:$N$10,2,FALSE))</f>
        <v/>
      </c>
      <c r="N367" s="30"/>
      <c r="O367" s="2"/>
      <c r="P367" s="31"/>
      <c r="Q367" s="54"/>
      <c r="R367" s="55" t="str">
        <f>IF(ISBLANK(Q367),"",VLOOKUP(Q367,configuration!$P$7:$Q$10,2,FALSE))</f>
        <v/>
      </c>
      <c r="S367" s="56"/>
      <c r="T367" s="55"/>
      <c r="U367" s="78"/>
      <c r="V367" s="76" t="str">
        <f t="shared" si="24"/>
        <v/>
      </c>
      <c r="W367" s="48" t="str">
        <f t="shared" si="24"/>
        <v/>
      </c>
      <c r="X367" s="48" t="str">
        <f t="shared" si="24"/>
        <v/>
      </c>
      <c r="Y367" s="48" t="str">
        <f t="shared" si="24"/>
        <v/>
      </c>
      <c r="Z367" s="49" t="str">
        <f t="shared" si="22"/>
        <v/>
      </c>
      <c r="AA367" s="50" t="str">
        <f t="shared" si="25"/>
        <v/>
      </c>
      <c r="AB367" s="48" t="str">
        <f t="shared" si="25"/>
        <v/>
      </c>
      <c r="AC367" s="48" t="str">
        <f t="shared" si="25"/>
        <v/>
      </c>
      <c r="AD367" s="48" t="str">
        <f t="shared" si="25"/>
        <v/>
      </c>
      <c r="AE367" s="48" t="str">
        <f t="shared" si="23"/>
        <v/>
      </c>
    </row>
    <row r="368" spans="1:31" x14ac:dyDescent="0.25">
      <c r="A368" s="2"/>
      <c r="B368" s="2"/>
      <c r="C368" s="2"/>
      <c r="D368" s="2" t="str">
        <f>IF(ISBLANK(C368),"",VLOOKUP(C368,configuration!$G$7:$H$10,2,FALSE))</f>
        <v/>
      </c>
      <c r="E368" s="2"/>
      <c r="F368" s="2"/>
      <c r="G368" s="2"/>
      <c r="H368" s="2" t="str">
        <f>IF(ISBLANK(G368),"",VLOOKUP(G368,configuration!$J$7:$K$10,2,FALSE))</f>
        <v/>
      </c>
      <c r="I368" s="30"/>
      <c r="J368" s="2"/>
      <c r="K368" s="31"/>
      <c r="L368" s="35"/>
      <c r="M368" s="2" t="str">
        <f>IF(ISBLANK(L368),"",VLOOKUP(L368,configuration!$M$7:$N$10,2,FALSE))</f>
        <v/>
      </c>
      <c r="N368" s="30"/>
      <c r="O368" s="2"/>
      <c r="P368" s="31"/>
      <c r="Q368" s="54"/>
      <c r="R368" s="55" t="str">
        <f>IF(ISBLANK(Q368),"",VLOOKUP(Q368,configuration!$P$7:$Q$10,2,FALSE))</f>
        <v/>
      </c>
      <c r="S368" s="56"/>
      <c r="T368" s="55"/>
      <c r="U368" s="78"/>
      <c r="V368" s="76" t="str">
        <f t="shared" si="24"/>
        <v/>
      </c>
      <c r="W368" s="48" t="str">
        <f t="shared" si="24"/>
        <v/>
      </c>
      <c r="X368" s="48" t="str">
        <f t="shared" si="24"/>
        <v/>
      </c>
      <c r="Y368" s="48" t="str">
        <f t="shared" si="24"/>
        <v/>
      </c>
      <c r="Z368" s="49" t="str">
        <f t="shared" si="22"/>
        <v/>
      </c>
      <c r="AA368" s="50" t="str">
        <f t="shared" si="25"/>
        <v/>
      </c>
      <c r="AB368" s="48" t="str">
        <f t="shared" si="25"/>
        <v/>
      </c>
      <c r="AC368" s="48" t="str">
        <f t="shared" si="25"/>
        <v/>
      </c>
      <c r="AD368" s="48" t="str">
        <f t="shared" si="25"/>
        <v/>
      </c>
      <c r="AE368" s="48" t="str">
        <f t="shared" si="23"/>
        <v/>
      </c>
    </row>
    <row r="369" spans="1:31" x14ac:dyDescent="0.25">
      <c r="A369" s="2"/>
      <c r="B369" s="2"/>
      <c r="C369" s="2"/>
      <c r="D369" s="2" t="str">
        <f>IF(ISBLANK(C369),"",VLOOKUP(C369,configuration!$G$7:$H$10,2,FALSE))</f>
        <v/>
      </c>
      <c r="E369" s="2"/>
      <c r="F369" s="2"/>
      <c r="G369" s="2"/>
      <c r="H369" s="2" t="str">
        <f>IF(ISBLANK(G369),"",VLOOKUP(G369,configuration!$J$7:$K$10,2,FALSE))</f>
        <v/>
      </c>
      <c r="I369" s="30"/>
      <c r="J369" s="2"/>
      <c r="K369" s="31"/>
      <c r="L369" s="35"/>
      <c r="M369" s="2" t="str">
        <f>IF(ISBLANK(L369),"",VLOOKUP(L369,configuration!$M$7:$N$10,2,FALSE))</f>
        <v/>
      </c>
      <c r="N369" s="30"/>
      <c r="O369" s="2"/>
      <c r="P369" s="31"/>
      <c r="Q369" s="54"/>
      <c r="R369" s="55" t="str">
        <f>IF(ISBLANK(Q369),"",VLOOKUP(Q369,configuration!$P$7:$Q$10,2,FALSE))</f>
        <v/>
      </c>
      <c r="S369" s="56"/>
      <c r="T369" s="55"/>
      <c r="U369" s="78"/>
      <c r="V369" s="76" t="str">
        <f t="shared" si="24"/>
        <v/>
      </c>
      <c r="W369" s="48" t="str">
        <f t="shared" si="24"/>
        <v/>
      </c>
      <c r="X369" s="48" t="str">
        <f t="shared" si="24"/>
        <v/>
      </c>
      <c r="Y369" s="48" t="str">
        <f t="shared" si="24"/>
        <v/>
      </c>
      <c r="Z369" s="49" t="str">
        <f t="shared" si="22"/>
        <v/>
      </c>
      <c r="AA369" s="50" t="str">
        <f t="shared" si="25"/>
        <v/>
      </c>
      <c r="AB369" s="48" t="str">
        <f t="shared" si="25"/>
        <v/>
      </c>
      <c r="AC369" s="48" t="str">
        <f t="shared" si="25"/>
        <v/>
      </c>
      <c r="AD369" s="48" t="str">
        <f t="shared" si="25"/>
        <v/>
      </c>
      <c r="AE369" s="48" t="str">
        <f t="shared" si="23"/>
        <v/>
      </c>
    </row>
    <row r="370" spans="1:31" x14ac:dyDescent="0.25">
      <c r="A370" s="2"/>
      <c r="B370" s="2"/>
      <c r="C370" s="2"/>
      <c r="D370" s="2" t="str">
        <f>IF(ISBLANK(C370),"",VLOOKUP(C370,configuration!$G$7:$H$10,2,FALSE))</f>
        <v/>
      </c>
      <c r="E370" s="2"/>
      <c r="F370" s="2"/>
      <c r="G370" s="2"/>
      <c r="H370" s="2" t="str">
        <f>IF(ISBLANK(G370),"",VLOOKUP(G370,configuration!$J$7:$K$10,2,FALSE))</f>
        <v/>
      </c>
      <c r="I370" s="30"/>
      <c r="J370" s="2"/>
      <c r="K370" s="31"/>
      <c r="L370" s="35"/>
      <c r="M370" s="2" t="str">
        <f>IF(ISBLANK(L370),"",VLOOKUP(L370,configuration!$M$7:$N$10,2,FALSE))</f>
        <v/>
      </c>
      <c r="N370" s="30"/>
      <c r="O370" s="2"/>
      <c r="P370" s="31"/>
      <c r="Q370" s="54"/>
      <c r="R370" s="55" t="str">
        <f>IF(ISBLANK(Q370),"",VLOOKUP(Q370,configuration!$P$7:$Q$10,2,FALSE))</f>
        <v/>
      </c>
      <c r="S370" s="56"/>
      <c r="T370" s="55"/>
      <c r="U370" s="78"/>
      <c r="V370" s="76" t="str">
        <f t="shared" si="24"/>
        <v/>
      </c>
      <c r="W370" s="48" t="str">
        <f t="shared" si="24"/>
        <v/>
      </c>
      <c r="X370" s="48" t="str">
        <f t="shared" si="24"/>
        <v/>
      </c>
      <c r="Y370" s="48" t="str">
        <f t="shared" si="24"/>
        <v/>
      </c>
      <c r="Z370" s="49" t="str">
        <f t="shared" si="22"/>
        <v/>
      </c>
      <c r="AA370" s="50" t="str">
        <f t="shared" si="25"/>
        <v/>
      </c>
      <c r="AB370" s="48" t="str">
        <f t="shared" si="25"/>
        <v/>
      </c>
      <c r="AC370" s="48" t="str">
        <f t="shared" si="25"/>
        <v/>
      </c>
      <c r="AD370" s="48" t="str">
        <f t="shared" si="25"/>
        <v/>
      </c>
      <c r="AE370" s="48" t="str">
        <f t="shared" si="23"/>
        <v/>
      </c>
    </row>
    <row r="371" spans="1:31" x14ac:dyDescent="0.25">
      <c r="A371" s="2"/>
      <c r="B371" s="2"/>
      <c r="C371" s="2"/>
      <c r="D371" s="2" t="str">
        <f>IF(ISBLANK(C371),"",VLOOKUP(C371,configuration!$G$7:$H$10,2,FALSE))</f>
        <v/>
      </c>
      <c r="E371" s="2"/>
      <c r="F371" s="2"/>
      <c r="G371" s="2"/>
      <c r="H371" s="2" t="str">
        <f>IF(ISBLANK(G371),"",VLOOKUP(G371,configuration!$J$7:$K$10,2,FALSE))</f>
        <v/>
      </c>
      <c r="I371" s="30"/>
      <c r="J371" s="2"/>
      <c r="K371" s="31"/>
      <c r="L371" s="35"/>
      <c r="M371" s="2" t="str">
        <f>IF(ISBLANK(L371),"",VLOOKUP(L371,configuration!$M$7:$N$10,2,FALSE))</f>
        <v/>
      </c>
      <c r="N371" s="30"/>
      <c r="O371" s="2"/>
      <c r="P371" s="31"/>
      <c r="Q371" s="54"/>
      <c r="R371" s="55" t="str">
        <f>IF(ISBLANK(Q371),"",VLOOKUP(Q371,configuration!$P$7:$Q$10,2,FALSE))</f>
        <v/>
      </c>
      <c r="S371" s="56"/>
      <c r="T371" s="55"/>
      <c r="U371" s="78"/>
      <c r="V371" s="76" t="str">
        <f t="shared" si="24"/>
        <v/>
      </c>
      <c r="W371" s="48" t="str">
        <f t="shared" si="24"/>
        <v/>
      </c>
      <c r="X371" s="48" t="str">
        <f t="shared" si="24"/>
        <v/>
      </c>
      <c r="Y371" s="48" t="str">
        <f t="shared" si="24"/>
        <v/>
      </c>
      <c r="Z371" s="49" t="str">
        <f t="shared" si="22"/>
        <v/>
      </c>
      <c r="AA371" s="50" t="str">
        <f t="shared" si="25"/>
        <v/>
      </c>
      <c r="AB371" s="48" t="str">
        <f t="shared" si="25"/>
        <v/>
      </c>
      <c r="AC371" s="48" t="str">
        <f t="shared" si="25"/>
        <v/>
      </c>
      <c r="AD371" s="48" t="str">
        <f t="shared" si="25"/>
        <v/>
      </c>
      <c r="AE371" s="48" t="str">
        <f t="shared" si="23"/>
        <v/>
      </c>
    </row>
    <row r="372" spans="1:31" x14ac:dyDescent="0.25">
      <c r="A372" s="2"/>
      <c r="B372" s="2"/>
      <c r="C372" s="2"/>
      <c r="D372" s="2" t="str">
        <f>IF(ISBLANK(C372),"",VLOOKUP(C372,configuration!$G$7:$H$10,2,FALSE))</f>
        <v/>
      </c>
      <c r="E372" s="2"/>
      <c r="F372" s="2"/>
      <c r="G372" s="2"/>
      <c r="H372" s="2" t="str">
        <f>IF(ISBLANK(G372),"",VLOOKUP(G372,configuration!$J$7:$K$10,2,FALSE))</f>
        <v/>
      </c>
      <c r="I372" s="30"/>
      <c r="J372" s="2"/>
      <c r="K372" s="31"/>
      <c r="L372" s="35"/>
      <c r="M372" s="2" t="str">
        <f>IF(ISBLANK(L372),"",VLOOKUP(L372,configuration!$M$7:$N$10,2,FALSE))</f>
        <v/>
      </c>
      <c r="N372" s="30"/>
      <c r="O372" s="2"/>
      <c r="P372" s="31"/>
      <c r="Q372" s="54"/>
      <c r="R372" s="55" t="str">
        <f>IF(ISBLANK(Q372),"",VLOOKUP(Q372,configuration!$P$7:$Q$10,2,FALSE))</f>
        <v/>
      </c>
      <c r="S372" s="56"/>
      <c r="T372" s="55"/>
      <c r="U372" s="78"/>
      <c r="V372" s="76" t="str">
        <f t="shared" si="24"/>
        <v/>
      </c>
      <c r="W372" s="48" t="str">
        <f t="shared" si="24"/>
        <v/>
      </c>
      <c r="X372" s="48" t="str">
        <f t="shared" si="24"/>
        <v/>
      </c>
      <c r="Y372" s="48" t="str">
        <f t="shared" si="24"/>
        <v/>
      </c>
      <c r="Z372" s="49" t="str">
        <f t="shared" si="22"/>
        <v/>
      </c>
      <c r="AA372" s="50" t="str">
        <f t="shared" si="25"/>
        <v/>
      </c>
      <c r="AB372" s="48" t="str">
        <f t="shared" si="25"/>
        <v/>
      </c>
      <c r="AC372" s="48" t="str">
        <f t="shared" si="25"/>
        <v/>
      </c>
      <c r="AD372" s="48" t="str">
        <f t="shared" si="25"/>
        <v/>
      </c>
      <c r="AE372" s="48" t="str">
        <f t="shared" si="23"/>
        <v/>
      </c>
    </row>
    <row r="373" spans="1:31" x14ac:dyDescent="0.25">
      <c r="A373" s="2"/>
      <c r="B373" s="2"/>
      <c r="C373" s="2"/>
      <c r="D373" s="2" t="str">
        <f>IF(ISBLANK(C373),"",VLOOKUP(C373,configuration!$G$7:$H$10,2,FALSE))</f>
        <v/>
      </c>
      <c r="E373" s="2"/>
      <c r="F373" s="2"/>
      <c r="G373" s="2"/>
      <c r="H373" s="2" t="str">
        <f>IF(ISBLANK(G373),"",VLOOKUP(G373,configuration!$J$7:$K$10,2,FALSE))</f>
        <v/>
      </c>
      <c r="I373" s="30"/>
      <c r="J373" s="2"/>
      <c r="K373" s="31"/>
      <c r="L373" s="35"/>
      <c r="M373" s="2" t="str">
        <f>IF(ISBLANK(L373),"",VLOOKUP(L373,configuration!$M$7:$N$10,2,FALSE))</f>
        <v/>
      </c>
      <c r="N373" s="30"/>
      <c r="O373" s="2"/>
      <c r="P373" s="31"/>
      <c r="Q373" s="54"/>
      <c r="R373" s="55" t="str">
        <f>IF(ISBLANK(Q373),"",VLOOKUP(Q373,configuration!$P$7:$Q$10,2,FALSE))</f>
        <v/>
      </c>
      <c r="S373" s="56"/>
      <c r="T373" s="55"/>
      <c r="U373" s="78"/>
      <c r="V373" s="76" t="str">
        <f t="shared" si="24"/>
        <v/>
      </c>
      <c r="W373" s="48" t="str">
        <f t="shared" si="24"/>
        <v/>
      </c>
      <c r="X373" s="48" t="str">
        <f t="shared" si="24"/>
        <v/>
      </c>
      <c r="Y373" s="48" t="str">
        <f t="shared" si="24"/>
        <v/>
      </c>
      <c r="Z373" s="49" t="str">
        <f t="shared" si="22"/>
        <v/>
      </c>
      <c r="AA373" s="50" t="str">
        <f t="shared" si="25"/>
        <v/>
      </c>
      <c r="AB373" s="48" t="str">
        <f t="shared" si="25"/>
        <v/>
      </c>
      <c r="AC373" s="48" t="str">
        <f t="shared" si="25"/>
        <v/>
      </c>
      <c r="AD373" s="48" t="str">
        <f t="shared" si="25"/>
        <v/>
      </c>
      <c r="AE373" s="48" t="str">
        <f t="shared" si="23"/>
        <v/>
      </c>
    </row>
    <row r="374" spans="1:31" x14ac:dyDescent="0.25">
      <c r="A374" s="2"/>
      <c r="B374" s="2"/>
      <c r="C374" s="2"/>
      <c r="D374" s="2" t="str">
        <f>IF(ISBLANK(C374),"",VLOOKUP(C374,configuration!$G$7:$H$10,2,FALSE))</f>
        <v/>
      </c>
      <c r="E374" s="2"/>
      <c r="F374" s="2"/>
      <c r="G374" s="2"/>
      <c r="H374" s="2" t="str">
        <f>IF(ISBLANK(G374),"",VLOOKUP(G374,configuration!$J$7:$K$10,2,FALSE))</f>
        <v/>
      </c>
      <c r="I374" s="30"/>
      <c r="J374" s="2"/>
      <c r="K374" s="31"/>
      <c r="L374" s="35"/>
      <c r="M374" s="2" t="str">
        <f>IF(ISBLANK(L374),"",VLOOKUP(L374,configuration!$M$7:$N$10,2,FALSE))</f>
        <v/>
      </c>
      <c r="N374" s="30"/>
      <c r="O374" s="2"/>
      <c r="P374" s="31"/>
      <c r="Q374" s="54"/>
      <c r="R374" s="55" t="str">
        <f>IF(ISBLANK(Q374),"",VLOOKUP(Q374,configuration!$P$7:$Q$10,2,FALSE))</f>
        <v/>
      </c>
      <c r="S374" s="56"/>
      <c r="T374" s="55"/>
      <c r="U374" s="78"/>
      <c r="V374" s="76" t="str">
        <f t="shared" si="24"/>
        <v/>
      </c>
      <c r="W374" s="48" t="str">
        <f t="shared" si="24"/>
        <v/>
      </c>
      <c r="X374" s="48" t="str">
        <f t="shared" si="24"/>
        <v/>
      </c>
      <c r="Y374" s="48" t="str">
        <f t="shared" si="24"/>
        <v/>
      </c>
      <c r="Z374" s="49" t="str">
        <f t="shared" si="22"/>
        <v/>
      </c>
      <c r="AA374" s="50" t="str">
        <f t="shared" si="25"/>
        <v/>
      </c>
      <c r="AB374" s="48" t="str">
        <f t="shared" si="25"/>
        <v/>
      </c>
      <c r="AC374" s="48" t="str">
        <f t="shared" si="25"/>
        <v/>
      </c>
      <c r="AD374" s="48" t="str">
        <f t="shared" si="25"/>
        <v/>
      </c>
      <c r="AE374" s="48" t="str">
        <f t="shared" si="23"/>
        <v/>
      </c>
    </row>
    <row r="375" spans="1:31" x14ac:dyDescent="0.25">
      <c r="A375" s="2"/>
      <c r="B375" s="2"/>
      <c r="C375" s="2"/>
      <c r="D375" s="2" t="str">
        <f>IF(ISBLANK(C375),"",VLOOKUP(C375,configuration!$G$7:$H$10,2,FALSE))</f>
        <v/>
      </c>
      <c r="E375" s="2"/>
      <c r="F375" s="2"/>
      <c r="G375" s="2"/>
      <c r="H375" s="2" t="str">
        <f>IF(ISBLANK(G375),"",VLOOKUP(G375,configuration!$J$7:$K$10,2,FALSE))</f>
        <v/>
      </c>
      <c r="I375" s="30"/>
      <c r="J375" s="2"/>
      <c r="K375" s="31"/>
      <c r="L375" s="35"/>
      <c r="M375" s="2" t="str">
        <f>IF(ISBLANK(L375),"",VLOOKUP(L375,configuration!$M$7:$N$10,2,FALSE))</f>
        <v/>
      </c>
      <c r="N375" s="30"/>
      <c r="O375" s="2"/>
      <c r="P375" s="31"/>
      <c r="Q375" s="54"/>
      <c r="R375" s="55" t="str">
        <f>IF(ISBLANK(Q375),"",VLOOKUP(Q375,configuration!$P$7:$Q$10,2,FALSE))</f>
        <v/>
      </c>
      <c r="S375" s="56"/>
      <c r="T375" s="55"/>
      <c r="U375" s="78"/>
      <c r="V375" s="76" t="str">
        <f t="shared" si="24"/>
        <v/>
      </c>
      <c r="W375" s="48" t="str">
        <f t="shared" si="24"/>
        <v/>
      </c>
      <c r="X375" s="48" t="str">
        <f t="shared" si="24"/>
        <v/>
      </c>
      <c r="Y375" s="48" t="str">
        <f t="shared" si="24"/>
        <v/>
      </c>
      <c r="Z375" s="49" t="str">
        <f t="shared" si="22"/>
        <v/>
      </c>
      <c r="AA375" s="50" t="str">
        <f t="shared" si="25"/>
        <v/>
      </c>
      <c r="AB375" s="48" t="str">
        <f t="shared" si="25"/>
        <v/>
      </c>
      <c r="AC375" s="48" t="str">
        <f t="shared" si="25"/>
        <v/>
      </c>
      <c r="AD375" s="48" t="str">
        <f t="shared" si="25"/>
        <v/>
      </c>
      <c r="AE375" s="48" t="str">
        <f t="shared" si="23"/>
        <v/>
      </c>
    </row>
    <row r="376" spans="1:31" x14ac:dyDescent="0.25">
      <c r="A376" s="2"/>
      <c r="B376" s="2"/>
      <c r="C376" s="2"/>
      <c r="D376" s="2" t="str">
        <f>IF(ISBLANK(C376),"",VLOOKUP(C376,configuration!$G$7:$H$10,2,FALSE))</f>
        <v/>
      </c>
      <c r="E376" s="2"/>
      <c r="F376" s="2"/>
      <c r="G376" s="2"/>
      <c r="H376" s="2" t="str">
        <f>IF(ISBLANK(G376),"",VLOOKUP(G376,configuration!$J$7:$K$10,2,FALSE))</f>
        <v/>
      </c>
      <c r="I376" s="30"/>
      <c r="J376" s="2"/>
      <c r="K376" s="31"/>
      <c r="L376" s="35"/>
      <c r="M376" s="2" t="str">
        <f>IF(ISBLANK(L376),"",VLOOKUP(L376,configuration!$M$7:$N$10,2,FALSE))</f>
        <v/>
      </c>
      <c r="N376" s="30"/>
      <c r="O376" s="2"/>
      <c r="P376" s="31"/>
      <c r="Q376" s="54"/>
      <c r="R376" s="55" t="str">
        <f>IF(ISBLANK(Q376),"",VLOOKUP(Q376,configuration!$P$7:$Q$10,2,FALSE))</f>
        <v/>
      </c>
      <c r="S376" s="56"/>
      <c r="T376" s="55"/>
      <c r="U376" s="78"/>
      <c r="V376" s="76" t="str">
        <f t="shared" si="24"/>
        <v/>
      </c>
      <c r="W376" s="48" t="str">
        <f t="shared" si="24"/>
        <v/>
      </c>
      <c r="X376" s="48" t="str">
        <f t="shared" si="24"/>
        <v/>
      </c>
      <c r="Y376" s="48" t="str">
        <f t="shared" si="24"/>
        <v/>
      </c>
      <c r="Z376" s="49" t="str">
        <f t="shared" si="22"/>
        <v/>
      </c>
      <c r="AA376" s="50" t="str">
        <f t="shared" si="25"/>
        <v/>
      </c>
      <c r="AB376" s="48" t="str">
        <f t="shared" si="25"/>
        <v/>
      </c>
      <c r="AC376" s="48" t="str">
        <f t="shared" si="25"/>
        <v/>
      </c>
      <c r="AD376" s="48" t="str">
        <f t="shared" si="25"/>
        <v/>
      </c>
      <c r="AE376" s="48" t="str">
        <f t="shared" si="23"/>
        <v/>
      </c>
    </row>
    <row r="377" spans="1:31" x14ac:dyDescent="0.25">
      <c r="A377" s="2"/>
      <c r="B377" s="2"/>
      <c r="C377" s="2"/>
      <c r="D377" s="2" t="str">
        <f>IF(ISBLANK(C377),"",VLOOKUP(C377,configuration!$G$7:$H$10,2,FALSE))</f>
        <v/>
      </c>
      <c r="E377" s="2"/>
      <c r="F377" s="2"/>
      <c r="G377" s="2"/>
      <c r="H377" s="2" t="str">
        <f>IF(ISBLANK(G377),"",VLOOKUP(G377,configuration!$J$7:$K$10,2,FALSE))</f>
        <v/>
      </c>
      <c r="I377" s="30"/>
      <c r="J377" s="2"/>
      <c r="K377" s="31"/>
      <c r="L377" s="35"/>
      <c r="M377" s="2" t="str">
        <f>IF(ISBLANK(L377),"",VLOOKUP(L377,configuration!$M$7:$N$10,2,FALSE))</f>
        <v/>
      </c>
      <c r="N377" s="30"/>
      <c r="O377" s="2"/>
      <c r="P377" s="31"/>
      <c r="Q377" s="54"/>
      <c r="R377" s="55" t="str">
        <f>IF(ISBLANK(Q377),"",VLOOKUP(Q377,configuration!$P$7:$Q$10,2,FALSE))</f>
        <v/>
      </c>
      <c r="S377" s="56"/>
      <c r="T377" s="55"/>
      <c r="U377" s="78"/>
      <c r="V377" s="76" t="str">
        <f t="shared" si="24"/>
        <v/>
      </c>
      <c r="W377" s="48" t="str">
        <f t="shared" si="24"/>
        <v/>
      </c>
      <c r="X377" s="48" t="str">
        <f t="shared" si="24"/>
        <v/>
      </c>
      <c r="Y377" s="48" t="str">
        <f t="shared" si="24"/>
        <v/>
      </c>
      <c r="Z377" s="49" t="str">
        <f t="shared" si="22"/>
        <v/>
      </c>
      <c r="AA377" s="50" t="str">
        <f t="shared" si="25"/>
        <v/>
      </c>
      <c r="AB377" s="48" t="str">
        <f t="shared" si="25"/>
        <v/>
      </c>
      <c r="AC377" s="48" t="str">
        <f t="shared" si="25"/>
        <v/>
      </c>
      <c r="AD377" s="48" t="str">
        <f t="shared" si="25"/>
        <v/>
      </c>
      <c r="AE377" s="48" t="str">
        <f t="shared" si="23"/>
        <v/>
      </c>
    </row>
    <row r="378" spans="1:31" x14ac:dyDescent="0.25">
      <c r="A378" s="2"/>
      <c r="B378" s="2"/>
      <c r="C378" s="2"/>
      <c r="D378" s="2" t="str">
        <f>IF(ISBLANK(C378),"",VLOOKUP(C378,configuration!$G$7:$H$10,2,FALSE))</f>
        <v/>
      </c>
      <c r="E378" s="2"/>
      <c r="F378" s="2"/>
      <c r="G378" s="2"/>
      <c r="H378" s="2" t="str">
        <f>IF(ISBLANK(G378),"",VLOOKUP(G378,configuration!$J$7:$K$10,2,FALSE))</f>
        <v/>
      </c>
      <c r="I378" s="30"/>
      <c r="J378" s="2"/>
      <c r="K378" s="31"/>
      <c r="L378" s="35"/>
      <c r="M378" s="2" t="str">
        <f>IF(ISBLANK(L378),"",VLOOKUP(L378,configuration!$M$7:$N$10,2,FALSE))</f>
        <v/>
      </c>
      <c r="N378" s="30"/>
      <c r="O378" s="2"/>
      <c r="P378" s="31"/>
      <c r="Q378" s="54"/>
      <c r="R378" s="55" t="str">
        <f>IF(ISBLANK(Q378),"",VLOOKUP(Q378,configuration!$P$7:$Q$10,2,FALSE))</f>
        <v/>
      </c>
      <c r="S378" s="56"/>
      <c r="T378" s="55"/>
      <c r="U378" s="78"/>
      <c r="V378" s="76" t="str">
        <f t="shared" si="24"/>
        <v/>
      </c>
      <c r="W378" s="48" t="str">
        <f t="shared" si="24"/>
        <v/>
      </c>
      <c r="X378" s="48" t="str">
        <f t="shared" si="24"/>
        <v/>
      </c>
      <c r="Y378" s="48" t="str">
        <f t="shared" si="24"/>
        <v/>
      </c>
      <c r="Z378" s="49" t="str">
        <f t="shared" si="22"/>
        <v/>
      </c>
      <c r="AA378" s="50" t="str">
        <f t="shared" si="25"/>
        <v/>
      </c>
      <c r="AB378" s="48" t="str">
        <f t="shared" si="25"/>
        <v/>
      </c>
      <c r="AC378" s="48" t="str">
        <f t="shared" si="25"/>
        <v/>
      </c>
      <c r="AD378" s="48" t="str">
        <f t="shared" si="25"/>
        <v/>
      </c>
      <c r="AE378" s="48" t="str">
        <f t="shared" si="23"/>
        <v/>
      </c>
    </row>
    <row r="379" spans="1:31" x14ac:dyDescent="0.25">
      <c r="A379" s="2"/>
      <c r="B379" s="2"/>
      <c r="C379" s="2"/>
      <c r="D379" s="2" t="str">
        <f>IF(ISBLANK(C379),"",VLOOKUP(C379,configuration!$G$7:$H$10,2,FALSE))</f>
        <v/>
      </c>
      <c r="E379" s="2"/>
      <c r="F379" s="2"/>
      <c r="G379" s="2"/>
      <c r="H379" s="2" t="str">
        <f>IF(ISBLANK(G379),"",VLOOKUP(G379,configuration!$J$7:$K$10,2,FALSE))</f>
        <v/>
      </c>
      <c r="I379" s="30"/>
      <c r="J379" s="2"/>
      <c r="K379" s="31"/>
      <c r="L379" s="35"/>
      <c r="M379" s="2" t="str">
        <f>IF(ISBLANK(L379),"",VLOOKUP(L379,configuration!$M$7:$N$10,2,FALSE))</f>
        <v/>
      </c>
      <c r="N379" s="30"/>
      <c r="O379" s="2"/>
      <c r="P379" s="31"/>
      <c r="Q379" s="54"/>
      <c r="R379" s="55" t="str">
        <f>IF(ISBLANK(Q379),"",VLOOKUP(Q379,configuration!$P$7:$Q$10,2,FALSE))</f>
        <v/>
      </c>
      <c r="S379" s="56"/>
      <c r="T379" s="55"/>
      <c r="U379" s="78"/>
      <c r="V379" s="76" t="str">
        <f t="shared" si="24"/>
        <v/>
      </c>
      <c r="W379" s="48" t="str">
        <f t="shared" si="24"/>
        <v/>
      </c>
      <c r="X379" s="48" t="str">
        <f t="shared" si="24"/>
        <v/>
      </c>
      <c r="Y379" s="48" t="str">
        <f t="shared" si="24"/>
        <v/>
      </c>
      <c r="Z379" s="49" t="str">
        <f t="shared" si="22"/>
        <v/>
      </c>
      <c r="AA379" s="50" t="str">
        <f t="shared" si="25"/>
        <v/>
      </c>
      <c r="AB379" s="48" t="str">
        <f t="shared" si="25"/>
        <v/>
      </c>
      <c r="AC379" s="48" t="str">
        <f t="shared" si="25"/>
        <v/>
      </c>
      <c r="AD379" s="48" t="str">
        <f t="shared" si="25"/>
        <v/>
      </c>
      <c r="AE379" s="48" t="str">
        <f t="shared" si="23"/>
        <v/>
      </c>
    </row>
    <row r="380" spans="1:31" x14ac:dyDescent="0.25">
      <c r="A380" s="2"/>
      <c r="B380" s="2"/>
      <c r="C380" s="2"/>
      <c r="D380" s="2" t="str">
        <f>IF(ISBLANK(C380),"",VLOOKUP(C380,configuration!$G$7:$H$10,2,FALSE))</f>
        <v/>
      </c>
      <c r="E380" s="2"/>
      <c r="F380" s="2"/>
      <c r="G380" s="2"/>
      <c r="H380" s="2" t="str">
        <f>IF(ISBLANK(G380),"",VLOOKUP(G380,configuration!$J$7:$K$10,2,FALSE))</f>
        <v/>
      </c>
      <c r="I380" s="30"/>
      <c r="J380" s="2"/>
      <c r="K380" s="31"/>
      <c r="L380" s="35"/>
      <c r="M380" s="2" t="str">
        <f>IF(ISBLANK(L380),"",VLOOKUP(L380,configuration!$M$7:$N$10,2,FALSE))</f>
        <v/>
      </c>
      <c r="N380" s="30"/>
      <c r="O380" s="2"/>
      <c r="P380" s="31"/>
      <c r="Q380" s="54"/>
      <c r="R380" s="55" t="str">
        <f>IF(ISBLANK(Q380),"",VLOOKUP(Q380,configuration!$P$7:$Q$10,2,FALSE))</f>
        <v/>
      </c>
      <c r="S380" s="56"/>
      <c r="T380" s="55"/>
      <c r="U380" s="78"/>
      <c r="V380" s="76" t="str">
        <f t="shared" si="24"/>
        <v/>
      </c>
      <c r="W380" s="48" t="str">
        <f t="shared" si="24"/>
        <v/>
      </c>
      <c r="X380" s="48" t="str">
        <f t="shared" si="24"/>
        <v/>
      </c>
      <c r="Y380" s="48" t="str">
        <f t="shared" si="24"/>
        <v/>
      </c>
      <c r="Z380" s="49" t="str">
        <f t="shared" si="22"/>
        <v/>
      </c>
      <c r="AA380" s="50" t="str">
        <f t="shared" si="25"/>
        <v/>
      </c>
      <c r="AB380" s="48" t="str">
        <f t="shared" si="25"/>
        <v/>
      </c>
      <c r="AC380" s="48" t="str">
        <f t="shared" si="25"/>
        <v/>
      </c>
      <c r="AD380" s="48" t="str">
        <f t="shared" si="25"/>
        <v/>
      </c>
      <c r="AE380" s="48" t="str">
        <f t="shared" si="23"/>
        <v/>
      </c>
    </row>
    <row r="381" spans="1:31" x14ac:dyDescent="0.25">
      <c r="A381" s="2"/>
      <c r="B381" s="2"/>
      <c r="C381" s="2"/>
      <c r="D381" s="2" t="str">
        <f>IF(ISBLANK(C381),"",VLOOKUP(C381,configuration!$G$7:$H$10,2,FALSE))</f>
        <v/>
      </c>
      <c r="E381" s="2"/>
      <c r="F381" s="2"/>
      <c r="G381" s="2"/>
      <c r="H381" s="2" t="str">
        <f>IF(ISBLANK(G381),"",VLOOKUP(G381,configuration!$J$7:$K$10,2,FALSE))</f>
        <v/>
      </c>
      <c r="I381" s="30"/>
      <c r="J381" s="2"/>
      <c r="K381" s="31"/>
      <c r="L381" s="35"/>
      <c r="M381" s="2" t="str">
        <f>IF(ISBLANK(L381),"",VLOOKUP(L381,configuration!$M$7:$N$10,2,FALSE))</f>
        <v/>
      </c>
      <c r="N381" s="30"/>
      <c r="O381" s="2"/>
      <c r="P381" s="31"/>
      <c r="Q381" s="54"/>
      <c r="R381" s="55" t="str">
        <f>IF(ISBLANK(Q381),"",VLOOKUP(Q381,configuration!$P$7:$Q$10,2,FALSE))</f>
        <v/>
      </c>
      <c r="S381" s="56"/>
      <c r="T381" s="55"/>
      <c r="U381" s="78"/>
      <c r="V381" s="76" t="str">
        <f t="shared" si="24"/>
        <v/>
      </c>
      <c r="W381" s="48" t="str">
        <f t="shared" si="24"/>
        <v/>
      </c>
      <c r="X381" s="48" t="str">
        <f t="shared" si="24"/>
        <v/>
      </c>
      <c r="Y381" s="48" t="str">
        <f t="shared" si="24"/>
        <v/>
      </c>
      <c r="Z381" s="49" t="str">
        <f t="shared" si="22"/>
        <v/>
      </c>
      <c r="AA381" s="50" t="str">
        <f t="shared" si="25"/>
        <v/>
      </c>
      <c r="AB381" s="48" t="str">
        <f t="shared" si="25"/>
        <v/>
      </c>
      <c r="AC381" s="48" t="str">
        <f t="shared" si="25"/>
        <v/>
      </c>
      <c r="AD381" s="48" t="str">
        <f t="shared" si="25"/>
        <v/>
      </c>
      <c r="AE381" s="48" t="str">
        <f t="shared" si="23"/>
        <v/>
      </c>
    </row>
    <row r="382" spans="1:31" x14ac:dyDescent="0.25">
      <c r="A382" s="2"/>
      <c r="B382" s="2"/>
      <c r="C382" s="2"/>
      <c r="D382" s="2" t="str">
        <f>IF(ISBLANK(C382),"",VLOOKUP(C382,configuration!$G$7:$H$10,2,FALSE))</f>
        <v/>
      </c>
      <c r="E382" s="2"/>
      <c r="F382" s="2"/>
      <c r="G382" s="2"/>
      <c r="H382" s="2" t="str">
        <f>IF(ISBLANK(G382),"",VLOOKUP(G382,configuration!$J$7:$K$10,2,FALSE))</f>
        <v/>
      </c>
      <c r="I382" s="30"/>
      <c r="J382" s="2"/>
      <c r="K382" s="31"/>
      <c r="L382" s="35"/>
      <c r="M382" s="2" t="str">
        <f>IF(ISBLANK(L382),"",VLOOKUP(L382,configuration!$M$7:$N$10,2,FALSE))</f>
        <v/>
      </c>
      <c r="N382" s="30"/>
      <c r="O382" s="2"/>
      <c r="P382" s="31"/>
      <c r="Q382" s="54"/>
      <c r="R382" s="55" t="str">
        <f>IF(ISBLANK(Q382),"",VLOOKUP(Q382,configuration!$P$7:$Q$10,2,FALSE))</f>
        <v/>
      </c>
      <c r="S382" s="56"/>
      <c r="T382" s="55"/>
      <c r="U382" s="78"/>
      <c r="V382" s="76" t="str">
        <f t="shared" si="24"/>
        <v/>
      </c>
      <c r="W382" s="48" t="str">
        <f t="shared" si="24"/>
        <v/>
      </c>
      <c r="X382" s="48" t="str">
        <f t="shared" si="24"/>
        <v/>
      </c>
      <c r="Y382" s="48" t="str">
        <f t="shared" si="24"/>
        <v/>
      </c>
      <c r="Z382" s="49" t="str">
        <f t="shared" si="22"/>
        <v/>
      </c>
      <c r="AA382" s="50" t="str">
        <f t="shared" si="25"/>
        <v/>
      </c>
      <c r="AB382" s="48" t="str">
        <f t="shared" si="25"/>
        <v/>
      </c>
      <c r="AC382" s="48" t="str">
        <f t="shared" si="25"/>
        <v/>
      </c>
      <c r="AD382" s="48" t="str">
        <f t="shared" si="25"/>
        <v/>
      </c>
      <c r="AE382" s="48" t="str">
        <f t="shared" si="23"/>
        <v/>
      </c>
    </row>
    <row r="383" spans="1:31" x14ac:dyDescent="0.25">
      <c r="A383" s="2"/>
      <c r="B383" s="2"/>
      <c r="C383" s="2"/>
      <c r="D383" s="2" t="str">
        <f>IF(ISBLANK(C383),"",VLOOKUP(C383,configuration!$G$7:$H$10,2,FALSE))</f>
        <v/>
      </c>
      <c r="E383" s="2"/>
      <c r="F383" s="2"/>
      <c r="G383" s="2"/>
      <c r="H383" s="2" t="str">
        <f>IF(ISBLANK(G383),"",VLOOKUP(G383,configuration!$J$7:$K$10,2,FALSE))</f>
        <v/>
      </c>
      <c r="I383" s="30"/>
      <c r="J383" s="2"/>
      <c r="K383" s="31"/>
      <c r="L383" s="35"/>
      <c r="M383" s="2" t="str">
        <f>IF(ISBLANK(L383),"",VLOOKUP(L383,configuration!$M$7:$N$10,2,FALSE))</f>
        <v/>
      </c>
      <c r="N383" s="30"/>
      <c r="O383" s="2"/>
      <c r="P383" s="31"/>
      <c r="Q383" s="54"/>
      <c r="R383" s="55" t="str">
        <f>IF(ISBLANK(Q383),"",VLOOKUP(Q383,configuration!$P$7:$Q$10,2,FALSE))</f>
        <v/>
      </c>
      <c r="S383" s="56"/>
      <c r="T383" s="55"/>
      <c r="U383" s="78"/>
      <c r="V383" s="76" t="str">
        <f t="shared" si="24"/>
        <v/>
      </c>
      <c r="W383" s="48" t="str">
        <f t="shared" si="24"/>
        <v/>
      </c>
      <c r="X383" s="48" t="str">
        <f t="shared" si="24"/>
        <v/>
      </c>
      <c r="Y383" s="48" t="str">
        <f t="shared" si="24"/>
        <v/>
      </c>
      <c r="Z383" s="49" t="str">
        <f t="shared" si="22"/>
        <v/>
      </c>
      <c r="AA383" s="50" t="str">
        <f t="shared" si="25"/>
        <v/>
      </c>
      <c r="AB383" s="48" t="str">
        <f t="shared" si="25"/>
        <v/>
      </c>
      <c r="AC383" s="48" t="str">
        <f t="shared" si="25"/>
        <v/>
      </c>
      <c r="AD383" s="48" t="str">
        <f t="shared" si="25"/>
        <v/>
      </c>
      <c r="AE383" s="48" t="str">
        <f t="shared" si="23"/>
        <v/>
      </c>
    </row>
    <row r="384" spans="1:31" x14ac:dyDescent="0.25">
      <c r="A384" s="2"/>
      <c r="B384" s="2"/>
      <c r="C384" s="2"/>
      <c r="D384" s="2" t="str">
        <f>IF(ISBLANK(C384),"",VLOOKUP(C384,configuration!$G$7:$H$10,2,FALSE))</f>
        <v/>
      </c>
      <c r="E384" s="2"/>
      <c r="F384" s="2"/>
      <c r="G384" s="2"/>
      <c r="H384" s="2" t="str">
        <f>IF(ISBLANK(G384),"",VLOOKUP(G384,configuration!$J$7:$K$10,2,FALSE))</f>
        <v/>
      </c>
      <c r="I384" s="30"/>
      <c r="J384" s="2"/>
      <c r="K384" s="31"/>
      <c r="L384" s="35"/>
      <c r="M384" s="2" t="str">
        <f>IF(ISBLANK(L384),"",VLOOKUP(L384,configuration!$M$7:$N$10,2,FALSE))</f>
        <v/>
      </c>
      <c r="N384" s="30"/>
      <c r="O384" s="2"/>
      <c r="P384" s="31"/>
      <c r="Q384" s="54"/>
      <c r="R384" s="55" t="str">
        <f>IF(ISBLANK(Q384),"",VLOOKUP(Q384,configuration!$P$7:$Q$10,2,FALSE))</f>
        <v/>
      </c>
      <c r="S384" s="56"/>
      <c r="T384" s="55"/>
      <c r="U384" s="78"/>
      <c r="V384" s="76" t="str">
        <f t="shared" si="24"/>
        <v/>
      </c>
      <c r="W384" s="48" t="str">
        <f t="shared" si="24"/>
        <v/>
      </c>
      <c r="X384" s="48" t="str">
        <f t="shared" si="24"/>
        <v/>
      </c>
      <c r="Y384" s="48" t="str">
        <f t="shared" si="24"/>
        <v/>
      </c>
      <c r="Z384" s="49" t="str">
        <f t="shared" si="22"/>
        <v/>
      </c>
      <c r="AA384" s="50" t="str">
        <f t="shared" si="25"/>
        <v/>
      </c>
      <c r="AB384" s="48" t="str">
        <f t="shared" si="25"/>
        <v/>
      </c>
      <c r="AC384" s="48" t="str">
        <f t="shared" si="25"/>
        <v/>
      </c>
      <c r="AD384" s="48" t="str">
        <f t="shared" si="25"/>
        <v/>
      </c>
      <c r="AE384" s="48" t="str">
        <f t="shared" si="23"/>
        <v/>
      </c>
    </row>
    <row r="385" spans="1:31" x14ac:dyDescent="0.25">
      <c r="A385" s="2"/>
      <c r="B385" s="2"/>
      <c r="C385" s="2"/>
      <c r="D385" s="2" t="str">
        <f>IF(ISBLANK(C385),"",VLOOKUP(C385,configuration!$G$7:$H$10,2,FALSE))</f>
        <v/>
      </c>
      <c r="E385" s="2"/>
      <c r="F385" s="2"/>
      <c r="G385" s="2"/>
      <c r="H385" s="2" t="str">
        <f>IF(ISBLANK(G385),"",VLOOKUP(G385,configuration!$J$7:$K$10,2,FALSE))</f>
        <v/>
      </c>
      <c r="I385" s="30"/>
      <c r="J385" s="2"/>
      <c r="K385" s="31"/>
      <c r="L385" s="35"/>
      <c r="M385" s="2" t="str">
        <f>IF(ISBLANK(L385),"",VLOOKUP(L385,configuration!$M$7:$N$10,2,FALSE))</f>
        <v/>
      </c>
      <c r="N385" s="30"/>
      <c r="O385" s="2"/>
      <c r="P385" s="31"/>
      <c r="Q385" s="54"/>
      <c r="R385" s="55" t="str">
        <f>IF(ISBLANK(Q385),"",VLOOKUP(Q385,configuration!$P$7:$Q$10,2,FALSE))</f>
        <v/>
      </c>
      <c r="S385" s="56"/>
      <c r="T385" s="55"/>
      <c r="U385" s="78"/>
      <c r="V385" s="76" t="str">
        <f t="shared" si="24"/>
        <v/>
      </c>
      <c r="W385" s="48" t="str">
        <f t="shared" si="24"/>
        <v/>
      </c>
      <c r="X385" s="48" t="str">
        <f t="shared" si="24"/>
        <v/>
      </c>
      <c r="Y385" s="48" t="str">
        <f t="shared" si="24"/>
        <v/>
      </c>
      <c r="Z385" s="49" t="str">
        <f t="shared" si="22"/>
        <v/>
      </c>
      <c r="AA385" s="50" t="str">
        <f t="shared" si="25"/>
        <v/>
      </c>
      <c r="AB385" s="48" t="str">
        <f t="shared" si="25"/>
        <v/>
      </c>
      <c r="AC385" s="48" t="str">
        <f t="shared" si="25"/>
        <v/>
      </c>
      <c r="AD385" s="48" t="str">
        <f t="shared" si="25"/>
        <v/>
      </c>
      <c r="AE385" s="48" t="str">
        <f t="shared" si="23"/>
        <v/>
      </c>
    </row>
    <row r="386" spans="1:31" x14ac:dyDescent="0.25">
      <c r="A386" s="2"/>
      <c r="B386" s="2"/>
      <c r="C386" s="2"/>
      <c r="D386" s="2" t="str">
        <f>IF(ISBLANK(C386),"",VLOOKUP(C386,configuration!$G$7:$H$10,2,FALSE))</f>
        <v/>
      </c>
      <c r="E386" s="2"/>
      <c r="F386" s="2"/>
      <c r="G386" s="2"/>
      <c r="H386" s="2" t="str">
        <f>IF(ISBLANK(G386),"",VLOOKUP(G386,configuration!$J$7:$K$10,2,FALSE))</f>
        <v/>
      </c>
      <c r="I386" s="30"/>
      <c r="J386" s="2"/>
      <c r="K386" s="31"/>
      <c r="L386" s="35"/>
      <c r="M386" s="2" t="str">
        <f>IF(ISBLANK(L386),"",VLOOKUP(L386,configuration!$M$7:$N$10,2,FALSE))</f>
        <v/>
      </c>
      <c r="N386" s="30"/>
      <c r="O386" s="2"/>
      <c r="P386" s="31"/>
      <c r="Q386" s="54"/>
      <c r="R386" s="55" t="str">
        <f>IF(ISBLANK(Q386),"",VLOOKUP(Q386,configuration!$P$7:$Q$10,2,FALSE))</f>
        <v/>
      </c>
      <c r="S386" s="56"/>
      <c r="T386" s="55"/>
      <c r="U386" s="78"/>
      <c r="V386" s="76" t="str">
        <f t="shared" si="24"/>
        <v/>
      </c>
      <c r="W386" s="48" t="str">
        <f t="shared" si="24"/>
        <v/>
      </c>
      <c r="X386" s="48" t="str">
        <f t="shared" si="24"/>
        <v/>
      </c>
      <c r="Y386" s="48" t="str">
        <f t="shared" si="24"/>
        <v/>
      </c>
      <c r="Z386" s="49" t="str">
        <f t="shared" si="22"/>
        <v/>
      </c>
      <c r="AA386" s="50" t="str">
        <f t="shared" si="25"/>
        <v/>
      </c>
      <c r="AB386" s="48" t="str">
        <f t="shared" si="25"/>
        <v/>
      </c>
      <c r="AC386" s="48" t="str">
        <f t="shared" si="25"/>
        <v/>
      </c>
      <c r="AD386" s="48" t="str">
        <f t="shared" si="25"/>
        <v/>
      </c>
      <c r="AE386" s="48" t="str">
        <f t="shared" si="23"/>
        <v/>
      </c>
    </row>
    <row r="387" spans="1:31" x14ac:dyDescent="0.25">
      <c r="A387" s="2"/>
      <c r="B387" s="2"/>
      <c r="C387" s="2"/>
      <c r="D387" s="2" t="str">
        <f>IF(ISBLANK(C387),"",VLOOKUP(C387,configuration!$G$7:$H$10,2,FALSE))</f>
        <v/>
      </c>
      <c r="E387" s="2"/>
      <c r="F387" s="2"/>
      <c r="G387" s="2"/>
      <c r="H387" s="2" t="str">
        <f>IF(ISBLANK(G387),"",VLOOKUP(G387,configuration!$J$7:$K$10,2,FALSE))</f>
        <v/>
      </c>
      <c r="I387" s="30"/>
      <c r="J387" s="2"/>
      <c r="K387" s="31"/>
      <c r="L387" s="35"/>
      <c r="M387" s="2" t="str">
        <f>IF(ISBLANK(L387),"",VLOOKUP(L387,configuration!$M$7:$N$10,2,FALSE))</f>
        <v/>
      </c>
      <c r="N387" s="30"/>
      <c r="O387" s="2"/>
      <c r="P387" s="31"/>
      <c r="Q387" s="54"/>
      <c r="R387" s="55" t="str">
        <f>IF(ISBLANK(Q387),"",VLOOKUP(Q387,configuration!$P$7:$Q$10,2,FALSE))</f>
        <v/>
      </c>
      <c r="S387" s="56"/>
      <c r="T387" s="55"/>
      <c r="U387" s="78"/>
      <c r="V387" s="76" t="str">
        <f t="shared" si="24"/>
        <v/>
      </c>
      <c r="W387" s="48" t="str">
        <f t="shared" si="24"/>
        <v/>
      </c>
      <c r="X387" s="48" t="str">
        <f t="shared" si="24"/>
        <v/>
      </c>
      <c r="Y387" s="48" t="str">
        <f t="shared" si="24"/>
        <v/>
      </c>
      <c r="Z387" s="49" t="str">
        <f t="shared" si="22"/>
        <v/>
      </c>
      <c r="AA387" s="50" t="str">
        <f t="shared" si="25"/>
        <v/>
      </c>
      <c r="AB387" s="48" t="str">
        <f t="shared" si="25"/>
        <v/>
      </c>
      <c r="AC387" s="48" t="str">
        <f t="shared" si="25"/>
        <v/>
      </c>
      <c r="AD387" s="48" t="str">
        <f t="shared" si="25"/>
        <v/>
      </c>
      <c r="AE387" s="48" t="str">
        <f t="shared" si="23"/>
        <v/>
      </c>
    </row>
    <row r="388" spans="1:31" x14ac:dyDescent="0.25">
      <c r="A388" s="2"/>
      <c r="B388" s="2"/>
      <c r="C388" s="2"/>
      <c r="D388" s="2" t="str">
        <f>IF(ISBLANK(C388),"",VLOOKUP(C388,configuration!$G$7:$H$10,2,FALSE))</f>
        <v/>
      </c>
      <c r="E388" s="2"/>
      <c r="F388" s="2"/>
      <c r="G388" s="2"/>
      <c r="H388" s="2" t="str">
        <f>IF(ISBLANK(G388),"",VLOOKUP(G388,configuration!$J$7:$K$10,2,FALSE))</f>
        <v/>
      </c>
      <c r="I388" s="30"/>
      <c r="J388" s="2"/>
      <c r="K388" s="31"/>
      <c r="L388" s="35"/>
      <c r="M388" s="2" t="str">
        <f>IF(ISBLANK(L388),"",VLOOKUP(L388,configuration!$M$7:$N$10,2,FALSE))</f>
        <v/>
      </c>
      <c r="N388" s="30"/>
      <c r="O388" s="2"/>
      <c r="P388" s="31"/>
      <c r="Q388" s="54"/>
      <c r="R388" s="55" t="str">
        <f>IF(ISBLANK(Q388),"",VLOOKUP(Q388,configuration!$P$7:$Q$10,2,FALSE))</f>
        <v/>
      </c>
      <c r="S388" s="56"/>
      <c r="T388" s="55"/>
      <c r="U388" s="78"/>
      <c r="V388" s="76" t="str">
        <f t="shared" si="24"/>
        <v/>
      </c>
      <c r="W388" s="48" t="str">
        <f t="shared" si="24"/>
        <v/>
      </c>
      <c r="X388" s="48" t="str">
        <f t="shared" si="24"/>
        <v/>
      </c>
      <c r="Y388" s="48" t="str">
        <f t="shared" si="24"/>
        <v/>
      </c>
      <c r="Z388" s="49" t="str">
        <f t="shared" si="22"/>
        <v/>
      </c>
      <c r="AA388" s="50" t="str">
        <f t="shared" si="25"/>
        <v/>
      </c>
      <c r="AB388" s="48" t="str">
        <f t="shared" si="25"/>
        <v/>
      </c>
      <c r="AC388" s="48" t="str">
        <f t="shared" si="25"/>
        <v/>
      </c>
      <c r="AD388" s="48" t="str">
        <f t="shared" si="25"/>
        <v/>
      </c>
      <c r="AE388" s="48" t="str">
        <f t="shared" si="23"/>
        <v/>
      </c>
    </row>
    <row r="389" spans="1:31" x14ac:dyDescent="0.25">
      <c r="A389" s="2"/>
      <c r="B389" s="2"/>
      <c r="C389" s="2"/>
      <c r="D389" s="2" t="str">
        <f>IF(ISBLANK(C389),"",VLOOKUP(C389,configuration!$G$7:$H$10,2,FALSE))</f>
        <v/>
      </c>
      <c r="E389" s="2"/>
      <c r="F389" s="2"/>
      <c r="G389" s="2"/>
      <c r="H389" s="2" t="str">
        <f>IF(ISBLANK(G389),"",VLOOKUP(G389,configuration!$J$7:$K$10,2,FALSE))</f>
        <v/>
      </c>
      <c r="I389" s="30"/>
      <c r="J389" s="2"/>
      <c r="K389" s="31"/>
      <c r="L389" s="35"/>
      <c r="M389" s="2" t="str">
        <f>IF(ISBLANK(L389),"",VLOOKUP(L389,configuration!$M$7:$N$10,2,FALSE))</f>
        <v/>
      </c>
      <c r="N389" s="30"/>
      <c r="O389" s="2"/>
      <c r="P389" s="31"/>
      <c r="Q389" s="54"/>
      <c r="R389" s="55" t="str">
        <f>IF(ISBLANK(Q389),"",VLOOKUP(Q389,configuration!$P$7:$Q$10,2,FALSE))</f>
        <v/>
      </c>
      <c r="S389" s="56"/>
      <c r="T389" s="55"/>
      <c r="U389" s="78"/>
      <c r="V389" s="76" t="str">
        <f t="shared" si="24"/>
        <v/>
      </c>
      <c r="W389" s="48" t="str">
        <f t="shared" si="24"/>
        <v/>
      </c>
      <c r="X389" s="48" t="str">
        <f t="shared" si="24"/>
        <v/>
      </c>
      <c r="Y389" s="48" t="str">
        <f t="shared" si="24"/>
        <v/>
      </c>
      <c r="Z389" s="49" t="str">
        <f t="shared" si="22"/>
        <v/>
      </c>
      <c r="AA389" s="50" t="str">
        <f t="shared" si="25"/>
        <v/>
      </c>
      <c r="AB389" s="48" t="str">
        <f t="shared" si="25"/>
        <v/>
      </c>
      <c r="AC389" s="48" t="str">
        <f t="shared" si="25"/>
        <v/>
      </c>
      <c r="AD389" s="48" t="str">
        <f t="shared" si="25"/>
        <v/>
      </c>
      <c r="AE389" s="48" t="str">
        <f t="shared" si="23"/>
        <v/>
      </c>
    </row>
    <row r="390" spans="1:31" x14ac:dyDescent="0.25">
      <c r="A390" s="2"/>
      <c r="B390" s="2"/>
      <c r="C390" s="2"/>
      <c r="D390" s="2" t="str">
        <f>IF(ISBLANK(C390),"",VLOOKUP(C390,configuration!$G$7:$H$10,2,FALSE))</f>
        <v/>
      </c>
      <c r="E390" s="2"/>
      <c r="F390" s="2"/>
      <c r="G390" s="2"/>
      <c r="H390" s="2" t="str">
        <f>IF(ISBLANK(G390),"",VLOOKUP(G390,configuration!$J$7:$K$10,2,FALSE))</f>
        <v/>
      </c>
      <c r="I390" s="30"/>
      <c r="J390" s="2"/>
      <c r="K390" s="31"/>
      <c r="L390" s="35"/>
      <c r="M390" s="2" t="str">
        <f>IF(ISBLANK(L390),"",VLOOKUP(L390,configuration!$M$7:$N$10,2,FALSE))</f>
        <v/>
      </c>
      <c r="N390" s="30"/>
      <c r="O390" s="2"/>
      <c r="P390" s="31"/>
      <c r="Q390" s="54"/>
      <c r="R390" s="55" t="str">
        <f>IF(ISBLANK(Q390),"",VLOOKUP(Q390,configuration!$P$7:$Q$10,2,FALSE))</f>
        <v/>
      </c>
      <c r="S390" s="56"/>
      <c r="T390" s="55"/>
      <c r="U390" s="78"/>
      <c r="V390" s="76" t="str">
        <f t="shared" si="24"/>
        <v/>
      </c>
      <c r="W390" s="48" t="str">
        <f t="shared" si="24"/>
        <v/>
      </c>
      <c r="X390" s="48" t="str">
        <f t="shared" si="24"/>
        <v/>
      </c>
      <c r="Y390" s="48" t="str">
        <f t="shared" si="24"/>
        <v/>
      </c>
      <c r="Z390" s="49" t="str">
        <f t="shared" ref="Z390:Z453" si="26">IF(AND($G390="",A390&lt;&gt;""),1,"")</f>
        <v/>
      </c>
      <c r="AA390" s="50" t="str">
        <f t="shared" si="25"/>
        <v/>
      </c>
      <c r="AB390" s="48" t="str">
        <f t="shared" si="25"/>
        <v/>
      </c>
      <c r="AC390" s="48" t="str">
        <f t="shared" si="25"/>
        <v/>
      </c>
      <c r="AD390" s="48" t="str">
        <f t="shared" si="25"/>
        <v/>
      </c>
      <c r="AE390" s="48" t="str">
        <f t="shared" ref="AE390:AE453" si="27">IF(AND($L390="",A390&lt;&gt;""),1,"")</f>
        <v/>
      </c>
    </row>
    <row r="391" spans="1:31" x14ac:dyDescent="0.25">
      <c r="A391" s="2"/>
      <c r="B391" s="2"/>
      <c r="C391" s="2"/>
      <c r="D391" s="2" t="str">
        <f>IF(ISBLANK(C391),"",VLOOKUP(C391,configuration!$G$7:$H$10,2,FALSE))</f>
        <v/>
      </c>
      <c r="E391" s="2"/>
      <c r="F391" s="2"/>
      <c r="G391" s="2"/>
      <c r="H391" s="2" t="str">
        <f>IF(ISBLANK(G391),"",VLOOKUP(G391,configuration!$J$7:$K$10,2,FALSE))</f>
        <v/>
      </c>
      <c r="I391" s="30"/>
      <c r="J391" s="2"/>
      <c r="K391" s="31"/>
      <c r="L391" s="35"/>
      <c r="M391" s="2" t="str">
        <f>IF(ISBLANK(L391),"",VLOOKUP(L391,configuration!$M$7:$N$10,2,FALSE))</f>
        <v/>
      </c>
      <c r="N391" s="30"/>
      <c r="O391" s="2"/>
      <c r="P391" s="31"/>
      <c r="Q391" s="54"/>
      <c r="R391" s="55" t="str">
        <f>IF(ISBLANK(Q391),"",VLOOKUP(Q391,configuration!$P$7:$Q$10,2,FALSE))</f>
        <v/>
      </c>
      <c r="S391" s="56"/>
      <c r="T391" s="55"/>
      <c r="U391" s="78"/>
      <c r="V391" s="76" t="str">
        <f t="shared" si="24"/>
        <v/>
      </c>
      <c r="W391" s="48" t="str">
        <f t="shared" si="24"/>
        <v/>
      </c>
      <c r="X391" s="48" t="str">
        <f t="shared" si="24"/>
        <v/>
      </c>
      <c r="Y391" s="48" t="str">
        <f t="shared" si="24"/>
        <v/>
      </c>
      <c r="Z391" s="49" t="str">
        <f t="shared" si="26"/>
        <v/>
      </c>
      <c r="AA391" s="50" t="str">
        <f t="shared" si="25"/>
        <v/>
      </c>
      <c r="AB391" s="48" t="str">
        <f t="shared" si="25"/>
        <v/>
      </c>
      <c r="AC391" s="48" t="str">
        <f t="shared" si="25"/>
        <v/>
      </c>
      <c r="AD391" s="48" t="str">
        <f t="shared" si="25"/>
        <v/>
      </c>
      <c r="AE391" s="48" t="str">
        <f t="shared" si="27"/>
        <v/>
      </c>
    </row>
    <row r="392" spans="1:31" x14ac:dyDescent="0.25">
      <c r="A392" s="2"/>
      <c r="B392" s="2"/>
      <c r="C392" s="2"/>
      <c r="D392" s="2" t="str">
        <f>IF(ISBLANK(C392),"",VLOOKUP(C392,configuration!$G$7:$H$10,2,FALSE))</f>
        <v/>
      </c>
      <c r="E392" s="2"/>
      <c r="F392" s="2"/>
      <c r="G392" s="2"/>
      <c r="H392" s="2" t="str">
        <f>IF(ISBLANK(G392),"",VLOOKUP(G392,configuration!$J$7:$K$10,2,FALSE))</f>
        <v/>
      </c>
      <c r="I392" s="30"/>
      <c r="J392" s="2"/>
      <c r="K392" s="31"/>
      <c r="L392" s="35"/>
      <c r="M392" s="2" t="str">
        <f>IF(ISBLANK(L392),"",VLOOKUP(L392,configuration!$M$7:$N$10,2,FALSE))</f>
        <v/>
      </c>
      <c r="N392" s="30"/>
      <c r="O392" s="2"/>
      <c r="P392" s="31"/>
      <c r="Q392" s="54"/>
      <c r="R392" s="55" t="str">
        <f>IF(ISBLANK(Q392),"",VLOOKUP(Q392,configuration!$P$7:$Q$10,2,FALSE))</f>
        <v/>
      </c>
      <c r="S392" s="56"/>
      <c r="T392" s="55"/>
      <c r="U392" s="78"/>
      <c r="V392" s="76" t="str">
        <f t="shared" si="24"/>
        <v/>
      </c>
      <c r="W392" s="48" t="str">
        <f t="shared" si="24"/>
        <v/>
      </c>
      <c r="X392" s="48" t="str">
        <f t="shared" si="24"/>
        <v/>
      </c>
      <c r="Y392" s="48" t="str">
        <f t="shared" si="24"/>
        <v/>
      </c>
      <c r="Z392" s="49" t="str">
        <f t="shared" si="26"/>
        <v/>
      </c>
      <c r="AA392" s="50" t="str">
        <f t="shared" si="25"/>
        <v/>
      </c>
      <c r="AB392" s="48" t="str">
        <f t="shared" si="25"/>
        <v/>
      </c>
      <c r="AC392" s="48" t="str">
        <f t="shared" si="25"/>
        <v/>
      </c>
      <c r="AD392" s="48" t="str">
        <f t="shared" si="25"/>
        <v/>
      </c>
      <c r="AE392" s="48" t="str">
        <f t="shared" si="27"/>
        <v/>
      </c>
    </row>
    <row r="393" spans="1:31" x14ac:dyDescent="0.25">
      <c r="A393" s="2"/>
      <c r="B393" s="2"/>
      <c r="C393" s="2"/>
      <c r="D393" s="2" t="str">
        <f>IF(ISBLANK(C393),"",VLOOKUP(C393,configuration!$G$7:$H$10,2,FALSE))</f>
        <v/>
      </c>
      <c r="E393" s="2"/>
      <c r="F393" s="2"/>
      <c r="G393" s="2"/>
      <c r="H393" s="2" t="str">
        <f>IF(ISBLANK(G393),"",VLOOKUP(G393,configuration!$J$7:$K$10,2,FALSE))</f>
        <v/>
      </c>
      <c r="I393" s="30"/>
      <c r="J393" s="2"/>
      <c r="K393" s="31"/>
      <c r="L393" s="35"/>
      <c r="M393" s="2" t="str">
        <f>IF(ISBLANK(L393),"",VLOOKUP(L393,configuration!$M$7:$N$10,2,FALSE))</f>
        <v/>
      </c>
      <c r="N393" s="30"/>
      <c r="O393" s="2"/>
      <c r="P393" s="31"/>
      <c r="Q393" s="54"/>
      <c r="R393" s="55" t="str">
        <f>IF(ISBLANK(Q393),"",VLOOKUP(Q393,configuration!$P$7:$Q$10,2,FALSE))</f>
        <v/>
      </c>
      <c r="S393" s="56"/>
      <c r="T393" s="55"/>
      <c r="U393" s="78"/>
      <c r="V393" s="76" t="str">
        <f t="shared" si="24"/>
        <v/>
      </c>
      <c r="W393" s="48" t="str">
        <f t="shared" si="24"/>
        <v/>
      </c>
      <c r="X393" s="48" t="str">
        <f t="shared" si="24"/>
        <v/>
      </c>
      <c r="Y393" s="48" t="str">
        <f t="shared" si="24"/>
        <v/>
      </c>
      <c r="Z393" s="49" t="str">
        <f t="shared" si="26"/>
        <v/>
      </c>
      <c r="AA393" s="50" t="str">
        <f t="shared" si="25"/>
        <v/>
      </c>
      <c r="AB393" s="48" t="str">
        <f t="shared" si="25"/>
        <v/>
      </c>
      <c r="AC393" s="48" t="str">
        <f t="shared" si="25"/>
        <v/>
      </c>
      <c r="AD393" s="48" t="str">
        <f t="shared" si="25"/>
        <v/>
      </c>
      <c r="AE393" s="48" t="str">
        <f t="shared" si="27"/>
        <v/>
      </c>
    </row>
    <row r="394" spans="1:31" x14ac:dyDescent="0.25">
      <c r="A394" s="2"/>
      <c r="B394" s="2"/>
      <c r="C394" s="2"/>
      <c r="D394" s="2" t="str">
        <f>IF(ISBLANK(C394),"",VLOOKUP(C394,configuration!$G$7:$H$10,2,FALSE))</f>
        <v/>
      </c>
      <c r="E394" s="2"/>
      <c r="F394" s="2"/>
      <c r="G394" s="2"/>
      <c r="H394" s="2" t="str">
        <f>IF(ISBLANK(G394),"",VLOOKUP(G394,configuration!$J$7:$K$10,2,FALSE))</f>
        <v/>
      </c>
      <c r="I394" s="30"/>
      <c r="J394" s="2"/>
      <c r="K394" s="31"/>
      <c r="L394" s="35"/>
      <c r="M394" s="2" t="str">
        <f>IF(ISBLANK(L394),"",VLOOKUP(L394,configuration!$M$7:$N$10,2,FALSE))</f>
        <v/>
      </c>
      <c r="N394" s="30"/>
      <c r="O394" s="2"/>
      <c r="P394" s="31"/>
      <c r="Q394" s="54"/>
      <c r="R394" s="55" t="str">
        <f>IF(ISBLANK(Q394),"",VLOOKUP(Q394,configuration!$P$7:$Q$10,2,FALSE))</f>
        <v/>
      </c>
      <c r="S394" s="56"/>
      <c r="T394" s="55"/>
      <c r="U394" s="78"/>
      <c r="V394" s="76" t="str">
        <f t="shared" si="24"/>
        <v/>
      </c>
      <c r="W394" s="48" t="str">
        <f t="shared" si="24"/>
        <v/>
      </c>
      <c r="X394" s="48" t="str">
        <f t="shared" si="24"/>
        <v/>
      </c>
      <c r="Y394" s="48" t="str">
        <f t="shared" si="24"/>
        <v/>
      </c>
      <c r="Z394" s="49" t="str">
        <f t="shared" si="26"/>
        <v/>
      </c>
      <c r="AA394" s="50" t="str">
        <f t="shared" si="25"/>
        <v/>
      </c>
      <c r="AB394" s="48" t="str">
        <f t="shared" si="25"/>
        <v/>
      </c>
      <c r="AC394" s="48" t="str">
        <f t="shared" si="25"/>
        <v/>
      </c>
      <c r="AD394" s="48" t="str">
        <f t="shared" si="25"/>
        <v/>
      </c>
      <c r="AE394" s="48" t="str">
        <f t="shared" si="27"/>
        <v/>
      </c>
    </row>
    <row r="395" spans="1:31" x14ac:dyDescent="0.25">
      <c r="A395" s="2"/>
      <c r="B395" s="2"/>
      <c r="C395" s="2"/>
      <c r="D395" s="2" t="str">
        <f>IF(ISBLANK(C395),"",VLOOKUP(C395,configuration!$G$7:$H$10,2,FALSE))</f>
        <v/>
      </c>
      <c r="E395" s="2"/>
      <c r="F395" s="2"/>
      <c r="G395" s="2"/>
      <c r="H395" s="2" t="str">
        <f>IF(ISBLANK(G395),"",VLOOKUP(G395,configuration!$J$7:$K$10,2,FALSE))</f>
        <v/>
      </c>
      <c r="I395" s="30"/>
      <c r="J395" s="2"/>
      <c r="K395" s="31"/>
      <c r="L395" s="35"/>
      <c r="M395" s="2" t="str">
        <f>IF(ISBLANK(L395),"",VLOOKUP(L395,configuration!$M$7:$N$10,2,FALSE))</f>
        <v/>
      </c>
      <c r="N395" s="30"/>
      <c r="O395" s="2"/>
      <c r="P395" s="31"/>
      <c r="Q395" s="54"/>
      <c r="R395" s="55" t="str">
        <f>IF(ISBLANK(Q395),"",VLOOKUP(Q395,configuration!$P$7:$Q$10,2,FALSE))</f>
        <v/>
      </c>
      <c r="S395" s="56"/>
      <c r="T395" s="55"/>
      <c r="U395" s="78"/>
      <c r="V395" s="76" t="str">
        <f t="shared" si="24"/>
        <v/>
      </c>
      <c r="W395" s="48" t="str">
        <f t="shared" si="24"/>
        <v/>
      </c>
      <c r="X395" s="48" t="str">
        <f t="shared" si="24"/>
        <v/>
      </c>
      <c r="Y395" s="48" t="str">
        <f t="shared" si="24"/>
        <v/>
      </c>
      <c r="Z395" s="49" t="str">
        <f t="shared" si="26"/>
        <v/>
      </c>
      <c r="AA395" s="50" t="str">
        <f t="shared" si="25"/>
        <v/>
      </c>
      <c r="AB395" s="48" t="str">
        <f t="shared" si="25"/>
        <v/>
      </c>
      <c r="AC395" s="48" t="str">
        <f t="shared" si="25"/>
        <v/>
      </c>
      <c r="AD395" s="48" t="str">
        <f t="shared" si="25"/>
        <v/>
      </c>
      <c r="AE395" s="48" t="str">
        <f t="shared" si="27"/>
        <v/>
      </c>
    </row>
    <row r="396" spans="1:31" x14ac:dyDescent="0.25">
      <c r="A396" s="2"/>
      <c r="B396" s="2"/>
      <c r="C396" s="2"/>
      <c r="D396" s="2" t="str">
        <f>IF(ISBLANK(C396),"",VLOOKUP(C396,configuration!$G$7:$H$10,2,FALSE))</f>
        <v/>
      </c>
      <c r="E396" s="2"/>
      <c r="F396" s="2"/>
      <c r="G396" s="2"/>
      <c r="H396" s="2" t="str">
        <f>IF(ISBLANK(G396),"",VLOOKUP(G396,configuration!$J$7:$K$10,2,FALSE))</f>
        <v/>
      </c>
      <c r="I396" s="30"/>
      <c r="J396" s="2"/>
      <c r="K396" s="31"/>
      <c r="L396" s="35"/>
      <c r="M396" s="2" t="str">
        <f>IF(ISBLANK(L396),"",VLOOKUP(L396,configuration!$M$7:$N$10,2,FALSE))</f>
        <v/>
      </c>
      <c r="N396" s="30"/>
      <c r="O396" s="2"/>
      <c r="P396" s="31"/>
      <c r="Q396" s="54"/>
      <c r="R396" s="55" t="str">
        <f>IF(ISBLANK(Q396),"",VLOOKUP(Q396,configuration!$P$7:$Q$10,2,FALSE))</f>
        <v/>
      </c>
      <c r="S396" s="56"/>
      <c r="T396" s="55"/>
      <c r="U396" s="78"/>
      <c r="V396" s="76" t="str">
        <f t="shared" si="24"/>
        <v/>
      </c>
      <c r="W396" s="48" t="str">
        <f t="shared" si="24"/>
        <v/>
      </c>
      <c r="X396" s="48" t="str">
        <f t="shared" si="24"/>
        <v/>
      </c>
      <c r="Y396" s="48" t="str">
        <f t="shared" si="24"/>
        <v/>
      </c>
      <c r="Z396" s="49" t="str">
        <f t="shared" si="26"/>
        <v/>
      </c>
      <c r="AA396" s="50" t="str">
        <f t="shared" si="25"/>
        <v/>
      </c>
      <c r="AB396" s="48" t="str">
        <f t="shared" si="25"/>
        <v/>
      </c>
      <c r="AC396" s="48" t="str">
        <f t="shared" si="25"/>
        <v/>
      </c>
      <c r="AD396" s="48" t="str">
        <f t="shared" si="25"/>
        <v/>
      </c>
      <c r="AE396" s="48" t="str">
        <f t="shared" si="27"/>
        <v/>
      </c>
    </row>
    <row r="397" spans="1:31" x14ac:dyDescent="0.25">
      <c r="A397" s="2"/>
      <c r="B397" s="2"/>
      <c r="C397" s="2"/>
      <c r="D397" s="2" t="str">
        <f>IF(ISBLANK(C397),"",VLOOKUP(C397,configuration!$G$7:$H$10,2,FALSE))</f>
        <v/>
      </c>
      <c r="E397" s="2"/>
      <c r="F397" s="2"/>
      <c r="G397" s="2"/>
      <c r="H397" s="2" t="str">
        <f>IF(ISBLANK(G397),"",VLOOKUP(G397,configuration!$J$7:$K$10,2,FALSE))</f>
        <v/>
      </c>
      <c r="I397" s="30"/>
      <c r="J397" s="2"/>
      <c r="K397" s="31"/>
      <c r="L397" s="35"/>
      <c r="M397" s="2" t="str">
        <f>IF(ISBLANK(L397),"",VLOOKUP(L397,configuration!$M$7:$N$10,2,FALSE))</f>
        <v/>
      </c>
      <c r="N397" s="30"/>
      <c r="O397" s="2"/>
      <c r="P397" s="31"/>
      <c r="Q397" s="54"/>
      <c r="R397" s="55" t="str">
        <f>IF(ISBLANK(Q397),"",VLOOKUP(Q397,configuration!$P$7:$Q$10,2,FALSE))</f>
        <v/>
      </c>
      <c r="S397" s="56"/>
      <c r="T397" s="55"/>
      <c r="U397" s="78"/>
      <c r="V397" s="76" t="str">
        <f t="shared" si="24"/>
        <v/>
      </c>
      <c r="W397" s="48" t="str">
        <f t="shared" si="24"/>
        <v/>
      </c>
      <c r="X397" s="48" t="str">
        <f t="shared" si="24"/>
        <v/>
      </c>
      <c r="Y397" s="48" t="str">
        <f t="shared" si="24"/>
        <v/>
      </c>
      <c r="Z397" s="49" t="str">
        <f t="shared" si="26"/>
        <v/>
      </c>
      <c r="AA397" s="50" t="str">
        <f t="shared" si="25"/>
        <v/>
      </c>
      <c r="AB397" s="48" t="str">
        <f t="shared" si="25"/>
        <v/>
      </c>
      <c r="AC397" s="48" t="str">
        <f t="shared" si="25"/>
        <v/>
      </c>
      <c r="AD397" s="48" t="str">
        <f t="shared" si="25"/>
        <v/>
      </c>
      <c r="AE397" s="48" t="str">
        <f t="shared" si="27"/>
        <v/>
      </c>
    </row>
    <row r="398" spans="1:31" x14ac:dyDescent="0.25">
      <c r="A398" s="2"/>
      <c r="B398" s="2"/>
      <c r="C398" s="2"/>
      <c r="D398" s="2" t="str">
        <f>IF(ISBLANK(C398),"",VLOOKUP(C398,configuration!$G$7:$H$10,2,FALSE))</f>
        <v/>
      </c>
      <c r="E398" s="2"/>
      <c r="F398" s="2"/>
      <c r="G398" s="2"/>
      <c r="H398" s="2" t="str">
        <f>IF(ISBLANK(G398),"",VLOOKUP(G398,configuration!$J$7:$K$10,2,FALSE))</f>
        <v/>
      </c>
      <c r="I398" s="30"/>
      <c r="J398" s="2"/>
      <c r="K398" s="31"/>
      <c r="L398" s="35"/>
      <c r="M398" s="2" t="str">
        <f>IF(ISBLANK(L398),"",VLOOKUP(L398,configuration!$M$7:$N$10,2,FALSE))</f>
        <v/>
      </c>
      <c r="N398" s="30"/>
      <c r="O398" s="2"/>
      <c r="P398" s="31"/>
      <c r="Q398" s="54"/>
      <c r="R398" s="55" t="str">
        <f>IF(ISBLANK(Q398),"",VLOOKUP(Q398,configuration!$P$7:$Q$10,2,FALSE))</f>
        <v/>
      </c>
      <c r="S398" s="56"/>
      <c r="T398" s="55"/>
      <c r="U398" s="78"/>
      <c r="V398" s="76" t="str">
        <f t="shared" si="24"/>
        <v/>
      </c>
      <c r="W398" s="48" t="str">
        <f t="shared" si="24"/>
        <v/>
      </c>
      <c r="X398" s="48" t="str">
        <f t="shared" si="24"/>
        <v/>
      </c>
      <c r="Y398" s="48" t="str">
        <f t="shared" si="24"/>
        <v/>
      </c>
      <c r="Z398" s="49" t="str">
        <f t="shared" si="26"/>
        <v/>
      </c>
      <c r="AA398" s="50" t="str">
        <f t="shared" si="25"/>
        <v/>
      </c>
      <c r="AB398" s="48" t="str">
        <f t="shared" si="25"/>
        <v/>
      </c>
      <c r="AC398" s="48" t="str">
        <f t="shared" si="25"/>
        <v/>
      </c>
      <c r="AD398" s="48" t="str">
        <f t="shared" si="25"/>
        <v/>
      </c>
      <c r="AE398" s="48" t="str">
        <f t="shared" si="27"/>
        <v/>
      </c>
    </row>
    <row r="399" spans="1:31" x14ac:dyDescent="0.25">
      <c r="A399" s="2"/>
      <c r="B399" s="2"/>
      <c r="C399" s="2"/>
      <c r="D399" s="2" t="str">
        <f>IF(ISBLANK(C399),"",VLOOKUP(C399,configuration!$G$7:$H$10,2,FALSE))</f>
        <v/>
      </c>
      <c r="E399" s="2"/>
      <c r="F399" s="2"/>
      <c r="G399" s="2"/>
      <c r="H399" s="2" t="str">
        <f>IF(ISBLANK(G399),"",VLOOKUP(G399,configuration!$J$7:$K$10,2,FALSE))</f>
        <v/>
      </c>
      <c r="I399" s="30"/>
      <c r="J399" s="2"/>
      <c r="K399" s="31"/>
      <c r="L399" s="35"/>
      <c r="M399" s="2" t="str">
        <f>IF(ISBLANK(L399),"",VLOOKUP(L399,configuration!$M$7:$N$10,2,FALSE))</f>
        <v/>
      </c>
      <c r="N399" s="30"/>
      <c r="O399" s="2"/>
      <c r="P399" s="31"/>
      <c r="Q399" s="54"/>
      <c r="R399" s="55" t="str">
        <f>IF(ISBLANK(Q399),"",VLOOKUP(Q399,configuration!$P$7:$Q$10,2,FALSE))</f>
        <v/>
      </c>
      <c r="S399" s="56"/>
      <c r="T399" s="55"/>
      <c r="U399" s="78"/>
      <c r="V399" s="76" t="str">
        <f t="shared" si="24"/>
        <v/>
      </c>
      <c r="W399" s="48" t="str">
        <f t="shared" si="24"/>
        <v/>
      </c>
      <c r="X399" s="48" t="str">
        <f t="shared" si="24"/>
        <v/>
      </c>
      <c r="Y399" s="48" t="str">
        <f t="shared" si="24"/>
        <v/>
      </c>
      <c r="Z399" s="49" t="str">
        <f t="shared" si="26"/>
        <v/>
      </c>
      <c r="AA399" s="50" t="str">
        <f t="shared" si="25"/>
        <v/>
      </c>
      <c r="AB399" s="48" t="str">
        <f t="shared" si="25"/>
        <v/>
      </c>
      <c r="AC399" s="48" t="str">
        <f t="shared" si="25"/>
        <v/>
      </c>
      <c r="AD399" s="48" t="str">
        <f t="shared" si="25"/>
        <v/>
      </c>
      <c r="AE399" s="48" t="str">
        <f t="shared" si="27"/>
        <v/>
      </c>
    </row>
    <row r="400" spans="1:31" x14ac:dyDescent="0.25">
      <c r="A400" s="2"/>
      <c r="B400" s="2"/>
      <c r="C400" s="2"/>
      <c r="D400" s="2" t="str">
        <f>IF(ISBLANK(C400),"",VLOOKUP(C400,configuration!$G$7:$H$10,2,FALSE))</f>
        <v/>
      </c>
      <c r="E400" s="2"/>
      <c r="F400" s="2"/>
      <c r="G400" s="2"/>
      <c r="H400" s="2" t="str">
        <f>IF(ISBLANK(G400),"",VLOOKUP(G400,configuration!$J$7:$K$10,2,FALSE))</f>
        <v/>
      </c>
      <c r="I400" s="30"/>
      <c r="J400" s="2"/>
      <c r="K400" s="31"/>
      <c r="L400" s="35"/>
      <c r="M400" s="2" t="str">
        <f>IF(ISBLANK(L400),"",VLOOKUP(L400,configuration!$M$7:$N$10,2,FALSE))</f>
        <v/>
      </c>
      <c r="N400" s="30"/>
      <c r="O400" s="2"/>
      <c r="P400" s="31"/>
      <c r="Q400" s="54"/>
      <c r="R400" s="55" t="str">
        <f>IF(ISBLANK(Q400),"",VLOOKUP(Q400,configuration!$P$7:$Q$10,2,FALSE))</f>
        <v/>
      </c>
      <c r="S400" s="56"/>
      <c r="T400" s="55"/>
      <c r="U400" s="78"/>
      <c r="V400" s="76" t="str">
        <f t="shared" si="24"/>
        <v/>
      </c>
      <c r="W400" s="48" t="str">
        <f t="shared" si="24"/>
        <v/>
      </c>
      <c r="X400" s="48" t="str">
        <f t="shared" si="24"/>
        <v/>
      </c>
      <c r="Y400" s="48" t="str">
        <f t="shared" si="24"/>
        <v/>
      </c>
      <c r="Z400" s="49" t="str">
        <f t="shared" si="26"/>
        <v/>
      </c>
      <c r="AA400" s="50" t="str">
        <f t="shared" si="25"/>
        <v/>
      </c>
      <c r="AB400" s="48" t="str">
        <f t="shared" si="25"/>
        <v/>
      </c>
      <c r="AC400" s="48" t="str">
        <f t="shared" si="25"/>
        <v/>
      </c>
      <c r="AD400" s="48" t="str">
        <f t="shared" si="25"/>
        <v/>
      </c>
      <c r="AE400" s="48" t="str">
        <f t="shared" si="27"/>
        <v/>
      </c>
    </row>
    <row r="401" spans="1:31" x14ac:dyDescent="0.25">
      <c r="A401" s="2"/>
      <c r="B401" s="2"/>
      <c r="C401" s="2"/>
      <c r="D401" s="2" t="str">
        <f>IF(ISBLANK(C401),"",VLOOKUP(C401,configuration!$G$7:$H$10,2,FALSE))</f>
        <v/>
      </c>
      <c r="E401" s="2"/>
      <c r="F401" s="2"/>
      <c r="G401" s="2"/>
      <c r="H401" s="2" t="str">
        <f>IF(ISBLANK(G401),"",VLOOKUP(G401,configuration!$J$7:$K$10,2,FALSE))</f>
        <v/>
      </c>
      <c r="I401" s="30"/>
      <c r="J401" s="2"/>
      <c r="K401" s="31"/>
      <c r="L401" s="35"/>
      <c r="M401" s="2" t="str">
        <f>IF(ISBLANK(L401),"",VLOOKUP(L401,configuration!$M$7:$N$10,2,FALSE))</f>
        <v/>
      </c>
      <c r="N401" s="30"/>
      <c r="O401" s="2"/>
      <c r="P401" s="31"/>
      <c r="Q401" s="54"/>
      <c r="R401" s="55" t="str">
        <f>IF(ISBLANK(Q401),"",VLOOKUP(Q401,configuration!$P$7:$Q$10,2,FALSE))</f>
        <v/>
      </c>
      <c r="S401" s="56"/>
      <c r="T401" s="55"/>
      <c r="U401" s="78"/>
      <c r="V401" s="76" t="str">
        <f t="shared" si="24"/>
        <v/>
      </c>
      <c r="W401" s="48" t="str">
        <f t="shared" si="24"/>
        <v/>
      </c>
      <c r="X401" s="48" t="str">
        <f t="shared" si="24"/>
        <v/>
      </c>
      <c r="Y401" s="48" t="str">
        <f t="shared" si="24"/>
        <v/>
      </c>
      <c r="Z401" s="49" t="str">
        <f t="shared" si="26"/>
        <v/>
      </c>
      <c r="AA401" s="50" t="str">
        <f t="shared" si="25"/>
        <v/>
      </c>
      <c r="AB401" s="48" t="str">
        <f t="shared" si="25"/>
        <v/>
      </c>
      <c r="AC401" s="48" t="str">
        <f t="shared" si="25"/>
        <v/>
      </c>
      <c r="AD401" s="48" t="str">
        <f t="shared" si="25"/>
        <v/>
      </c>
      <c r="AE401" s="48" t="str">
        <f t="shared" si="27"/>
        <v/>
      </c>
    </row>
    <row r="402" spans="1:31" x14ac:dyDescent="0.25">
      <c r="A402" s="2"/>
      <c r="B402" s="2"/>
      <c r="C402" s="2"/>
      <c r="D402" s="2" t="str">
        <f>IF(ISBLANK(C402),"",VLOOKUP(C402,configuration!$G$7:$H$10,2,FALSE))</f>
        <v/>
      </c>
      <c r="E402" s="2"/>
      <c r="F402" s="2"/>
      <c r="G402" s="2"/>
      <c r="H402" s="2" t="str">
        <f>IF(ISBLANK(G402),"",VLOOKUP(G402,configuration!$J$7:$K$10,2,FALSE))</f>
        <v/>
      </c>
      <c r="I402" s="30"/>
      <c r="J402" s="2"/>
      <c r="K402" s="31"/>
      <c r="L402" s="35"/>
      <c r="M402" s="2" t="str">
        <f>IF(ISBLANK(L402),"",VLOOKUP(L402,configuration!$M$7:$N$10,2,FALSE))</f>
        <v/>
      </c>
      <c r="N402" s="30"/>
      <c r="O402" s="2"/>
      <c r="P402" s="31"/>
      <c r="Q402" s="54"/>
      <c r="R402" s="55" t="str">
        <f>IF(ISBLANK(Q402),"",VLOOKUP(Q402,configuration!$P$7:$Q$10,2,FALSE))</f>
        <v/>
      </c>
      <c r="S402" s="56"/>
      <c r="T402" s="55"/>
      <c r="U402" s="78"/>
      <c r="V402" s="76" t="str">
        <f t="shared" si="24"/>
        <v/>
      </c>
      <c r="W402" s="48" t="str">
        <f t="shared" si="24"/>
        <v/>
      </c>
      <c r="X402" s="48" t="str">
        <f t="shared" si="24"/>
        <v/>
      </c>
      <c r="Y402" s="48" t="str">
        <f t="shared" si="24"/>
        <v/>
      </c>
      <c r="Z402" s="49" t="str">
        <f t="shared" si="26"/>
        <v/>
      </c>
      <c r="AA402" s="50" t="str">
        <f t="shared" si="25"/>
        <v/>
      </c>
      <c r="AB402" s="48" t="str">
        <f t="shared" si="25"/>
        <v/>
      </c>
      <c r="AC402" s="48" t="str">
        <f t="shared" si="25"/>
        <v/>
      </c>
      <c r="AD402" s="48" t="str">
        <f t="shared" si="25"/>
        <v/>
      </c>
      <c r="AE402" s="48" t="str">
        <f t="shared" si="27"/>
        <v/>
      </c>
    </row>
    <row r="403" spans="1:31" x14ac:dyDescent="0.25">
      <c r="A403" s="2"/>
      <c r="B403" s="2"/>
      <c r="C403" s="2"/>
      <c r="D403" s="2" t="str">
        <f>IF(ISBLANK(C403),"",VLOOKUP(C403,configuration!$G$7:$H$10,2,FALSE))</f>
        <v/>
      </c>
      <c r="E403" s="2"/>
      <c r="F403" s="2"/>
      <c r="G403" s="2"/>
      <c r="H403" s="2" t="str">
        <f>IF(ISBLANK(G403),"",VLOOKUP(G403,configuration!$J$7:$K$10,2,FALSE))</f>
        <v/>
      </c>
      <c r="I403" s="30"/>
      <c r="J403" s="2"/>
      <c r="K403" s="31"/>
      <c r="L403" s="35"/>
      <c r="M403" s="2" t="str">
        <f>IF(ISBLANK(L403),"",VLOOKUP(L403,configuration!$M$7:$N$10,2,FALSE))</f>
        <v/>
      </c>
      <c r="N403" s="30"/>
      <c r="O403" s="2"/>
      <c r="P403" s="31"/>
      <c r="Q403" s="54"/>
      <c r="R403" s="55" t="str">
        <f>IF(ISBLANK(Q403),"",VLOOKUP(Q403,configuration!$P$7:$Q$10,2,FALSE))</f>
        <v/>
      </c>
      <c r="S403" s="56"/>
      <c r="T403" s="55"/>
      <c r="U403" s="78"/>
      <c r="V403" s="76" t="str">
        <f t="shared" si="24"/>
        <v/>
      </c>
      <c r="W403" s="48" t="str">
        <f t="shared" si="24"/>
        <v/>
      </c>
      <c r="X403" s="48" t="str">
        <f t="shared" si="24"/>
        <v/>
      </c>
      <c r="Y403" s="48" t="str">
        <f t="shared" ref="V403:Y466" si="28">IF($G403=Y$4,1,"")</f>
        <v/>
      </c>
      <c r="Z403" s="49" t="str">
        <f t="shared" si="26"/>
        <v/>
      </c>
      <c r="AA403" s="50" t="str">
        <f t="shared" si="25"/>
        <v/>
      </c>
      <c r="AB403" s="48" t="str">
        <f t="shared" si="25"/>
        <v/>
      </c>
      <c r="AC403" s="48" t="str">
        <f t="shared" si="25"/>
        <v/>
      </c>
      <c r="AD403" s="48" t="str">
        <f t="shared" ref="AA403:AD466" si="29">IF($L403=AD$4,1,"")</f>
        <v/>
      </c>
      <c r="AE403" s="48" t="str">
        <f t="shared" si="27"/>
        <v/>
      </c>
    </row>
    <row r="404" spans="1:31" x14ac:dyDescent="0.25">
      <c r="A404" s="2"/>
      <c r="B404" s="2"/>
      <c r="C404" s="2"/>
      <c r="D404" s="2" t="str">
        <f>IF(ISBLANK(C404),"",VLOOKUP(C404,configuration!$G$7:$H$10,2,FALSE))</f>
        <v/>
      </c>
      <c r="E404" s="2"/>
      <c r="F404" s="2"/>
      <c r="G404" s="2"/>
      <c r="H404" s="2" t="str">
        <f>IF(ISBLANK(G404),"",VLOOKUP(G404,configuration!$J$7:$K$10,2,FALSE))</f>
        <v/>
      </c>
      <c r="I404" s="30"/>
      <c r="J404" s="2"/>
      <c r="K404" s="31"/>
      <c r="L404" s="35"/>
      <c r="M404" s="2" t="str">
        <f>IF(ISBLANK(L404),"",VLOOKUP(L404,configuration!$M$7:$N$10,2,FALSE))</f>
        <v/>
      </c>
      <c r="N404" s="30"/>
      <c r="O404" s="2"/>
      <c r="P404" s="31"/>
      <c r="Q404" s="54"/>
      <c r="R404" s="55" t="str">
        <f>IF(ISBLANK(Q404),"",VLOOKUP(Q404,configuration!$P$7:$Q$10,2,FALSE))</f>
        <v/>
      </c>
      <c r="S404" s="56"/>
      <c r="T404" s="55"/>
      <c r="U404" s="78"/>
      <c r="V404" s="76" t="str">
        <f t="shared" si="28"/>
        <v/>
      </c>
      <c r="W404" s="48" t="str">
        <f t="shared" si="28"/>
        <v/>
      </c>
      <c r="X404" s="48" t="str">
        <f t="shared" si="28"/>
        <v/>
      </c>
      <c r="Y404" s="48" t="str">
        <f t="shared" si="28"/>
        <v/>
      </c>
      <c r="Z404" s="49" t="str">
        <f t="shared" si="26"/>
        <v/>
      </c>
      <c r="AA404" s="50" t="str">
        <f t="shared" si="29"/>
        <v/>
      </c>
      <c r="AB404" s="48" t="str">
        <f t="shared" si="29"/>
        <v/>
      </c>
      <c r="AC404" s="48" t="str">
        <f t="shared" si="29"/>
        <v/>
      </c>
      <c r="AD404" s="48" t="str">
        <f t="shared" si="29"/>
        <v/>
      </c>
      <c r="AE404" s="48" t="str">
        <f t="shared" si="27"/>
        <v/>
      </c>
    </row>
    <row r="405" spans="1:31" x14ac:dyDescent="0.25">
      <c r="A405" s="2"/>
      <c r="B405" s="2"/>
      <c r="C405" s="2"/>
      <c r="D405" s="2" t="str">
        <f>IF(ISBLANK(C405),"",VLOOKUP(C405,configuration!$G$7:$H$10,2,FALSE))</f>
        <v/>
      </c>
      <c r="E405" s="2"/>
      <c r="F405" s="2"/>
      <c r="G405" s="2"/>
      <c r="H405" s="2" t="str">
        <f>IF(ISBLANK(G405),"",VLOOKUP(G405,configuration!$J$7:$K$10,2,FALSE))</f>
        <v/>
      </c>
      <c r="I405" s="30"/>
      <c r="J405" s="2"/>
      <c r="K405" s="31"/>
      <c r="L405" s="35"/>
      <c r="M405" s="2" t="str">
        <f>IF(ISBLANK(L405),"",VLOOKUP(L405,configuration!$M$7:$N$10,2,FALSE))</f>
        <v/>
      </c>
      <c r="N405" s="30"/>
      <c r="O405" s="2"/>
      <c r="P405" s="31"/>
      <c r="Q405" s="54"/>
      <c r="R405" s="55" t="str">
        <f>IF(ISBLANK(Q405),"",VLOOKUP(Q405,configuration!$P$7:$Q$10,2,FALSE))</f>
        <v/>
      </c>
      <c r="S405" s="56"/>
      <c r="T405" s="55"/>
      <c r="U405" s="78"/>
      <c r="V405" s="76" t="str">
        <f t="shared" si="28"/>
        <v/>
      </c>
      <c r="W405" s="48" t="str">
        <f t="shared" si="28"/>
        <v/>
      </c>
      <c r="X405" s="48" t="str">
        <f t="shared" si="28"/>
        <v/>
      </c>
      <c r="Y405" s="48" t="str">
        <f t="shared" si="28"/>
        <v/>
      </c>
      <c r="Z405" s="49" t="str">
        <f t="shared" si="26"/>
        <v/>
      </c>
      <c r="AA405" s="50" t="str">
        <f t="shared" si="29"/>
        <v/>
      </c>
      <c r="AB405" s="48" t="str">
        <f t="shared" si="29"/>
        <v/>
      </c>
      <c r="AC405" s="48" t="str">
        <f t="shared" si="29"/>
        <v/>
      </c>
      <c r="AD405" s="48" t="str">
        <f t="shared" si="29"/>
        <v/>
      </c>
      <c r="AE405" s="48" t="str">
        <f t="shared" si="27"/>
        <v/>
      </c>
    </row>
    <row r="406" spans="1:31" x14ac:dyDescent="0.25">
      <c r="A406" s="2"/>
      <c r="B406" s="2"/>
      <c r="C406" s="2"/>
      <c r="D406" s="2" t="str">
        <f>IF(ISBLANK(C406),"",VLOOKUP(C406,configuration!$G$7:$H$10,2,FALSE))</f>
        <v/>
      </c>
      <c r="E406" s="2"/>
      <c r="F406" s="2"/>
      <c r="G406" s="2"/>
      <c r="H406" s="2" t="str">
        <f>IF(ISBLANK(G406),"",VLOOKUP(G406,configuration!$J$7:$K$10,2,FALSE))</f>
        <v/>
      </c>
      <c r="I406" s="30"/>
      <c r="J406" s="2"/>
      <c r="K406" s="31"/>
      <c r="L406" s="35"/>
      <c r="M406" s="2" t="str">
        <f>IF(ISBLANK(L406),"",VLOOKUP(L406,configuration!$M$7:$N$10,2,FALSE))</f>
        <v/>
      </c>
      <c r="N406" s="30"/>
      <c r="O406" s="2"/>
      <c r="P406" s="31"/>
      <c r="Q406" s="54"/>
      <c r="R406" s="55" t="str">
        <f>IF(ISBLANK(Q406),"",VLOOKUP(Q406,configuration!$P$7:$Q$10,2,FALSE))</f>
        <v/>
      </c>
      <c r="S406" s="56"/>
      <c r="T406" s="55"/>
      <c r="U406" s="78"/>
      <c r="V406" s="76" t="str">
        <f t="shared" si="28"/>
        <v/>
      </c>
      <c r="W406" s="48" t="str">
        <f t="shared" si="28"/>
        <v/>
      </c>
      <c r="X406" s="48" t="str">
        <f t="shared" si="28"/>
        <v/>
      </c>
      <c r="Y406" s="48" t="str">
        <f t="shared" si="28"/>
        <v/>
      </c>
      <c r="Z406" s="49" t="str">
        <f t="shared" si="26"/>
        <v/>
      </c>
      <c r="AA406" s="50" t="str">
        <f t="shared" si="29"/>
        <v/>
      </c>
      <c r="AB406" s="48" t="str">
        <f t="shared" si="29"/>
        <v/>
      </c>
      <c r="AC406" s="48" t="str">
        <f t="shared" si="29"/>
        <v/>
      </c>
      <c r="AD406" s="48" t="str">
        <f t="shared" si="29"/>
        <v/>
      </c>
      <c r="AE406" s="48" t="str">
        <f t="shared" si="27"/>
        <v/>
      </c>
    </row>
    <row r="407" spans="1:31" x14ac:dyDescent="0.25">
      <c r="A407" s="2"/>
      <c r="B407" s="2"/>
      <c r="C407" s="2"/>
      <c r="D407" s="2" t="str">
        <f>IF(ISBLANK(C407),"",VLOOKUP(C407,configuration!$G$7:$H$10,2,FALSE))</f>
        <v/>
      </c>
      <c r="E407" s="2"/>
      <c r="F407" s="2"/>
      <c r="G407" s="2"/>
      <c r="H407" s="2" t="str">
        <f>IF(ISBLANK(G407),"",VLOOKUP(G407,configuration!$J$7:$K$10,2,FALSE))</f>
        <v/>
      </c>
      <c r="I407" s="30"/>
      <c r="J407" s="2"/>
      <c r="K407" s="31"/>
      <c r="L407" s="35"/>
      <c r="M407" s="2" t="str">
        <f>IF(ISBLANK(L407),"",VLOOKUP(L407,configuration!$M$7:$N$10,2,FALSE))</f>
        <v/>
      </c>
      <c r="N407" s="30"/>
      <c r="O407" s="2"/>
      <c r="P407" s="31"/>
      <c r="Q407" s="54"/>
      <c r="R407" s="55" t="str">
        <f>IF(ISBLANK(Q407),"",VLOOKUP(Q407,configuration!$P$7:$Q$10,2,FALSE))</f>
        <v/>
      </c>
      <c r="S407" s="56"/>
      <c r="T407" s="55"/>
      <c r="U407" s="78"/>
      <c r="V407" s="76" t="str">
        <f t="shared" si="28"/>
        <v/>
      </c>
      <c r="W407" s="48" t="str">
        <f t="shared" si="28"/>
        <v/>
      </c>
      <c r="X407" s="48" t="str">
        <f t="shared" si="28"/>
        <v/>
      </c>
      <c r="Y407" s="48" t="str">
        <f t="shared" si="28"/>
        <v/>
      </c>
      <c r="Z407" s="49" t="str">
        <f t="shared" si="26"/>
        <v/>
      </c>
      <c r="AA407" s="50" t="str">
        <f t="shared" si="29"/>
        <v/>
      </c>
      <c r="AB407" s="48" t="str">
        <f t="shared" si="29"/>
        <v/>
      </c>
      <c r="AC407" s="48" t="str">
        <f t="shared" si="29"/>
        <v/>
      </c>
      <c r="AD407" s="48" t="str">
        <f t="shared" si="29"/>
        <v/>
      </c>
      <c r="AE407" s="48" t="str">
        <f t="shared" si="27"/>
        <v/>
      </c>
    </row>
    <row r="408" spans="1:31" x14ac:dyDescent="0.25">
      <c r="A408" s="2"/>
      <c r="B408" s="2"/>
      <c r="C408" s="2"/>
      <c r="D408" s="2" t="str">
        <f>IF(ISBLANK(C408),"",VLOOKUP(C408,configuration!$G$7:$H$10,2,FALSE))</f>
        <v/>
      </c>
      <c r="E408" s="2"/>
      <c r="F408" s="2"/>
      <c r="G408" s="2"/>
      <c r="H408" s="2" t="str">
        <f>IF(ISBLANK(G408),"",VLOOKUP(G408,configuration!$J$7:$K$10,2,FALSE))</f>
        <v/>
      </c>
      <c r="I408" s="30"/>
      <c r="J408" s="2"/>
      <c r="K408" s="31"/>
      <c r="L408" s="35"/>
      <c r="M408" s="2" t="str">
        <f>IF(ISBLANK(L408),"",VLOOKUP(L408,configuration!$M$7:$N$10,2,FALSE))</f>
        <v/>
      </c>
      <c r="N408" s="30"/>
      <c r="O408" s="2"/>
      <c r="P408" s="31"/>
      <c r="Q408" s="54"/>
      <c r="R408" s="55" t="str">
        <f>IF(ISBLANK(Q408),"",VLOOKUP(Q408,configuration!$P$7:$Q$10,2,FALSE))</f>
        <v/>
      </c>
      <c r="S408" s="56"/>
      <c r="T408" s="55"/>
      <c r="U408" s="78"/>
      <c r="V408" s="76" t="str">
        <f t="shared" si="28"/>
        <v/>
      </c>
      <c r="W408" s="48" t="str">
        <f t="shared" si="28"/>
        <v/>
      </c>
      <c r="X408" s="48" t="str">
        <f t="shared" si="28"/>
        <v/>
      </c>
      <c r="Y408" s="48" t="str">
        <f t="shared" si="28"/>
        <v/>
      </c>
      <c r="Z408" s="49" t="str">
        <f t="shared" si="26"/>
        <v/>
      </c>
      <c r="AA408" s="50" t="str">
        <f t="shared" si="29"/>
        <v/>
      </c>
      <c r="AB408" s="48" t="str">
        <f t="shared" si="29"/>
        <v/>
      </c>
      <c r="AC408" s="48" t="str">
        <f t="shared" si="29"/>
        <v/>
      </c>
      <c r="AD408" s="48" t="str">
        <f t="shared" si="29"/>
        <v/>
      </c>
      <c r="AE408" s="48" t="str">
        <f t="shared" si="27"/>
        <v/>
      </c>
    </row>
    <row r="409" spans="1:31" x14ac:dyDescent="0.25">
      <c r="A409" s="2"/>
      <c r="B409" s="2"/>
      <c r="C409" s="2"/>
      <c r="D409" s="2" t="str">
        <f>IF(ISBLANK(C409),"",VLOOKUP(C409,configuration!$G$7:$H$10,2,FALSE))</f>
        <v/>
      </c>
      <c r="E409" s="2"/>
      <c r="F409" s="2"/>
      <c r="G409" s="2"/>
      <c r="H409" s="2" t="str">
        <f>IF(ISBLANK(G409),"",VLOOKUP(G409,configuration!$J$7:$K$10,2,FALSE))</f>
        <v/>
      </c>
      <c r="I409" s="30"/>
      <c r="J409" s="2"/>
      <c r="K409" s="31"/>
      <c r="L409" s="35"/>
      <c r="M409" s="2" t="str">
        <f>IF(ISBLANK(L409),"",VLOOKUP(L409,configuration!$M$7:$N$10,2,FALSE))</f>
        <v/>
      </c>
      <c r="N409" s="30"/>
      <c r="O409" s="2"/>
      <c r="P409" s="31"/>
      <c r="Q409" s="54"/>
      <c r="R409" s="55" t="str">
        <f>IF(ISBLANK(Q409),"",VLOOKUP(Q409,configuration!$P$7:$Q$10,2,FALSE))</f>
        <v/>
      </c>
      <c r="S409" s="56"/>
      <c r="T409" s="55"/>
      <c r="U409" s="78"/>
      <c r="V409" s="76" t="str">
        <f t="shared" si="28"/>
        <v/>
      </c>
      <c r="W409" s="48" t="str">
        <f t="shared" si="28"/>
        <v/>
      </c>
      <c r="X409" s="48" t="str">
        <f t="shared" si="28"/>
        <v/>
      </c>
      <c r="Y409" s="48" t="str">
        <f t="shared" si="28"/>
        <v/>
      </c>
      <c r="Z409" s="49" t="str">
        <f t="shared" si="26"/>
        <v/>
      </c>
      <c r="AA409" s="50" t="str">
        <f t="shared" si="29"/>
        <v/>
      </c>
      <c r="AB409" s="48" t="str">
        <f t="shared" si="29"/>
        <v/>
      </c>
      <c r="AC409" s="48" t="str">
        <f t="shared" si="29"/>
        <v/>
      </c>
      <c r="AD409" s="48" t="str">
        <f t="shared" si="29"/>
        <v/>
      </c>
      <c r="AE409" s="48" t="str">
        <f t="shared" si="27"/>
        <v/>
      </c>
    </row>
    <row r="410" spans="1:31" x14ac:dyDescent="0.25">
      <c r="A410" s="2"/>
      <c r="B410" s="2"/>
      <c r="C410" s="2"/>
      <c r="D410" s="2" t="str">
        <f>IF(ISBLANK(C410),"",VLOOKUP(C410,configuration!$G$7:$H$10,2,FALSE))</f>
        <v/>
      </c>
      <c r="E410" s="2"/>
      <c r="F410" s="2"/>
      <c r="G410" s="2"/>
      <c r="H410" s="2" t="str">
        <f>IF(ISBLANK(G410),"",VLOOKUP(G410,configuration!$J$7:$K$10,2,FALSE))</f>
        <v/>
      </c>
      <c r="I410" s="30"/>
      <c r="J410" s="2"/>
      <c r="K410" s="31"/>
      <c r="L410" s="35"/>
      <c r="M410" s="2" t="str">
        <f>IF(ISBLANK(L410),"",VLOOKUP(L410,configuration!$M$7:$N$10,2,FALSE))</f>
        <v/>
      </c>
      <c r="N410" s="30"/>
      <c r="O410" s="2"/>
      <c r="P410" s="31"/>
      <c r="Q410" s="54"/>
      <c r="R410" s="55" t="str">
        <f>IF(ISBLANK(Q410),"",VLOOKUP(Q410,configuration!$P$7:$Q$10,2,FALSE))</f>
        <v/>
      </c>
      <c r="S410" s="56"/>
      <c r="T410" s="55"/>
      <c r="U410" s="78"/>
      <c r="V410" s="76" t="str">
        <f t="shared" si="28"/>
        <v/>
      </c>
      <c r="W410" s="48" t="str">
        <f t="shared" si="28"/>
        <v/>
      </c>
      <c r="X410" s="48" t="str">
        <f t="shared" si="28"/>
        <v/>
      </c>
      <c r="Y410" s="48" t="str">
        <f t="shared" si="28"/>
        <v/>
      </c>
      <c r="Z410" s="49" t="str">
        <f t="shared" si="26"/>
        <v/>
      </c>
      <c r="AA410" s="50" t="str">
        <f t="shared" si="29"/>
        <v/>
      </c>
      <c r="AB410" s="48" t="str">
        <f t="shared" si="29"/>
        <v/>
      </c>
      <c r="AC410" s="48" t="str">
        <f t="shared" si="29"/>
        <v/>
      </c>
      <c r="AD410" s="48" t="str">
        <f t="shared" si="29"/>
        <v/>
      </c>
      <c r="AE410" s="48" t="str">
        <f t="shared" si="27"/>
        <v/>
      </c>
    </row>
    <row r="411" spans="1:31" x14ac:dyDescent="0.25">
      <c r="A411" s="2"/>
      <c r="B411" s="2"/>
      <c r="C411" s="2"/>
      <c r="D411" s="2" t="str">
        <f>IF(ISBLANK(C411),"",VLOOKUP(C411,configuration!$G$7:$H$10,2,FALSE))</f>
        <v/>
      </c>
      <c r="E411" s="2"/>
      <c r="F411" s="2"/>
      <c r="G411" s="2"/>
      <c r="H411" s="2" t="str">
        <f>IF(ISBLANK(G411),"",VLOOKUP(G411,configuration!$J$7:$K$10,2,FALSE))</f>
        <v/>
      </c>
      <c r="I411" s="30"/>
      <c r="J411" s="2"/>
      <c r="K411" s="31"/>
      <c r="L411" s="35"/>
      <c r="M411" s="2" t="str">
        <f>IF(ISBLANK(L411),"",VLOOKUP(L411,configuration!$M$7:$N$10,2,FALSE))</f>
        <v/>
      </c>
      <c r="N411" s="30"/>
      <c r="O411" s="2"/>
      <c r="P411" s="31"/>
      <c r="Q411" s="54"/>
      <c r="R411" s="55" t="str">
        <f>IF(ISBLANK(Q411),"",VLOOKUP(Q411,configuration!$P$7:$Q$10,2,FALSE))</f>
        <v/>
      </c>
      <c r="S411" s="56"/>
      <c r="T411" s="55"/>
      <c r="U411" s="78"/>
      <c r="V411" s="76" t="str">
        <f t="shared" si="28"/>
        <v/>
      </c>
      <c r="W411" s="48" t="str">
        <f t="shared" si="28"/>
        <v/>
      </c>
      <c r="X411" s="48" t="str">
        <f t="shared" si="28"/>
        <v/>
      </c>
      <c r="Y411" s="48" t="str">
        <f t="shared" si="28"/>
        <v/>
      </c>
      <c r="Z411" s="49" t="str">
        <f t="shared" si="26"/>
        <v/>
      </c>
      <c r="AA411" s="50" t="str">
        <f t="shared" si="29"/>
        <v/>
      </c>
      <c r="AB411" s="48" t="str">
        <f t="shared" si="29"/>
        <v/>
      </c>
      <c r="AC411" s="48" t="str">
        <f t="shared" si="29"/>
        <v/>
      </c>
      <c r="AD411" s="48" t="str">
        <f t="shared" si="29"/>
        <v/>
      </c>
      <c r="AE411" s="48" t="str">
        <f t="shared" si="27"/>
        <v/>
      </c>
    </row>
    <row r="412" spans="1:31" x14ac:dyDescent="0.25">
      <c r="A412" s="2"/>
      <c r="B412" s="2"/>
      <c r="C412" s="2"/>
      <c r="D412" s="2" t="str">
        <f>IF(ISBLANK(C412),"",VLOOKUP(C412,configuration!$G$7:$H$10,2,FALSE))</f>
        <v/>
      </c>
      <c r="E412" s="2"/>
      <c r="F412" s="2"/>
      <c r="G412" s="2"/>
      <c r="H412" s="2" t="str">
        <f>IF(ISBLANK(G412),"",VLOOKUP(G412,configuration!$J$7:$K$10,2,FALSE))</f>
        <v/>
      </c>
      <c r="I412" s="30"/>
      <c r="J412" s="2"/>
      <c r="K412" s="31"/>
      <c r="L412" s="35"/>
      <c r="M412" s="2" t="str">
        <f>IF(ISBLANK(L412),"",VLOOKUP(L412,configuration!$M$7:$N$10,2,FALSE))</f>
        <v/>
      </c>
      <c r="N412" s="30"/>
      <c r="O412" s="2"/>
      <c r="P412" s="31"/>
      <c r="Q412" s="54"/>
      <c r="R412" s="55" t="str">
        <f>IF(ISBLANK(Q412),"",VLOOKUP(Q412,configuration!$P$7:$Q$10,2,FALSE))</f>
        <v/>
      </c>
      <c r="S412" s="56"/>
      <c r="T412" s="55"/>
      <c r="U412" s="78"/>
      <c r="V412" s="76" t="str">
        <f t="shared" si="28"/>
        <v/>
      </c>
      <c r="W412" s="48" t="str">
        <f t="shared" si="28"/>
        <v/>
      </c>
      <c r="X412" s="48" t="str">
        <f t="shared" si="28"/>
        <v/>
      </c>
      <c r="Y412" s="48" t="str">
        <f t="shared" si="28"/>
        <v/>
      </c>
      <c r="Z412" s="49" t="str">
        <f t="shared" si="26"/>
        <v/>
      </c>
      <c r="AA412" s="50" t="str">
        <f t="shared" si="29"/>
        <v/>
      </c>
      <c r="AB412" s="48" t="str">
        <f t="shared" si="29"/>
        <v/>
      </c>
      <c r="AC412" s="48" t="str">
        <f t="shared" si="29"/>
        <v/>
      </c>
      <c r="AD412" s="48" t="str">
        <f t="shared" si="29"/>
        <v/>
      </c>
      <c r="AE412" s="48" t="str">
        <f t="shared" si="27"/>
        <v/>
      </c>
    </row>
    <row r="413" spans="1:31" x14ac:dyDescent="0.25">
      <c r="A413" s="2"/>
      <c r="B413" s="2"/>
      <c r="C413" s="2"/>
      <c r="D413" s="2" t="str">
        <f>IF(ISBLANK(C413),"",VLOOKUP(C413,configuration!$G$7:$H$10,2,FALSE))</f>
        <v/>
      </c>
      <c r="E413" s="2"/>
      <c r="F413" s="2"/>
      <c r="G413" s="2"/>
      <c r="H413" s="2" t="str">
        <f>IF(ISBLANK(G413),"",VLOOKUP(G413,configuration!$J$7:$K$10,2,FALSE))</f>
        <v/>
      </c>
      <c r="I413" s="30"/>
      <c r="J413" s="2"/>
      <c r="K413" s="31"/>
      <c r="L413" s="35"/>
      <c r="M413" s="2" t="str">
        <f>IF(ISBLANK(L413),"",VLOOKUP(L413,configuration!$M$7:$N$10,2,FALSE))</f>
        <v/>
      </c>
      <c r="N413" s="30"/>
      <c r="O413" s="2"/>
      <c r="P413" s="31"/>
      <c r="Q413" s="54"/>
      <c r="R413" s="55" t="str">
        <f>IF(ISBLANK(Q413),"",VLOOKUP(Q413,configuration!$P$7:$Q$10,2,FALSE))</f>
        <v/>
      </c>
      <c r="S413" s="56"/>
      <c r="T413" s="55"/>
      <c r="U413" s="78"/>
      <c r="V413" s="76" t="str">
        <f t="shared" si="28"/>
        <v/>
      </c>
      <c r="W413" s="48" t="str">
        <f t="shared" si="28"/>
        <v/>
      </c>
      <c r="X413" s="48" t="str">
        <f t="shared" si="28"/>
        <v/>
      </c>
      <c r="Y413" s="48" t="str">
        <f t="shared" si="28"/>
        <v/>
      </c>
      <c r="Z413" s="49" t="str">
        <f t="shared" si="26"/>
        <v/>
      </c>
      <c r="AA413" s="50" t="str">
        <f t="shared" si="29"/>
        <v/>
      </c>
      <c r="AB413" s="48" t="str">
        <f t="shared" si="29"/>
        <v/>
      </c>
      <c r="AC413" s="48" t="str">
        <f t="shared" si="29"/>
        <v/>
      </c>
      <c r="AD413" s="48" t="str">
        <f t="shared" si="29"/>
        <v/>
      </c>
      <c r="AE413" s="48" t="str">
        <f t="shared" si="27"/>
        <v/>
      </c>
    </row>
    <row r="414" spans="1:31" x14ac:dyDescent="0.25">
      <c r="A414" s="2"/>
      <c r="B414" s="2"/>
      <c r="C414" s="2"/>
      <c r="D414" s="2" t="str">
        <f>IF(ISBLANK(C414),"",VLOOKUP(C414,configuration!$G$7:$H$10,2,FALSE))</f>
        <v/>
      </c>
      <c r="E414" s="2"/>
      <c r="F414" s="2"/>
      <c r="G414" s="2"/>
      <c r="H414" s="2" t="str">
        <f>IF(ISBLANK(G414),"",VLOOKUP(G414,configuration!$J$7:$K$10,2,FALSE))</f>
        <v/>
      </c>
      <c r="I414" s="30"/>
      <c r="J414" s="2"/>
      <c r="K414" s="31"/>
      <c r="L414" s="35"/>
      <c r="M414" s="2" t="str">
        <f>IF(ISBLANK(L414),"",VLOOKUP(L414,configuration!$M$7:$N$10,2,FALSE))</f>
        <v/>
      </c>
      <c r="N414" s="30"/>
      <c r="O414" s="2"/>
      <c r="P414" s="31"/>
      <c r="Q414" s="54"/>
      <c r="R414" s="55" t="str">
        <f>IF(ISBLANK(Q414),"",VLOOKUP(Q414,configuration!$P$7:$Q$10,2,FALSE))</f>
        <v/>
      </c>
      <c r="S414" s="56"/>
      <c r="T414" s="55"/>
      <c r="U414" s="78"/>
      <c r="V414" s="76" t="str">
        <f t="shared" si="28"/>
        <v/>
      </c>
      <c r="W414" s="48" t="str">
        <f t="shared" si="28"/>
        <v/>
      </c>
      <c r="X414" s="48" t="str">
        <f t="shared" si="28"/>
        <v/>
      </c>
      <c r="Y414" s="48" t="str">
        <f t="shared" si="28"/>
        <v/>
      </c>
      <c r="Z414" s="49" t="str">
        <f t="shared" si="26"/>
        <v/>
      </c>
      <c r="AA414" s="50" t="str">
        <f t="shared" si="29"/>
        <v/>
      </c>
      <c r="AB414" s="48" t="str">
        <f t="shared" si="29"/>
        <v/>
      </c>
      <c r="AC414" s="48" t="str">
        <f t="shared" si="29"/>
        <v/>
      </c>
      <c r="AD414" s="48" t="str">
        <f t="shared" si="29"/>
        <v/>
      </c>
      <c r="AE414" s="48" t="str">
        <f t="shared" si="27"/>
        <v/>
      </c>
    </row>
    <row r="415" spans="1:31" x14ac:dyDescent="0.25">
      <c r="A415" s="2"/>
      <c r="B415" s="2"/>
      <c r="C415" s="2"/>
      <c r="D415" s="2" t="str">
        <f>IF(ISBLANK(C415),"",VLOOKUP(C415,configuration!$G$7:$H$10,2,FALSE))</f>
        <v/>
      </c>
      <c r="E415" s="2"/>
      <c r="F415" s="2"/>
      <c r="G415" s="2"/>
      <c r="H415" s="2" t="str">
        <f>IF(ISBLANK(G415),"",VLOOKUP(G415,configuration!$J$7:$K$10,2,FALSE))</f>
        <v/>
      </c>
      <c r="I415" s="30"/>
      <c r="J415" s="2"/>
      <c r="K415" s="31"/>
      <c r="L415" s="35"/>
      <c r="M415" s="2" t="str">
        <f>IF(ISBLANK(L415),"",VLOOKUP(L415,configuration!$M$7:$N$10,2,FALSE))</f>
        <v/>
      </c>
      <c r="N415" s="30"/>
      <c r="O415" s="2"/>
      <c r="P415" s="31"/>
      <c r="Q415" s="54"/>
      <c r="R415" s="55" t="str">
        <f>IF(ISBLANK(Q415),"",VLOOKUP(Q415,configuration!$P$7:$Q$10,2,FALSE))</f>
        <v/>
      </c>
      <c r="S415" s="56"/>
      <c r="T415" s="55"/>
      <c r="U415" s="78"/>
      <c r="V415" s="76" t="str">
        <f t="shared" si="28"/>
        <v/>
      </c>
      <c r="W415" s="48" t="str">
        <f t="shared" si="28"/>
        <v/>
      </c>
      <c r="X415" s="48" t="str">
        <f t="shared" si="28"/>
        <v/>
      </c>
      <c r="Y415" s="48" t="str">
        <f t="shared" si="28"/>
        <v/>
      </c>
      <c r="Z415" s="49" t="str">
        <f t="shared" si="26"/>
        <v/>
      </c>
      <c r="AA415" s="50" t="str">
        <f t="shared" si="29"/>
        <v/>
      </c>
      <c r="AB415" s="48" t="str">
        <f t="shared" si="29"/>
        <v/>
      </c>
      <c r="AC415" s="48" t="str">
        <f t="shared" si="29"/>
        <v/>
      </c>
      <c r="AD415" s="48" t="str">
        <f t="shared" si="29"/>
        <v/>
      </c>
      <c r="AE415" s="48" t="str">
        <f t="shared" si="27"/>
        <v/>
      </c>
    </row>
    <row r="416" spans="1:31" x14ac:dyDescent="0.25">
      <c r="A416" s="2"/>
      <c r="B416" s="2"/>
      <c r="C416" s="2"/>
      <c r="D416" s="2" t="str">
        <f>IF(ISBLANK(C416),"",VLOOKUP(C416,configuration!$G$7:$H$10,2,FALSE))</f>
        <v/>
      </c>
      <c r="E416" s="2"/>
      <c r="F416" s="2"/>
      <c r="G416" s="2"/>
      <c r="H416" s="2" t="str">
        <f>IF(ISBLANK(G416),"",VLOOKUP(G416,configuration!$J$7:$K$10,2,FALSE))</f>
        <v/>
      </c>
      <c r="I416" s="30"/>
      <c r="J416" s="2"/>
      <c r="K416" s="31"/>
      <c r="L416" s="35"/>
      <c r="M416" s="2" t="str">
        <f>IF(ISBLANK(L416),"",VLOOKUP(L416,configuration!$M$7:$N$10,2,FALSE))</f>
        <v/>
      </c>
      <c r="N416" s="30"/>
      <c r="O416" s="2"/>
      <c r="P416" s="31"/>
      <c r="Q416" s="54"/>
      <c r="R416" s="55" t="str">
        <f>IF(ISBLANK(Q416),"",VLOOKUP(Q416,configuration!$P$7:$Q$10,2,FALSE))</f>
        <v/>
      </c>
      <c r="S416" s="56"/>
      <c r="T416" s="55"/>
      <c r="U416" s="78"/>
      <c r="V416" s="76" t="str">
        <f t="shared" si="28"/>
        <v/>
      </c>
      <c r="W416" s="48" t="str">
        <f t="shared" si="28"/>
        <v/>
      </c>
      <c r="X416" s="48" t="str">
        <f t="shared" si="28"/>
        <v/>
      </c>
      <c r="Y416" s="48" t="str">
        <f t="shared" si="28"/>
        <v/>
      </c>
      <c r="Z416" s="49" t="str">
        <f t="shared" si="26"/>
        <v/>
      </c>
      <c r="AA416" s="50" t="str">
        <f t="shared" si="29"/>
        <v/>
      </c>
      <c r="AB416" s="48" t="str">
        <f t="shared" si="29"/>
        <v/>
      </c>
      <c r="AC416" s="48" t="str">
        <f t="shared" si="29"/>
        <v/>
      </c>
      <c r="AD416" s="48" t="str">
        <f t="shared" si="29"/>
        <v/>
      </c>
      <c r="AE416" s="48" t="str">
        <f t="shared" si="27"/>
        <v/>
      </c>
    </row>
    <row r="417" spans="1:31" x14ac:dyDescent="0.25">
      <c r="A417" s="2"/>
      <c r="B417" s="2"/>
      <c r="C417" s="2"/>
      <c r="D417" s="2" t="str">
        <f>IF(ISBLANK(C417),"",VLOOKUP(C417,configuration!$G$7:$H$10,2,FALSE))</f>
        <v/>
      </c>
      <c r="E417" s="2"/>
      <c r="F417" s="2"/>
      <c r="G417" s="2"/>
      <c r="H417" s="2" t="str">
        <f>IF(ISBLANK(G417),"",VLOOKUP(G417,configuration!$J$7:$K$10,2,FALSE))</f>
        <v/>
      </c>
      <c r="I417" s="30"/>
      <c r="J417" s="2"/>
      <c r="K417" s="31"/>
      <c r="L417" s="35"/>
      <c r="M417" s="2" t="str">
        <f>IF(ISBLANK(L417),"",VLOOKUP(L417,configuration!$M$7:$N$10,2,FALSE))</f>
        <v/>
      </c>
      <c r="N417" s="30"/>
      <c r="O417" s="2"/>
      <c r="P417" s="31"/>
      <c r="Q417" s="54"/>
      <c r="R417" s="55" t="str">
        <f>IF(ISBLANK(Q417),"",VLOOKUP(Q417,configuration!$P$7:$Q$10,2,FALSE))</f>
        <v/>
      </c>
      <c r="S417" s="56"/>
      <c r="T417" s="55"/>
      <c r="U417" s="78"/>
      <c r="V417" s="76" t="str">
        <f t="shared" si="28"/>
        <v/>
      </c>
      <c r="W417" s="48" t="str">
        <f t="shared" si="28"/>
        <v/>
      </c>
      <c r="X417" s="48" t="str">
        <f t="shared" si="28"/>
        <v/>
      </c>
      <c r="Y417" s="48" t="str">
        <f t="shared" si="28"/>
        <v/>
      </c>
      <c r="Z417" s="49" t="str">
        <f t="shared" si="26"/>
        <v/>
      </c>
      <c r="AA417" s="50" t="str">
        <f t="shared" si="29"/>
        <v/>
      </c>
      <c r="AB417" s="48" t="str">
        <f t="shared" si="29"/>
        <v/>
      </c>
      <c r="AC417" s="48" t="str">
        <f t="shared" si="29"/>
        <v/>
      </c>
      <c r="AD417" s="48" t="str">
        <f t="shared" si="29"/>
        <v/>
      </c>
      <c r="AE417" s="48" t="str">
        <f t="shared" si="27"/>
        <v/>
      </c>
    </row>
    <row r="418" spans="1:31" x14ac:dyDescent="0.25">
      <c r="A418" s="2"/>
      <c r="B418" s="2"/>
      <c r="C418" s="2"/>
      <c r="D418" s="2" t="str">
        <f>IF(ISBLANK(C418),"",VLOOKUP(C418,configuration!$G$7:$H$10,2,FALSE))</f>
        <v/>
      </c>
      <c r="E418" s="2"/>
      <c r="F418" s="2"/>
      <c r="G418" s="2"/>
      <c r="H418" s="2" t="str">
        <f>IF(ISBLANK(G418),"",VLOOKUP(G418,configuration!$J$7:$K$10,2,FALSE))</f>
        <v/>
      </c>
      <c r="I418" s="30"/>
      <c r="J418" s="2"/>
      <c r="K418" s="31"/>
      <c r="L418" s="35"/>
      <c r="M418" s="2" t="str">
        <f>IF(ISBLANK(L418),"",VLOOKUP(L418,configuration!$M$7:$N$10,2,FALSE))</f>
        <v/>
      </c>
      <c r="N418" s="30"/>
      <c r="O418" s="2"/>
      <c r="P418" s="31"/>
      <c r="Q418" s="54"/>
      <c r="R418" s="55" t="str">
        <f>IF(ISBLANK(Q418),"",VLOOKUP(Q418,configuration!$P$7:$Q$10,2,FALSE))</f>
        <v/>
      </c>
      <c r="S418" s="56"/>
      <c r="T418" s="55"/>
      <c r="U418" s="78"/>
      <c r="V418" s="76" t="str">
        <f t="shared" si="28"/>
        <v/>
      </c>
      <c r="W418" s="48" t="str">
        <f t="shared" si="28"/>
        <v/>
      </c>
      <c r="X418" s="48" t="str">
        <f t="shared" si="28"/>
        <v/>
      </c>
      <c r="Y418" s="48" t="str">
        <f t="shared" si="28"/>
        <v/>
      </c>
      <c r="Z418" s="49" t="str">
        <f t="shared" si="26"/>
        <v/>
      </c>
      <c r="AA418" s="50" t="str">
        <f t="shared" si="29"/>
        <v/>
      </c>
      <c r="AB418" s="48" t="str">
        <f t="shared" si="29"/>
        <v/>
      </c>
      <c r="AC418" s="48" t="str">
        <f t="shared" si="29"/>
        <v/>
      </c>
      <c r="AD418" s="48" t="str">
        <f t="shared" si="29"/>
        <v/>
      </c>
      <c r="AE418" s="48" t="str">
        <f t="shared" si="27"/>
        <v/>
      </c>
    </row>
    <row r="419" spans="1:31" x14ac:dyDescent="0.25">
      <c r="A419" s="2"/>
      <c r="B419" s="2"/>
      <c r="C419" s="2"/>
      <c r="D419" s="2" t="str">
        <f>IF(ISBLANK(C419),"",VLOOKUP(C419,configuration!$G$7:$H$10,2,FALSE))</f>
        <v/>
      </c>
      <c r="E419" s="2"/>
      <c r="F419" s="2"/>
      <c r="G419" s="2"/>
      <c r="H419" s="2" t="str">
        <f>IF(ISBLANK(G419),"",VLOOKUP(G419,configuration!$J$7:$K$10,2,FALSE))</f>
        <v/>
      </c>
      <c r="I419" s="30"/>
      <c r="J419" s="2"/>
      <c r="K419" s="31"/>
      <c r="L419" s="35"/>
      <c r="M419" s="2" t="str">
        <f>IF(ISBLANK(L419),"",VLOOKUP(L419,configuration!$M$7:$N$10,2,FALSE))</f>
        <v/>
      </c>
      <c r="N419" s="30"/>
      <c r="O419" s="2"/>
      <c r="P419" s="31"/>
      <c r="Q419" s="54"/>
      <c r="R419" s="55" t="str">
        <f>IF(ISBLANK(Q419),"",VLOOKUP(Q419,configuration!$P$7:$Q$10,2,FALSE))</f>
        <v/>
      </c>
      <c r="S419" s="56"/>
      <c r="T419" s="55"/>
      <c r="U419" s="78"/>
      <c r="V419" s="76" t="str">
        <f t="shared" si="28"/>
        <v/>
      </c>
      <c r="W419" s="48" t="str">
        <f t="shared" si="28"/>
        <v/>
      </c>
      <c r="X419" s="48" t="str">
        <f t="shared" si="28"/>
        <v/>
      </c>
      <c r="Y419" s="48" t="str">
        <f t="shared" si="28"/>
        <v/>
      </c>
      <c r="Z419" s="49" t="str">
        <f t="shared" si="26"/>
        <v/>
      </c>
      <c r="AA419" s="50" t="str">
        <f t="shared" si="29"/>
        <v/>
      </c>
      <c r="AB419" s="48" t="str">
        <f t="shared" si="29"/>
        <v/>
      </c>
      <c r="AC419" s="48" t="str">
        <f t="shared" si="29"/>
        <v/>
      </c>
      <c r="AD419" s="48" t="str">
        <f t="shared" si="29"/>
        <v/>
      </c>
      <c r="AE419" s="48" t="str">
        <f t="shared" si="27"/>
        <v/>
      </c>
    </row>
    <row r="420" spans="1:31" x14ac:dyDescent="0.25">
      <c r="A420" s="2"/>
      <c r="B420" s="2"/>
      <c r="C420" s="2"/>
      <c r="D420" s="2" t="str">
        <f>IF(ISBLANK(C420),"",VLOOKUP(C420,configuration!$G$7:$H$10,2,FALSE))</f>
        <v/>
      </c>
      <c r="E420" s="2"/>
      <c r="F420" s="2"/>
      <c r="G420" s="2"/>
      <c r="H420" s="2" t="str">
        <f>IF(ISBLANK(G420),"",VLOOKUP(G420,configuration!$J$7:$K$10,2,FALSE))</f>
        <v/>
      </c>
      <c r="I420" s="30"/>
      <c r="J420" s="2"/>
      <c r="K420" s="31"/>
      <c r="L420" s="35"/>
      <c r="M420" s="2" t="str">
        <f>IF(ISBLANK(L420),"",VLOOKUP(L420,configuration!$M$7:$N$10,2,FALSE))</f>
        <v/>
      </c>
      <c r="N420" s="30"/>
      <c r="O420" s="2"/>
      <c r="P420" s="31"/>
      <c r="Q420" s="54"/>
      <c r="R420" s="55" t="str">
        <f>IF(ISBLANK(Q420),"",VLOOKUP(Q420,configuration!$P$7:$Q$10,2,FALSE))</f>
        <v/>
      </c>
      <c r="S420" s="56"/>
      <c r="T420" s="55"/>
      <c r="U420" s="78"/>
      <c r="V420" s="76" t="str">
        <f t="shared" si="28"/>
        <v/>
      </c>
      <c r="W420" s="48" t="str">
        <f t="shared" si="28"/>
        <v/>
      </c>
      <c r="X420" s="48" t="str">
        <f t="shared" si="28"/>
        <v/>
      </c>
      <c r="Y420" s="48" t="str">
        <f t="shared" si="28"/>
        <v/>
      </c>
      <c r="Z420" s="49" t="str">
        <f t="shared" si="26"/>
        <v/>
      </c>
      <c r="AA420" s="50" t="str">
        <f t="shared" si="29"/>
        <v/>
      </c>
      <c r="AB420" s="48" t="str">
        <f t="shared" si="29"/>
        <v/>
      </c>
      <c r="AC420" s="48" t="str">
        <f t="shared" si="29"/>
        <v/>
      </c>
      <c r="AD420" s="48" t="str">
        <f t="shared" si="29"/>
        <v/>
      </c>
      <c r="AE420" s="48" t="str">
        <f t="shared" si="27"/>
        <v/>
      </c>
    </row>
    <row r="421" spans="1:31" x14ac:dyDescent="0.25">
      <c r="A421" s="2"/>
      <c r="B421" s="2"/>
      <c r="C421" s="2"/>
      <c r="D421" s="2" t="str">
        <f>IF(ISBLANK(C421),"",VLOOKUP(C421,configuration!$G$7:$H$10,2,FALSE))</f>
        <v/>
      </c>
      <c r="E421" s="2"/>
      <c r="F421" s="2"/>
      <c r="G421" s="2"/>
      <c r="H421" s="2" t="str">
        <f>IF(ISBLANK(G421),"",VLOOKUP(G421,configuration!$J$7:$K$10,2,FALSE))</f>
        <v/>
      </c>
      <c r="I421" s="30"/>
      <c r="J421" s="2"/>
      <c r="K421" s="31"/>
      <c r="L421" s="35"/>
      <c r="M421" s="2" t="str">
        <f>IF(ISBLANK(L421),"",VLOOKUP(L421,configuration!$M$7:$N$10,2,FALSE))</f>
        <v/>
      </c>
      <c r="N421" s="30"/>
      <c r="O421" s="2"/>
      <c r="P421" s="31"/>
      <c r="Q421" s="54"/>
      <c r="R421" s="55" t="str">
        <f>IF(ISBLANK(Q421),"",VLOOKUP(Q421,configuration!$P$7:$Q$10,2,FALSE))</f>
        <v/>
      </c>
      <c r="S421" s="56"/>
      <c r="T421" s="55"/>
      <c r="U421" s="78"/>
      <c r="V421" s="76" t="str">
        <f t="shared" si="28"/>
        <v/>
      </c>
      <c r="W421" s="48" t="str">
        <f t="shared" si="28"/>
        <v/>
      </c>
      <c r="X421" s="48" t="str">
        <f t="shared" si="28"/>
        <v/>
      </c>
      <c r="Y421" s="48" t="str">
        <f t="shared" si="28"/>
        <v/>
      </c>
      <c r="Z421" s="49" t="str">
        <f t="shared" si="26"/>
        <v/>
      </c>
      <c r="AA421" s="50" t="str">
        <f t="shared" si="29"/>
        <v/>
      </c>
      <c r="AB421" s="48" t="str">
        <f t="shared" si="29"/>
        <v/>
      </c>
      <c r="AC421" s="48" t="str">
        <f t="shared" si="29"/>
        <v/>
      </c>
      <c r="AD421" s="48" t="str">
        <f t="shared" si="29"/>
        <v/>
      </c>
      <c r="AE421" s="48" t="str">
        <f t="shared" si="27"/>
        <v/>
      </c>
    </row>
    <row r="422" spans="1:31" x14ac:dyDescent="0.25">
      <c r="A422" s="2"/>
      <c r="B422" s="2"/>
      <c r="C422" s="2"/>
      <c r="D422" s="2" t="str">
        <f>IF(ISBLANK(C422),"",VLOOKUP(C422,configuration!$G$7:$H$10,2,FALSE))</f>
        <v/>
      </c>
      <c r="E422" s="2"/>
      <c r="F422" s="2"/>
      <c r="G422" s="2"/>
      <c r="H422" s="2" t="str">
        <f>IF(ISBLANK(G422),"",VLOOKUP(G422,configuration!$J$7:$K$10,2,FALSE))</f>
        <v/>
      </c>
      <c r="I422" s="30"/>
      <c r="J422" s="2"/>
      <c r="K422" s="31"/>
      <c r="L422" s="35"/>
      <c r="M422" s="2" t="str">
        <f>IF(ISBLANK(L422),"",VLOOKUP(L422,configuration!$M$7:$N$10,2,FALSE))</f>
        <v/>
      </c>
      <c r="N422" s="30"/>
      <c r="O422" s="2"/>
      <c r="P422" s="31"/>
      <c r="Q422" s="54"/>
      <c r="R422" s="55" t="str">
        <f>IF(ISBLANK(Q422),"",VLOOKUP(Q422,configuration!$P$7:$Q$10,2,FALSE))</f>
        <v/>
      </c>
      <c r="S422" s="56"/>
      <c r="T422" s="55"/>
      <c r="U422" s="78"/>
      <c r="V422" s="76" t="str">
        <f t="shared" si="28"/>
        <v/>
      </c>
      <c r="W422" s="48" t="str">
        <f t="shared" si="28"/>
        <v/>
      </c>
      <c r="X422" s="48" t="str">
        <f t="shared" si="28"/>
        <v/>
      </c>
      <c r="Y422" s="48" t="str">
        <f t="shared" si="28"/>
        <v/>
      </c>
      <c r="Z422" s="49" t="str">
        <f t="shared" si="26"/>
        <v/>
      </c>
      <c r="AA422" s="50" t="str">
        <f t="shared" si="29"/>
        <v/>
      </c>
      <c r="AB422" s="48" t="str">
        <f t="shared" si="29"/>
        <v/>
      </c>
      <c r="AC422" s="48" t="str">
        <f t="shared" si="29"/>
        <v/>
      </c>
      <c r="AD422" s="48" t="str">
        <f t="shared" si="29"/>
        <v/>
      </c>
      <c r="AE422" s="48" t="str">
        <f t="shared" si="27"/>
        <v/>
      </c>
    </row>
    <row r="423" spans="1:31" x14ac:dyDescent="0.25">
      <c r="A423" s="2"/>
      <c r="B423" s="2"/>
      <c r="C423" s="2"/>
      <c r="D423" s="2" t="str">
        <f>IF(ISBLANK(C423),"",VLOOKUP(C423,configuration!$G$7:$H$10,2,FALSE))</f>
        <v/>
      </c>
      <c r="E423" s="2"/>
      <c r="F423" s="2"/>
      <c r="G423" s="2"/>
      <c r="H423" s="2" t="str">
        <f>IF(ISBLANK(G423),"",VLOOKUP(G423,configuration!$J$7:$K$10,2,FALSE))</f>
        <v/>
      </c>
      <c r="I423" s="30"/>
      <c r="J423" s="2"/>
      <c r="K423" s="31"/>
      <c r="L423" s="35"/>
      <c r="M423" s="2" t="str">
        <f>IF(ISBLANK(L423),"",VLOOKUP(L423,configuration!$M$7:$N$10,2,FALSE))</f>
        <v/>
      </c>
      <c r="N423" s="30"/>
      <c r="O423" s="2"/>
      <c r="P423" s="31"/>
      <c r="Q423" s="54"/>
      <c r="R423" s="55" t="str">
        <f>IF(ISBLANK(Q423),"",VLOOKUP(Q423,configuration!$P$7:$Q$10,2,FALSE))</f>
        <v/>
      </c>
      <c r="S423" s="56"/>
      <c r="T423" s="55"/>
      <c r="U423" s="78"/>
      <c r="V423" s="76" t="str">
        <f t="shared" si="28"/>
        <v/>
      </c>
      <c r="W423" s="48" t="str">
        <f t="shared" si="28"/>
        <v/>
      </c>
      <c r="X423" s="48" t="str">
        <f t="shared" si="28"/>
        <v/>
      </c>
      <c r="Y423" s="48" t="str">
        <f t="shared" si="28"/>
        <v/>
      </c>
      <c r="Z423" s="49" t="str">
        <f t="shared" si="26"/>
        <v/>
      </c>
      <c r="AA423" s="50" t="str">
        <f t="shared" si="29"/>
        <v/>
      </c>
      <c r="AB423" s="48" t="str">
        <f t="shared" si="29"/>
        <v/>
      </c>
      <c r="AC423" s="48" t="str">
        <f t="shared" si="29"/>
        <v/>
      </c>
      <c r="AD423" s="48" t="str">
        <f t="shared" si="29"/>
        <v/>
      </c>
      <c r="AE423" s="48" t="str">
        <f t="shared" si="27"/>
        <v/>
      </c>
    </row>
    <row r="424" spans="1:31" x14ac:dyDescent="0.25">
      <c r="A424" s="2"/>
      <c r="B424" s="2"/>
      <c r="C424" s="2"/>
      <c r="D424" s="2" t="str">
        <f>IF(ISBLANK(C424),"",VLOOKUP(C424,configuration!$G$7:$H$10,2,FALSE))</f>
        <v/>
      </c>
      <c r="E424" s="2"/>
      <c r="F424" s="2"/>
      <c r="G424" s="2"/>
      <c r="H424" s="2" t="str">
        <f>IF(ISBLANK(G424),"",VLOOKUP(G424,configuration!$J$7:$K$10,2,FALSE))</f>
        <v/>
      </c>
      <c r="I424" s="30"/>
      <c r="J424" s="2"/>
      <c r="K424" s="31"/>
      <c r="L424" s="35"/>
      <c r="M424" s="2" t="str">
        <f>IF(ISBLANK(L424),"",VLOOKUP(L424,configuration!$M$7:$N$10,2,FALSE))</f>
        <v/>
      </c>
      <c r="N424" s="30"/>
      <c r="O424" s="2"/>
      <c r="P424" s="31"/>
      <c r="Q424" s="54"/>
      <c r="R424" s="55" t="str">
        <f>IF(ISBLANK(Q424),"",VLOOKUP(Q424,configuration!$P$7:$Q$10,2,FALSE))</f>
        <v/>
      </c>
      <c r="S424" s="56"/>
      <c r="T424" s="55"/>
      <c r="U424" s="78"/>
      <c r="V424" s="76" t="str">
        <f t="shared" si="28"/>
        <v/>
      </c>
      <c r="W424" s="48" t="str">
        <f t="shared" si="28"/>
        <v/>
      </c>
      <c r="X424" s="48" t="str">
        <f t="shared" si="28"/>
        <v/>
      </c>
      <c r="Y424" s="48" t="str">
        <f t="shared" si="28"/>
        <v/>
      </c>
      <c r="Z424" s="49" t="str">
        <f t="shared" si="26"/>
        <v/>
      </c>
      <c r="AA424" s="50" t="str">
        <f t="shared" si="29"/>
        <v/>
      </c>
      <c r="AB424" s="48" t="str">
        <f t="shared" si="29"/>
        <v/>
      </c>
      <c r="AC424" s="48" t="str">
        <f t="shared" si="29"/>
        <v/>
      </c>
      <c r="AD424" s="48" t="str">
        <f t="shared" si="29"/>
        <v/>
      </c>
      <c r="AE424" s="48" t="str">
        <f t="shared" si="27"/>
        <v/>
      </c>
    </row>
    <row r="425" spans="1:31" x14ac:dyDescent="0.25">
      <c r="A425" s="2"/>
      <c r="B425" s="2"/>
      <c r="C425" s="2"/>
      <c r="D425" s="2" t="str">
        <f>IF(ISBLANK(C425),"",VLOOKUP(C425,configuration!$G$7:$H$10,2,FALSE))</f>
        <v/>
      </c>
      <c r="E425" s="2"/>
      <c r="F425" s="2"/>
      <c r="G425" s="2"/>
      <c r="H425" s="2" t="str">
        <f>IF(ISBLANK(G425),"",VLOOKUP(G425,configuration!$J$7:$K$10,2,FALSE))</f>
        <v/>
      </c>
      <c r="I425" s="30"/>
      <c r="J425" s="2"/>
      <c r="K425" s="31"/>
      <c r="L425" s="35"/>
      <c r="M425" s="2" t="str">
        <f>IF(ISBLANK(L425),"",VLOOKUP(L425,configuration!$M$7:$N$10,2,FALSE))</f>
        <v/>
      </c>
      <c r="N425" s="30"/>
      <c r="O425" s="2"/>
      <c r="P425" s="31"/>
      <c r="Q425" s="54"/>
      <c r="R425" s="55" t="str">
        <f>IF(ISBLANK(Q425),"",VLOOKUP(Q425,configuration!$P$7:$Q$10,2,FALSE))</f>
        <v/>
      </c>
      <c r="S425" s="56"/>
      <c r="T425" s="55"/>
      <c r="U425" s="78"/>
      <c r="V425" s="76" t="str">
        <f t="shared" si="28"/>
        <v/>
      </c>
      <c r="W425" s="48" t="str">
        <f t="shared" si="28"/>
        <v/>
      </c>
      <c r="X425" s="48" t="str">
        <f t="shared" si="28"/>
        <v/>
      </c>
      <c r="Y425" s="48" t="str">
        <f t="shared" si="28"/>
        <v/>
      </c>
      <c r="Z425" s="49" t="str">
        <f t="shared" si="26"/>
        <v/>
      </c>
      <c r="AA425" s="50" t="str">
        <f t="shared" si="29"/>
        <v/>
      </c>
      <c r="AB425" s="48" t="str">
        <f t="shared" si="29"/>
        <v/>
      </c>
      <c r="AC425" s="48" t="str">
        <f t="shared" si="29"/>
        <v/>
      </c>
      <c r="AD425" s="48" t="str">
        <f t="shared" si="29"/>
        <v/>
      </c>
      <c r="AE425" s="48" t="str">
        <f t="shared" si="27"/>
        <v/>
      </c>
    </row>
    <row r="426" spans="1:31" x14ac:dyDescent="0.25">
      <c r="A426" s="2"/>
      <c r="B426" s="2"/>
      <c r="C426" s="2"/>
      <c r="D426" s="2" t="str">
        <f>IF(ISBLANK(C426),"",VLOOKUP(C426,configuration!$G$7:$H$10,2,FALSE))</f>
        <v/>
      </c>
      <c r="E426" s="2"/>
      <c r="F426" s="2"/>
      <c r="G426" s="2"/>
      <c r="H426" s="2" t="str">
        <f>IF(ISBLANK(G426),"",VLOOKUP(G426,configuration!$J$7:$K$10,2,FALSE))</f>
        <v/>
      </c>
      <c r="I426" s="30"/>
      <c r="J426" s="2"/>
      <c r="K426" s="31"/>
      <c r="L426" s="35"/>
      <c r="M426" s="2" t="str">
        <f>IF(ISBLANK(L426),"",VLOOKUP(L426,configuration!$M$7:$N$10,2,FALSE))</f>
        <v/>
      </c>
      <c r="N426" s="30"/>
      <c r="O426" s="2"/>
      <c r="P426" s="31"/>
      <c r="Q426" s="54"/>
      <c r="R426" s="55" t="str">
        <f>IF(ISBLANK(Q426),"",VLOOKUP(Q426,configuration!$P$7:$Q$10,2,FALSE))</f>
        <v/>
      </c>
      <c r="S426" s="56"/>
      <c r="T426" s="55"/>
      <c r="U426" s="78"/>
      <c r="V426" s="76" t="str">
        <f t="shared" si="28"/>
        <v/>
      </c>
      <c r="W426" s="48" t="str">
        <f t="shared" si="28"/>
        <v/>
      </c>
      <c r="X426" s="48" t="str">
        <f t="shared" si="28"/>
        <v/>
      </c>
      <c r="Y426" s="48" t="str">
        <f t="shared" si="28"/>
        <v/>
      </c>
      <c r="Z426" s="49" t="str">
        <f t="shared" si="26"/>
        <v/>
      </c>
      <c r="AA426" s="50" t="str">
        <f t="shared" si="29"/>
        <v/>
      </c>
      <c r="AB426" s="48" t="str">
        <f t="shared" si="29"/>
        <v/>
      </c>
      <c r="AC426" s="48" t="str">
        <f t="shared" si="29"/>
        <v/>
      </c>
      <c r="AD426" s="48" t="str">
        <f t="shared" si="29"/>
        <v/>
      </c>
      <c r="AE426" s="48" t="str">
        <f t="shared" si="27"/>
        <v/>
      </c>
    </row>
    <row r="427" spans="1:31" x14ac:dyDescent="0.25">
      <c r="A427" s="2"/>
      <c r="B427" s="2"/>
      <c r="C427" s="2"/>
      <c r="D427" s="2" t="str">
        <f>IF(ISBLANK(C427),"",VLOOKUP(C427,configuration!$G$7:$H$10,2,FALSE))</f>
        <v/>
      </c>
      <c r="E427" s="2"/>
      <c r="F427" s="2"/>
      <c r="G427" s="2"/>
      <c r="H427" s="2" t="str">
        <f>IF(ISBLANK(G427),"",VLOOKUP(G427,configuration!$J$7:$K$10,2,FALSE))</f>
        <v/>
      </c>
      <c r="I427" s="30"/>
      <c r="J427" s="2"/>
      <c r="K427" s="31"/>
      <c r="L427" s="35"/>
      <c r="M427" s="2" t="str">
        <f>IF(ISBLANK(L427),"",VLOOKUP(L427,configuration!$M$7:$N$10,2,FALSE))</f>
        <v/>
      </c>
      <c r="N427" s="30"/>
      <c r="O427" s="2"/>
      <c r="P427" s="31"/>
      <c r="Q427" s="54"/>
      <c r="R427" s="55" t="str">
        <f>IF(ISBLANK(Q427),"",VLOOKUP(Q427,configuration!$P$7:$Q$10,2,FALSE))</f>
        <v/>
      </c>
      <c r="S427" s="56"/>
      <c r="T427" s="55"/>
      <c r="U427" s="78"/>
      <c r="V427" s="76" t="str">
        <f t="shared" si="28"/>
        <v/>
      </c>
      <c r="W427" s="48" t="str">
        <f t="shared" si="28"/>
        <v/>
      </c>
      <c r="X427" s="48" t="str">
        <f t="shared" si="28"/>
        <v/>
      </c>
      <c r="Y427" s="48" t="str">
        <f t="shared" si="28"/>
        <v/>
      </c>
      <c r="Z427" s="49" t="str">
        <f t="shared" si="26"/>
        <v/>
      </c>
      <c r="AA427" s="50" t="str">
        <f t="shared" si="29"/>
        <v/>
      </c>
      <c r="AB427" s="48" t="str">
        <f t="shared" si="29"/>
        <v/>
      </c>
      <c r="AC427" s="48" t="str">
        <f t="shared" si="29"/>
        <v/>
      </c>
      <c r="AD427" s="48" t="str">
        <f t="shared" si="29"/>
        <v/>
      </c>
      <c r="AE427" s="48" t="str">
        <f t="shared" si="27"/>
        <v/>
      </c>
    </row>
    <row r="428" spans="1:31" x14ac:dyDescent="0.25">
      <c r="A428" s="2"/>
      <c r="B428" s="2"/>
      <c r="C428" s="2"/>
      <c r="D428" s="2" t="str">
        <f>IF(ISBLANK(C428),"",VLOOKUP(C428,configuration!$G$7:$H$10,2,FALSE))</f>
        <v/>
      </c>
      <c r="E428" s="2"/>
      <c r="F428" s="2"/>
      <c r="G428" s="2"/>
      <c r="H428" s="2" t="str">
        <f>IF(ISBLANK(G428),"",VLOOKUP(G428,configuration!$J$7:$K$10,2,FALSE))</f>
        <v/>
      </c>
      <c r="I428" s="30"/>
      <c r="J428" s="2"/>
      <c r="K428" s="31"/>
      <c r="L428" s="35"/>
      <c r="M428" s="2" t="str">
        <f>IF(ISBLANK(L428),"",VLOOKUP(L428,configuration!$M$7:$N$10,2,FALSE))</f>
        <v/>
      </c>
      <c r="N428" s="30"/>
      <c r="O428" s="2"/>
      <c r="P428" s="31"/>
      <c r="Q428" s="54"/>
      <c r="R428" s="55" t="str">
        <f>IF(ISBLANK(Q428),"",VLOOKUP(Q428,configuration!$P$7:$Q$10,2,FALSE))</f>
        <v/>
      </c>
      <c r="S428" s="56"/>
      <c r="T428" s="55"/>
      <c r="U428" s="78"/>
      <c r="V428" s="76" t="str">
        <f t="shared" si="28"/>
        <v/>
      </c>
      <c r="W428" s="48" t="str">
        <f t="shared" si="28"/>
        <v/>
      </c>
      <c r="X428" s="48" t="str">
        <f t="shared" si="28"/>
        <v/>
      </c>
      <c r="Y428" s="48" t="str">
        <f t="shared" si="28"/>
        <v/>
      </c>
      <c r="Z428" s="49" t="str">
        <f t="shared" si="26"/>
        <v/>
      </c>
      <c r="AA428" s="50" t="str">
        <f t="shared" si="29"/>
        <v/>
      </c>
      <c r="AB428" s="48" t="str">
        <f t="shared" si="29"/>
        <v/>
      </c>
      <c r="AC428" s="48" t="str">
        <f t="shared" si="29"/>
        <v/>
      </c>
      <c r="AD428" s="48" t="str">
        <f t="shared" si="29"/>
        <v/>
      </c>
      <c r="AE428" s="48" t="str">
        <f t="shared" si="27"/>
        <v/>
      </c>
    </row>
    <row r="429" spans="1:31" x14ac:dyDescent="0.25">
      <c r="A429" s="2"/>
      <c r="B429" s="2"/>
      <c r="C429" s="2"/>
      <c r="D429" s="2" t="str">
        <f>IF(ISBLANK(C429),"",VLOOKUP(C429,configuration!$G$7:$H$10,2,FALSE))</f>
        <v/>
      </c>
      <c r="E429" s="2"/>
      <c r="F429" s="2"/>
      <c r="G429" s="2"/>
      <c r="H429" s="2" t="str">
        <f>IF(ISBLANK(G429),"",VLOOKUP(G429,configuration!$J$7:$K$10,2,FALSE))</f>
        <v/>
      </c>
      <c r="I429" s="30"/>
      <c r="J429" s="2"/>
      <c r="K429" s="31"/>
      <c r="L429" s="35"/>
      <c r="M429" s="2" t="str">
        <f>IF(ISBLANK(L429),"",VLOOKUP(L429,configuration!$M$7:$N$10,2,FALSE))</f>
        <v/>
      </c>
      <c r="N429" s="30"/>
      <c r="O429" s="2"/>
      <c r="P429" s="31"/>
      <c r="Q429" s="54"/>
      <c r="R429" s="55" t="str">
        <f>IF(ISBLANK(Q429),"",VLOOKUP(Q429,configuration!$P$7:$Q$10,2,FALSE))</f>
        <v/>
      </c>
      <c r="S429" s="56"/>
      <c r="T429" s="55"/>
      <c r="U429" s="78"/>
      <c r="V429" s="76" t="str">
        <f t="shared" si="28"/>
        <v/>
      </c>
      <c r="W429" s="48" t="str">
        <f t="shared" si="28"/>
        <v/>
      </c>
      <c r="X429" s="48" t="str">
        <f t="shared" si="28"/>
        <v/>
      </c>
      <c r="Y429" s="48" t="str">
        <f t="shared" si="28"/>
        <v/>
      </c>
      <c r="Z429" s="49" t="str">
        <f t="shared" si="26"/>
        <v/>
      </c>
      <c r="AA429" s="50" t="str">
        <f t="shared" si="29"/>
        <v/>
      </c>
      <c r="AB429" s="48" t="str">
        <f t="shared" si="29"/>
        <v/>
      </c>
      <c r="AC429" s="48" t="str">
        <f t="shared" si="29"/>
        <v/>
      </c>
      <c r="AD429" s="48" t="str">
        <f t="shared" si="29"/>
        <v/>
      </c>
      <c r="AE429" s="48" t="str">
        <f t="shared" si="27"/>
        <v/>
      </c>
    </row>
    <row r="430" spans="1:31" x14ac:dyDescent="0.25">
      <c r="A430" s="2"/>
      <c r="B430" s="2"/>
      <c r="C430" s="2"/>
      <c r="D430" s="2" t="str">
        <f>IF(ISBLANK(C430),"",VLOOKUP(C430,configuration!$G$7:$H$10,2,FALSE))</f>
        <v/>
      </c>
      <c r="E430" s="2"/>
      <c r="F430" s="2"/>
      <c r="G430" s="2"/>
      <c r="H430" s="2" t="str">
        <f>IF(ISBLANK(G430),"",VLOOKUP(G430,configuration!$J$7:$K$10,2,FALSE))</f>
        <v/>
      </c>
      <c r="I430" s="30"/>
      <c r="J430" s="2"/>
      <c r="K430" s="31"/>
      <c r="L430" s="35"/>
      <c r="M430" s="2" t="str">
        <f>IF(ISBLANK(L430),"",VLOOKUP(L430,configuration!$M$7:$N$10,2,FALSE))</f>
        <v/>
      </c>
      <c r="N430" s="30"/>
      <c r="O430" s="2"/>
      <c r="P430" s="31"/>
      <c r="Q430" s="54"/>
      <c r="R430" s="55" t="str">
        <f>IF(ISBLANK(Q430),"",VLOOKUP(Q430,configuration!$P$7:$Q$10,2,FALSE))</f>
        <v/>
      </c>
      <c r="S430" s="56"/>
      <c r="T430" s="55"/>
      <c r="U430" s="78"/>
      <c r="V430" s="76" t="str">
        <f t="shared" si="28"/>
        <v/>
      </c>
      <c r="W430" s="48" t="str">
        <f t="shared" si="28"/>
        <v/>
      </c>
      <c r="X430" s="48" t="str">
        <f t="shared" si="28"/>
        <v/>
      </c>
      <c r="Y430" s="48" t="str">
        <f t="shared" si="28"/>
        <v/>
      </c>
      <c r="Z430" s="49" t="str">
        <f t="shared" si="26"/>
        <v/>
      </c>
      <c r="AA430" s="50" t="str">
        <f t="shared" si="29"/>
        <v/>
      </c>
      <c r="AB430" s="48" t="str">
        <f t="shared" si="29"/>
        <v/>
      </c>
      <c r="AC430" s="48" t="str">
        <f t="shared" si="29"/>
        <v/>
      </c>
      <c r="AD430" s="48" t="str">
        <f t="shared" si="29"/>
        <v/>
      </c>
      <c r="AE430" s="48" t="str">
        <f t="shared" si="27"/>
        <v/>
      </c>
    </row>
    <row r="431" spans="1:31" x14ac:dyDescent="0.25">
      <c r="A431" s="2"/>
      <c r="B431" s="2"/>
      <c r="C431" s="2"/>
      <c r="D431" s="2" t="str">
        <f>IF(ISBLANK(C431),"",VLOOKUP(C431,configuration!$G$7:$H$10,2,FALSE))</f>
        <v/>
      </c>
      <c r="E431" s="2"/>
      <c r="F431" s="2"/>
      <c r="G431" s="2"/>
      <c r="H431" s="2" t="str">
        <f>IF(ISBLANK(G431),"",VLOOKUP(G431,configuration!$J$7:$K$10,2,FALSE))</f>
        <v/>
      </c>
      <c r="I431" s="30"/>
      <c r="J431" s="2"/>
      <c r="K431" s="31"/>
      <c r="L431" s="35"/>
      <c r="M431" s="2" t="str">
        <f>IF(ISBLANK(L431),"",VLOOKUP(L431,configuration!$M$7:$N$10,2,FALSE))</f>
        <v/>
      </c>
      <c r="N431" s="30"/>
      <c r="O431" s="2"/>
      <c r="P431" s="31"/>
      <c r="Q431" s="54"/>
      <c r="R431" s="55" t="str">
        <f>IF(ISBLANK(Q431),"",VLOOKUP(Q431,configuration!$P$7:$Q$10,2,FALSE))</f>
        <v/>
      </c>
      <c r="S431" s="56"/>
      <c r="T431" s="55"/>
      <c r="U431" s="78"/>
      <c r="V431" s="76" t="str">
        <f t="shared" si="28"/>
        <v/>
      </c>
      <c r="W431" s="48" t="str">
        <f t="shared" si="28"/>
        <v/>
      </c>
      <c r="X431" s="48" t="str">
        <f t="shared" si="28"/>
        <v/>
      </c>
      <c r="Y431" s="48" t="str">
        <f t="shared" si="28"/>
        <v/>
      </c>
      <c r="Z431" s="49" t="str">
        <f t="shared" si="26"/>
        <v/>
      </c>
      <c r="AA431" s="50" t="str">
        <f t="shared" si="29"/>
        <v/>
      </c>
      <c r="AB431" s="48" t="str">
        <f t="shared" si="29"/>
        <v/>
      </c>
      <c r="AC431" s="48" t="str">
        <f t="shared" si="29"/>
        <v/>
      </c>
      <c r="AD431" s="48" t="str">
        <f t="shared" si="29"/>
        <v/>
      </c>
      <c r="AE431" s="48" t="str">
        <f t="shared" si="27"/>
        <v/>
      </c>
    </row>
    <row r="432" spans="1:31" x14ac:dyDescent="0.25">
      <c r="A432" s="2"/>
      <c r="B432" s="2"/>
      <c r="C432" s="2"/>
      <c r="D432" s="2" t="str">
        <f>IF(ISBLANK(C432),"",VLOOKUP(C432,configuration!$G$7:$H$10,2,FALSE))</f>
        <v/>
      </c>
      <c r="E432" s="2"/>
      <c r="F432" s="2"/>
      <c r="G432" s="2"/>
      <c r="H432" s="2" t="str">
        <f>IF(ISBLANK(G432),"",VLOOKUP(G432,configuration!$J$7:$K$10,2,FALSE))</f>
        <v/>
      </c>
      <c r="I432" s="30"/>
      <c r="J432" s="2"/>
      <c r="K432" s="31"/>
      <c r="L432" s="35"/>
      <c r="M432" s="2" t="str">
        <f>IF(ISBLANK(L432),"",VLOOKUP(L432,configuration!$M$7:$N$10,2,FALSE))</f>
        <v/>
      </c>
      <c r="N432" s="30"/>
      <c r="O432" s="2"/>
      <c r="P432" s="31"/>
      <c r="Q432" s="54"/>
      <c r="R432" s="55" t="str">
        <f>IF(ISBLANK(Q432),"",VLOOKUP(Q432,configuration!$P$7:$Q$10,2,FALSE))</f>
        <v/>
      </c>
      <c r="S432" s="56"/>
      <c r="T432" s="55"/>
      <c r="U432" s="78"/>
      <c r="V432" s="76" t="str">
        <f t="shared" si="28"/>
        <v/>
      </c>
      <c r="W432" s="48" t="str">
        <f t="shared" si="28"/>
        <v/>
      </c>
      <c r="X432" s="48" t="str">
        <f t="shared" si="28"/>
        <v/>
      </c>
      <c r="Y432" s="48" t="str">
        <f t="shared" si="28"/>
        <v/>
      </c>
      <c r="Z432" s="49" t="str">
        <f t="shared" si="26"/>
        <v/>
      </c>
      <c r="AA432" s="50" t="str">
        <f t="shared" si="29"/>
        <v/>
      </c>
      <c r="AB432" s="48" t="str">
        <f t="shared" si="29"/>
        <v/>
      </c>
      <c r="AC432" s="48" t="str">
        <f t="shared" si="29"/>
        <v/>
      </c>
      <c r="AD432" s="48" t="str">
        <f t="shared" si="29"/>
        <v/>
      </c>
      <c r="AE432" s="48" t="str">
        <f t="shared" si="27"/>
        <v/>
      </c>
    </row>
    <row r="433" spans="1:31" x14ac:dyDescent="0.25">
      <c r="A433" s="2"/>
      <c r="B433" s="2"/>
      <c r="C433" s="2"/>
      <c r="D433" s="2" t="str">
        <f>IF(ISBLANK(C433),"",VLOOKUP(C433,configuration!$G$7:$H$10,2,FALSE))</f>
        <v/>
      </c>
      <c r="E433" s="2"/>
      <c r="F433" s="2"/>
      <c r="G433" s="2"/>
      <c r="H433" s="2" t="str">
        <f>IF(ISBLANK(G433),"",VLOOKUP(G433,configuration!$J$7:$K$10,2,FALSE))</f>
        <v/>
      </c>
      <c r="I433" s="30"/>
      <c r="J433" s="2"/>
      <c r="K433" s="31"/>
      <c r="L433" s="35"/>
      <c r="M433" s="2" t="str">
        <f>IF(ISBLANK(L433),"",VLOOKUP(L433,configuration!$M$7:$N$10,2,FALSE))</f>
        <v/>
      </c>
      <c r="N433" s="30"/>
      <c r="O433" s="2"/>
      <c r="P433" s="31"/>
      <c r="Q433" s="54"/>
      <c r="R433" s="55" t="str">
        <f>IF(ISBLANK(Q433),"",VLOOKUP(Q433,configuration!$P$7:$Q$10,2,FALSE))</f>
        <v/>
      </c>
      <c r="S433" s="56"/>
      <c r="T433" s="55"/>
      <c r="U433" s="78"/>
      <c r="V433" s="76" t="str">
        <f t="shared" si="28"/>
        <v/>
      </c>
      <c r="W433" s="48" t="str">
        <f t="shared" si="28"/>
        <v/>
      </c>
      <c r="X433" s="48" t="str">
        <f t="shared" si="28"/>
        <v/>
      </c>
      <c r="Y433" s="48" t="str">
        <f t="shared" si="28"/>
        <v/>
      </c>
      <c r="Z433" s="49" t="str">
        <f t="shared" si="26"/>
        <v/>
      </c>
      <c r="AA433" s="50" t="str">
        <f t="shared" si="29"/>
        <v/>
      </c>
      <c r="AB433" s="48" t="str">
        <f t="shared" si="29"/>
        <v/>
      </c>
      <c r="AC433" s="48" t="str">
        <f t="shared" si="29"/>
        <v/>
      </c>
      <c r="AD433" s="48" t="str">
        <f t="shared" si="29"/>
        <v/>
      </c>
      <c r="AE433" s="48" t="str">
        <f t="shared" si="27"/>
        <v/>
      </c>
    </row>
    <row r="434" spans="1:31" x14ac:dyDescent="0.25">
      <c r="A434" s="2"/>
      <c r="B434" s="2"/>
      <c r="C434" s="2"/>
      <c r="D434" s="2" t="str">
        <f>IF(ISBLANK(C434),"",VLOOKUP(C434,configuration!$G$7:$H$10,2,FALSE))</f>
        <v/>
      </c>
      <c r="E434" s="2"/>
      <c r="F434" s="2"/>
      <c r="G434" s="2"/>
      <c r="H434" s="2" t="str">
        <f>IF(ISBLANK(G434),"",VLOOKUP(G434,configuration!$J$7:$K$10,2,FALSE))</f>
        <v/>
      </c>
      <c r="I434" s="30"/>
      <c r="J434" s="2"/>
      <c r="K434" s="31"/>
      <c r="L434" s="35"/>
      <c r="M434" s="2" t="str">
        <f>IF(ISBLANK(L434),"",VLOOKUP(L434,configuration!$M$7:$N$10,2,FALSE))</f>
        <v/>
      </c>
      <c r="N434" s="30"/>
      <c r="O434" s="2"/>
      <c r="P434" s="31"/>
      <c r="Q434" s="54"/>
      <c r="R434" s="55" t="str">
        <f>IF(ISBLANK(Q434),"",VLOOKUP(Q434,configuration!$P$7:$Q$10,2,FALSE))</f>
        <v/>
      </c>
      <c r="S434" s="56"/>
      <c r="T434" s="55"/>
      <c r="U434" s="78"/>
      <c r="V434" s="76" t="str">
        <f t="shared" si="28"/>
        <v/>
      </c>
      <c r="W434" s="48" t="str">
        <f t="shared" si="28"/>
        <v/>
      </c>
      <c r="X434" s="48" t="str">
        <f t="shared" si="28"/>
        <v/>
      </c>
      <c r="Y434" s="48" t="str">
        <f t="shared" si="28"/>
        <v/>
      </c>
      <c r="Z434" s="49" t="str">
        <f t="shared" si="26"/>
        <v/>
      </c>
      <c r="AA434" s="50" t="str">
        <f t="shared" si="29"/>
        <v/>
      </c>
      <c r="AB434" s="48" t="str">
        <f t="shared" si="29"/>
        <v/>
      </c>
      <c r="AC434" s="48" t="str">
        <f t="shared" si="29"/>
        <v/>
      </c>
      <c r="AD434" s="48" t="str">
        <f t="shared" si="29"/>
        <v/>
      </c>
      <c r="AE434" s="48" t="str">
        <f t="shared" si="27"/>
        <v/>
      </c>
    </row>
    <row r="435" spans="1:31" x14ac:dyDescent="0.25">
      <c r="A435" s="2"/>
      <c r="B435" s="2"/>
      <c r="C435" s="2"/>
      <c r="D435" s="2" t="str">
        <f>IF(ISBLANK(C435),"",VLOOKUP(C435,configuration!$G$7:$H$10,2,FALSE))</f>
        <v/>
      </c>
      <c r="E435" s="2"/>
      <c r="F435" s="2"/>
      <c r="G435" s="2"/>
      <c r="H435" s="2" t="str">
        <f>IF(ISBLANK(G435),"",VLOOKUP(G435,configuration!$J$7:$K$10,2,FALSE))</f>
        <v/>
      </c>
      <c r="I435" s="30"/>
      <c r="J435" s="2"/>
      <c r="K435" s="31"/>
      <c r="L435" s="35"/>
      <c r="M435" s="2" t="str">
        <f>IF(ISBLANK(L435),"",VLOOKUP(L435,configuration!$M$7:$N$10,2,FALSE))</f>
        <v/>
      </c>
      <c r="N435" s="30"/>
      <c r="O435" s="2"/>
      <c r="P435" s="31"/>
      <c r="Q435" s="54"/>
      <c r="R435" s="55" t="str">
        <f>IF(ISBLANK(Q435),"",VLOOKUP(Q435,configuration!$P$7:$Q$10,2,FALSE))</f>
        <v/>
      </c>
      <c r="S435" s="56"/>
      <c r="T435" s="55"/>
      <c r="U435" s="78"/>
      <c r="V435" s="76" t="str">
        <f t="shared" si="28"/>
        <v/>
      </c>
      <c r="W435" s="48" t="str">
        <f t="shared" si="28"/>
        <v/>
      </c>
      <c r="X435" s="48" t="str">
        <f t="shared" si="28"/>
        <v/>
      </c>
      <c r="Y435" s="48" t="str">
        <f t="shared" si="28"/>
        <v/>
      </c>
      <c r="Z435" s="49" t="str">
        <f t="shared" si="26"/>
        <v/>
      </c>
      <c r="AA435" s="50" t="str">
        <f t="shared" si="29"/>
        <v/>
      </c>
      <c r="AB435" s="48" t="str">
        <f t="shared" si="29"/>
        <v/>
      </c>
      <c r="AC435" s="48" t="str">
        <f t="shared" si="29"/>
        <v/>
      </c>
      <c r="AD435" s="48" t="str">
        <f t="shared" si="29"/>
        <v/>
      </c>
      <c r="AE435" s="48" t="str">
        <f t="shared" si="27"/>
        <v/>
      </c>
    </row>
    <row r="436" spans="1:31" x14ac:dyDescent="0.25">
      <c r="A436" s="2"/>
      <c r="B436" s="2"/>
      <c r="C436" s="2"/>
      <c r="D436" s="2" t="str">
        <f>IF(ISBLANK(C436),"",VLOOKUP(C436,configuration!$G$7:$H$10,2,FALSE))</f>
        <v/>
      </c>
      <c r="E436" s="2"/>
      <c r="F436" s="2"/>
      <c r="G436" s="2"/>
      <c r="H436" s="2" t="str">
        <f>IF(ISBLANK(G436),"",VLOOKUP(G436,configuration!$J$7:$K$10,2,FALSE))</f>
        <v/>
      </c>
      <c r="I436" s="30"/>
      <c r="J436" s="2"/>
      <c r="K436" s="31"/>
      <c r="L436" s="35"/>
      <c r="M436" s="2" t="str">
        <f>IF(ISBLANK(L436),"",VLOOKUP(L436,configuration!$M$7:$N$10,2,FALSE))</f>
        <v/>
      </c>
      <c r="N436" s="30"/>
      <c r="O436" s="2"/>
      <c r="P436" s="31"/>
      <c r="Q436" s="54"/>
      <c r="R436" s="55" t="str">
        <f>IF(ISBLANK(Q436),"",VLOOKUP(Q436,configuration!$P$7:$Q$10,2,FALSE))</f>
        <v/>
      </c>
      <c r="S436" s="56"/>
      <c r="T436" s="55"/>
      <c r="U436" s="78"/>
      <c r="V436" s="76" t="str">
        <f t="shared" si="28"/>
        <v/>
      </c>
      <c r="W436" s="48" t="str">
        <f t="shared" si="28"/>
        <v/>
      </c>
      <c r="X436" s="48" t="str">
        <f t="shared" si="28"/>
        <v/>
      </c>
      <c r="Y436" s="48" t="str">
        <f t="shared" si="28"/>
        <v/>
      </c>
      <c r="Z436" s="49" t="str">
        <f t="shared" si="26"/>
        <v/>
      </c>
      <c r="AA436" s="50" t="str">
        <f t="shared" si="29"/>
        <v/>
      </c>
      <c r="AB436" s="48" t="str">
        <f t="shared" si="29"/>
        <v/>
      </c>
      <c r="AC436" s="48" t="str">
        <f t="shared" si="29"/>
        <v/>
      </c>
      <c r="AD436" s="48" t="str">
        <f t="shared" si="29"/>
        <v/>
      </c>
      <c r="AE436" s="48" t="str">
        <f t="shared" si="27"/>
        <v/>
      </c>
    </row>
    <row r="437" spans="1:31" x14ac:dyDescent="0.25">
      <c r="A437" s="2"/>
      <c r="B437" s="2"/>
      <c r="C437" s="2"/>
      <c r="D437" s="2" t="str">
        <f>IF(ISBLANK(C437),"",VLOOKUP(C437,configuration!$G$7:$H$10,2,FALSE))</f>
        <v/>
      </c>
      <c r="E437" s="2"/>
      <c r="F437" s="2"/>
      <c r="G437" s="2"/>
      <c r="H437" s="2" t="str">
        <f>IF(ISBLANK(G437),"",VLOOKUP(G437,configuration!$J$7:$K$10,2,FALSE))</f>
        <v/>
      </c>
      <c r="I437" s="30"/>
      <c r="J437" s="2"/>
      <c r="K437" s="31"/>
      <c r="L437" s="35"/>
      <c r="M437" s="2" t="str">
        <f>IF(ISBLANK(L437),"",VLOOKUP(L437,configuration!$M$7:$N$10,2,FALSE))</f>
        <v/>
      </c>
      <c r="N437" s="30"/>
      <c r="O437" s="2"/>
      <c r="P437" s="31"/>
      <c r="Q437" s="54"/>
      <c r="R437" s="55" t="str">
        <f>IF(ISBLANK(Q437),"",VLOOKUP(Q437,configuration!$P$7:$Q$10,2,FALSE))</f>
        <v/>
      </c>
      <c r="S437" s="56"/>
      <c r="T437" s="55"/>
      <c r="U437" s="78"/>
      <c r="V437" s="76" t="str">
        <f t="shared" si="28"/>
        <v/>
      </c>
      <c r="W437" s="48" t="str">
        <f t="shared" si="28"/>
        <v/>
      </c>
      <c r="X437" s="48" t="str">
        <f t="shared" si="28"/>
        <v/>
      </c>
      <c r="Y437" s="48" t="str">
        <f t="shared" si="28"/>
        <v/>
      </c>
      <c r="Z437" s="49" t="str">
        <f t="shared" si="26"/>
        <v/>
      </c>
      <c r="AA437" s="50" t="str">
        <f t="shared" si="29"/>
        <v/>
      </c>
      <c r="AB437" s="48" t="str">
        <f t="shared" si="29"/>
        <v/>
      </c>
      <c r="AC437" s="48" t="str">
        <f t="shared" si="29"/>
        <v/>
      </c>
      <c r="AD437" s="48" t="str">
        <f t="shared" si="29"/>
        <v/>
      </c>
      <c r="AE437" s="48" t="str">
        <f t="shared" si="27"/>
        <v/>
      </c>
    </row>
    <row r="438" spans="1:31" x14ac:dyDescent="0.25">
      <c r="A438" s="2"/>
      <c r="B438" s="2"/>
      <c r="C438" s="2"/>
      <c r="D438" s="2" t="str">
        <f>IF(ISBLANK(C438),"",VLOOKUP(C438,configuration!$G$7:$H$10,2,FALSE))</f>
        <v/>
      </c>
      <c r="E438" s="2"/>
      <c r="F438" s="2"/>
      <c r="G438" s="2"/>
      <c r="H438" s="2" t="str">
        <f>IF(ISBLANK(G438),"",VLOOKUP(G438,configuration!$J$7:$K$10,2,FALSE))</f>
        <v/>
      </c>
      <c r="I438" s="30"/>
      <c r="J438" s="2"/>
      <c r="K438" s="31"/>
      <c r="L438" s="35"/>
      <c r="M438" s="2" t="str">
        <f>IF(ISBLANK(L438),"",VLOOKUP(L438,configuration!$M$7:$N$10,2,FALSE))</f>
        <v/>
      </c>
      <c r="N438" s="30"/>
      <c r="O438" s="2"/>
      <c r="P438" s="31"/>
      <c r="Q438" s="54"/>
      <c r="R438" s="55" t="str">
        <f>IF(ISBLANK(Q438),"",VLOOKUP(Q438,configuration!$P$7:$Q$10,2,FALSE))</f>
        <v/>
      </c>
      <c r="S438" s="56"/>
      <c r="T438" s="55"/>
      <c r="U438" s="78"/>
      <c r="V438" s="76" t="str">
        <f t="shared" si="28"/>
        <v/>
      </c>
      <c r="W438" s="48" t="str">
        <f t="shared" si="28"/>
        <v/>
      </c>
      <c r="X438" s="48" t="str">
        <f t="shared" si="28"/>
        <v/>
      </c>
      <c r="Y438" s="48" t="str">
        <f t="shared" si="28"/>
        <v/>
      </c>
      <c r="Z438" s="49" t="str">
        <f t="shared" si="26"/>
        <v/>
      </c>
      <c r="AA438" s="50" t="str">
        <f t="shared" si="29"/>
        <v/>
      </c>
      <c r="AB438" s="48" t="str">
        <f t="shared" si="29"/>
        <v/>
      </c>
      <c r="AC438" s="48" t="str">
        <f t="shared" si="29"/>
        <v/>
      </c>
      <c r="AD438" s="48" t="str">
        <f t="shared" si="29"/>
        <v/>
      </c>
      <c r="AE438" s="48" t="str">
        <f t="shared" si="27"/>
        <v/>
      </c>
    </row>
    <row r="439" spans="1:31" x14ac:dyDescent="0.25">
      <c r="A439" s="2"/>
      <c r="B439" s="2"/>
      <c r="C439" s="2"/>
      <c r="D439" s="2" t="str">
        <f>IF(ISBLANK(C439),"",VLOOKUP(C439,configuration!$G$7:$H$10,2,FALSE))</f>
        <v/>
      </c>
      <c r="E439" s="2"/>
      <c r="F439" s="2"/>
      <c r="G439" s="2"/>
      <c r="H439" s="2" t="str">
        <f>IF(ISBLANK(G439),"",VLOOKUP(G439,configuration!$J$7:$K$10,2,FALSE))</f>
        <v/>
      </c>
      <c r="I439" s="30"/>
      <c r="J439" s="2"/>
      <c r="K439" s="31"/>
      <c r="L439" s="35"/>
      <c r="M439" s="2" t="str">
        <f>IF(ISBLANK(L439),"",VLOOKUP(L439,configuration!$M$7:$N$10,2,FALSE))</f>
        <v/>
      </c>
      <c r="N439" s="30"/>
      <c r="O439" s="2"/>
      <c r="P439" s="31"/>
      <c r="Q439" s="54"/>
      <c r="R439" s="55" t="str">
        <f>IF(ISBLANK(Q439),"",VLOOKUP(Q439,configuration!$P$7:$Q$10,2,FALSE))</f>
        <v/>
      </c>
      <c r="S439" s="56"/>
      <c r="T439" s="55"/>
      <c r="U439" s="78"/>
      <c r="V439" s="76" t="str">
        <f t="shared" si="28"/>
        <v/>
      </c>
      <c r="W439" s="48" t="str">
        <f t="shared" si="28"/>
        <v/>
      </c>
      <c r="X439" s="48" t="str">
        <f t="shared" si="28"/>
        <v/>
      </c>
      <c r="Y439" s="48" t="str">
        <f t="shared" si="28"/>
        <v/>
      </c>
      <c r="Z439" s="49" t="str">
        <f t="shared" si="26"/>
        <v/>
      </c>
      <c r="AA439" s="50" t="str">
        <f t="shared" si="29"/>
        <v/>
      </c>
      <c r="AB439" s="48" t="str">
        <f t="shared" si="29"/>
        <v/>
      </c>
      <c r="AC439" s="48" t="str">
        <f t="shared" si="29"/>
        <v/>
      </c>
      <c r="AD439" s="48" t="str">
        <f t="shared" si="29"/>
        <v/>
      </c>
      <c r="AE439" s="48" t="str">
        <f t="shared" si="27"/>
        <v/>
      </c>
    </row>
    <row r="440" spans="1:31" x14ac:dyDescent="0.25">
      <c r="A440" s="2"/>
      <c r="B440" s="2"/>
      <c r="C440" s="2"/>
      <c r="D440" s="2" t="str">
        <f>IF(ISBLANK(C440),"",VLOOKUP(C440,configuration!$G$7:$H$10,2,FALSE))</f>
        <v/>
      </c>
      <c r="E440" s="2"/>
      <c r="F440" s="2"/>
      <c r="G440" s="2"/>
      <c r="H440" s="2" t="str">
        <f>IF(ISBLANK(G440),"",VLOOKUP(G440,configuration!$J$7:$K$10,2,FALSE))</f>
        <v/>
      </c>
      <c r="I440" s="30"/>
      <c r="J440" s="2"/>
      <c r="K440" s="31"/>
      <c r="L440" s="35"/>
      <c r="M440" s="2" t="str">
        <f>IF(ISBLANK(L440),"",VLOOKUP(L440,configuration!$M$7:$N$10,2,FALSE))</f>
        <v/>
      </c>
      <c r="N440" s="30"/>
      <c r="O440" s="2"/>
      <c r="P440" s="31"/>
      <c r="Q440" s="54"/>
      <c r="R440" s="55" t="str">
        <f>IF(ISBLANK(Q440),"",VLOOKUP(Q440,configuration!$P$7:$Q$10,2,FALSE))</f>
        <v/>
      </c>
      <c r="S440" s="56"/>
      <c r="T440" s="55"/>
      <c r="U440" s="78"/>
      <c r="V440" s="76" t="str">
        <f t="shared" si="28"/>
        <v/>
      </c>
      <c r="W440" s="48" t="str">
        <f t="shared" si="28"/>
        <v/>
      </c>
      <c r="X440" s="48" t="str">
        <f t="shared" si="28"/>
        <v/>
      </c>
      <c r="Y440" s="48" t="str">
        <f t="shared" si="28"/>
        <v/>
      </c>
      <c r="Z440" s="49" t="str">
        <f t="shared" si="26"/>
        <v/>
      </c>
      <c r="AA440" s="50" t="str">
        <f t="shared" si="29"/>
        <v/>
      </c>
      <c r="AB440" s="48" t="str">
        <f t="shared" si="29"/>
        <v/>
      </c>
      <c r="AC440" s="48" t="str">
        <f t="shared" si="29"/>
        <v/>
      </c>
      <c r="AD440" s="48" t="str">
        <f t="shared" si="29"/>
        <v/>
      </c>
      <c r="AE440" s="48" t="str">
        <f t="shared" si="27"/>
        <v/>
      </c>
    </row>
    <row r="441" spans="1:31" x14ac:dyDescent="0.25">
      <c r="A441" s="2"/>
      <c r="B441" s="2"/>
      <c r="C441" s="2"/>
      <c r="D441" s="2" t="str">
        <f>IF(ISBLANK(C441),"",VLOOKUP(C441,configuration!$G$7:$H$10,2,FALSE))</f>
        <v/>
      </c>
      <c r="E441" s="2"/>
      <c r="F441" s="2"/>
      <c r="G441" s="2"/>
      <c r="H441" s="2" t="str">
        <f>IF(ISBLANK(G441),"",VLOOKUP(G441,configuration!$J$7:$K$10,2,FALSE))</f>
        <v/>
      </c>
      <c r="I441" s="30"/>
      <c r="J441" s="2"/>
      <c r="K441" s="31"/>
      <c r="L441" s="35"/>
      <c r="M441" s="2" t="str">
        <f>IF(ISBLANK(L441),"",VLOOKUP(L441,configuration!$M$7:$N$10,2,FALSE))</f>
        <v/>
      </c>
      <c r="N441" s="30"/>
      <c r="O441" s="2"/>
      <c r="P441" s="31"/>
      <c r="Q441" s="54"/>
      <c r="R441" s="55" t="str">
        <f>IF(ISBLANK(Q441),"",VLOOKUP(Q441,configuration!$P$7:$Q$10,2,FALSE))</f>
        <v/>
      </c>
      <c r="S441" s="56"/>
      <c r="T441" s="55"/>
      <c r="U441" s="78"/>
      <c r="V441" s="76" t="str">
        <f t="shared" si="28"/>
        <v/>
      </c>
      <c r="W441" s="48" t="str">
        <f t="shared" si="28"/>
        <v/>
      </c>
      <c r="X441" s="48" t="str">
        <f t="shared" si="28"/>
        <v/>
      </c>
      <c r="Y441" s="48" t="str">
        <f t="shared" si="28"/>
        <v/>
      </c>
      <c r="Z441" s="49" t="str">
        <f t="shared" si="26"/>
        <v/>
      </c>
      <c r="AA441" s="50" t="str">
        <f t="shared" si="29"/>
        <v/>
      </c>
      <c r="AB441" s="48" t="str">
        <f t="shared" si="29"/>
        <v/>
      </c>
      <c r="AC441" s="48" t="str">
        <f t="shared" si="29"/>
        <v/>
      </c>
      <c r="AD441" s="48" t="str">
        <f t="shared" si="29"/>
        <v/>
      </c>
      <c r="AE441" s="48" t="str">
        <f t="shared" si="27"/>
        <v/>
      </c>
    </row>
    <row r="442" spans="1:31" x14ac:dyDescent="0.25">
      <c r="A442" s="2"/>
      <c r="B442" s="2"/>
      <c r="C442" s="2"/>
      <c r="D442" s="2" t="str">
        <f>IF(ISBLANK(C442),"",VLOOKUP(C442,configuration!$G$7:$H$10,2,FALSE))</f>
        <v/>
      </c>
      <c r="E442" s="2"/>
      <c r="F442" s="2"/>
      <c r="G442" s="2"/>
      <c r="H442" s="2" t="str">
        <f>IF(ISBLANK(G442),"",VLOOKUP(G442,configuration!$J$7:$K$10,2,FALSE))</f>
        <v/>
      </c>
      <c r="I442" s="30"/>
      <c r="J442" s="2"/>
      <c r="K442" s="31"/>
      <c r="L442" s="35"/>
      <c r="M442" s="2" t="str">
        <f>IF(ISBLANK(L442),"",VLOOKUP(L442,configuration!$M$7:$N$10,2,FALSE))</f>
        <v/>
      </c>
      <c r="N442" s="30"/>
      <c r="O442" s="2"/>
      <c r="P442" s="31"/>
      <c r="Q442" s="54"/>
      <c r="R442" s="55" t="str">
        <f>IF(ISBLANK(Q442),"",VLOOKUP(Q442,configuration!$P$7:$Q$10,2,FALSE))</f>
        <v/>
      </c>
      <c r="S442" s="56"/>
      <c r="T442" s="55"/>
      <c r="U442" s="78"/>
      <c r="V442" s="76" t="str">
        <f t="shared" si="28"/>
        <v/>
      </c>
      <c r="W442" s="48" t="str">
        <f t="shared" si="28"/>
        <v/>
      </c>
      <c r="X442" s="48" t="str">
        <f t="shared" si="28"/>
        <v/>
      </c>
      <c r="Y442" s="48" t="str">
        <f t="shared" si="28"/>
        <v/>
      </c>
      <c r="Z442" s="49" t="str">
        <f t="shared" si="26"/>
        <v/>
      </c>
      <c r="AA442" s="50" t="str">
        <f t="shared" si="29"/>
        <v/>
      </c>
      <c r="AB442" s="48" t="str">
        <f t="shared" si="29"/>
        <v/>
      </c>
      <c r="AC442" s="48" t="str">
        <f t="shared" si="29"/>
        <v/>
      </c>
      <c r="AD442" s="48" t="str">
        <f t="shared" si="29"/>
        <v/>
      </c>
      <c r="AE442" s="48" t="str">
        <f t="shared" si="27"/>
        <v/>
      </c>
    </row>
    <row r="443" spans="1:31" x14ac:dyDescent="0.25">
      <c r="A443" s="2"/>
      <c r="B443" s="2"/>
      <c r="C443" s="2"/>
      <c r="D443" s="2" t="str">
        <f>IF(ISBLANK(C443),"",VLOOKUP(C443,configuration!$G$7:$H$10,2,FALSE))</f>
        <v/>
      </c>
      <c r="E443" s="2"/>
      <c r="F443" s="2"/>
      <c r="G443" s="2"/>
      <c r="H443" s="2" t="str">
        <f>IF(ISBLANK(G443),"",VLOOKUP(G443,configuration!$J$7:$K$10,2,FALSE))</f>
        <v/>
      </c>
      <c r="I443" s="30"/>
      <c r="J443" s="2"/>
      <c r="K443" s="31"/>
      <c r="L443" s="35"/>
      <c r="M443" s="2" t="str">
        <f>IF(ISBLANK(L443),"",VLOOKUP(L443,configuration!$M$7:$N$10,2,FALSE))</f>
        <v/>
      </c>
      <c r="N443" s="30"/>
      <c r="O443" s="2"/>
      <c r="P443" s="31"/>
      <c r="Q443" s="54"/>
      <c r="R443" s="55" t="str">
        <f>IF(ISBLANK(Q443),"",VLOOKUP(Q443,configuration!$P$7:$Q$10,2,FALSE))</f>
        <v/>
      </c>
      <c r="S443" s="56"/>
      <c r="T443" s="55"/>
      <c r="U443" s="78"/>
      <c r="V443" s="76" t="str">
        <f t="shared" si="28"/>
        <v/>
      </c>
      <c r="W443" s="48" t="str">
        <f t="shared" si="28"/>
        <v/>
      </c>
      <c r="X443" s="48" t="str">
        <f t="shared" si="28"/>
        <v/>
      </c>
      <c r="Y443" s="48" t="str">
        <f t="shared" si="28"/>
        <v/>
      </c>
      <c r="Z443" s="49" t="str">
        <f t="shared" si="26"/>
        <v/>
      </c>
      <c r="AA443" s="50" t="str">
        <f t="shared" si="29"/>
        <v/>
      </c>
      <c r="AB443" s="48" t="str">
        <f t="shared" si="29"/>
        <v/>
      </c>
      <c r="AC443" s="48" t="str">
        <f t="shared" si="29"/>
        <v/>
      </c>
      <c r="AD443" s="48" t="str">
        <f t="shared" si="29"/>
        <v/>
      </c>
      <c r="AE443" s="48" t="str">
        <f t="shared" si="27"/>
        <v/>
      </c>
    </row>
    <row r="444" spans="1:31" x14ac:dyDescent="0.25">
      <c r="A444" s="2"/>
      <c r="B444" s="2"/>
      <c r="C444" s="2"/>
      <c r="D444" s="2" t="str">
        <f>IF(ISBLANK(C444),"",VLOOKUP(C444,configuration!$G$7:$H$10,2,FALSE))</f>
        <v/>
      </c>
      <c r="E444" s="2"/>
      <c r="F444" s="2"/>
      <c r="G444" s="2"/>
      <c r="H444" s="2" t="str">
        <f>IF(ISBLANK(G444),"",VLOOKUP(G444,configuration!$J$7:$K$10,2,FALSE))</f>
        <v/>
      </c>
      <c r="I444" s="30"/>
      <c r="J444" s="2"/>
      <c r="K444" s="31"/>
      <c r="L444" s="35"/>
      <c r="M444" s="2" t="str">
        <f>IF(ISBLANK(L444),"",VLOOKUP(L444,configuration!$M$7:$N$10,2,FALSE))</f>
        <v/>
      </c>
      <c r="N444" s="30"/>
      <c r="O444" s="2"/>
      <c r="P444" s="31"/>
      <c r="Q444" s="54"/>
      <c r="R444" s="55" t="str">
        <f>IF(ISBLANK(Q444),"",VLOOKUP(Q444,configuration!$P$7:$Q$10,2,FALSE))</f>
        <v/>
      </c>
      <c r="S444" s="56"/>
      <c r="T444" s="55"/>
      <c r="U444" s="78"/>
      <c r="V444" s="76" t="str">
        <f t="shared" si="28"/>
        <v/>
      </c>
      <c r="W444" s="48" t="str">
        <f t="shared" si="28"/>
        <v/>
      </c>
      <c r="X444" s="48" t="str">
        <f t="shared" si="28"/>
        <v/>
      </c>
      <c r="Y444" s="48" t="str">
        <f t="shared" si="28"/>
        <v/>
      </c>
      <c r="Z444" s="49" t="str">
        <f t="shared" si="26"/>
        <v/>
      </c>
      <c r="AA444" s="50" t="str">
        <f t="shared" si="29"/>
        <v/>
      </c>
      <c r="AB444" s="48" t="str">
        <f t="shared" si="29"/>
        <v/>
      </c>
      <c r="AC444" s="48" t="str">
        <f t="shared" si="29"/>
        <v/>
      </c>
      <c r="AD444" s="48" t="str">
        <f t="shared" si="29"/>
        <v/>
      </c>
      <c r="AE444" s="48" t="str">
        <f t="shared" si="27"/>
        <v/>
      </c>
    </row>
    <row r="445" spans="1:31" x14ac:dyDescent="0.25">
      <c r="A445" s="2"/>
      <c r="B445" s="2"/>
      <c r="C445" s="2"/>
      <c r="D445" s="2" t="str">
        <f>IF(ISBLANK(C445),"",VLOOKUP(C445,configuration!$G$7:$H$10,2,FALSE))</f>
        <v/>
      </c>
      <c r="E445" s="2"/>
      <c r="F445" s="2"/>
      <c r="G445" s="2"/>
      <c r="H445" s="2" t="str">
        <f>IF(ISBLANK(G445),"",VLOOKUP(G445,configuration!$J$7:$K$10,2,FALSE))</f>
        <v/>
      </c>
      <c r="I445" s="30"/>
      <c r="J445" s="2"/>
      <c r="K445" s="31"/>
      <c r="L445" s="35"/>
      <c r="M445" s="2" t="str">
        <f>IF(ISBLANK(L445),"",VLOOKUP(L445,configuration!$M$7:$N$10,2,FALSE))</f>
        <v/>
      </c>
      <c r="N445" s="30"/>
      <c r="O445" s="2"/>
      <c r="P445" s="31"/>
      <c r="Q445" s="54"/>
      <c r="R445" s="55" t="str">
        <f>IF(ISBLANK(Q445),"",VLOOKUP(Q445,configuration!$P$7:$Q$10,2,FALSE))</f>
        <v/>
      </c>
      <c r="S445" s="56"/>
      <c r="T445" s="55"/>
      <c r="U445" s="78"/>
      <c r="V445" s="76" t="str">
        <f t="shared" si="28"/>
        <v/>
      </c>
      <c r="W445" s="48" t="str">
        <f t="shared" si="28"/>
        <v/>
      </c>
      <c r="X445" s="48" t="str">
        <f t="shared" si="28"/>
        <v/>
      </c>
      <c r="Y445" s="48" t="str">
        <f t="shared" si="28"/>
        <v/>
      </c>
      <c r="Z445" s="49" t="str">
        <f t="shared" si="26"/>
        <v/>
      </c>
      <c r="AA445" s="50" t="str">
        <f t="shared" si="29"/>
        <v/>
      </c>
      <c r="AB445" s="48" t="str">
        <f t="shared" si="29"/>
        <v/>
      </c>
      <c r="AC445" s="48" t="str">
        <f t="shared" si="29"/>
        <v/>
      </c>
      <c r="AD445" s="48" t="str">
        <f t="shared" si="29"/>
        <v/>
      </c>
      <c r="AE445" s="48" t="str">
        <f t="shared" si="27"/>
        <v/>
      </c>
    </row>
    <row r="446" spans="1:31" x14ac:dyDescent="0.25">
      <c r="A446" s="2"/>
      <c r="B446" s="2"/>
      <c r="C446" s="2"/>
      <c r="D446" s="2" t="str">
        <f>IF(ISBLANK(C446),"",VLOOKUP(C446,configuration!$G$7:$H$10,2,FALSE))</f>
        <v/>
      </c>
      <c r="E446" s="2"/>
      <c r="F446" s="2"/>
      <c r="G446" s="2"/>
      <c r="H446" s="2" t="str">
        <f>IF(ISBLANK(G446),"",VLOOKUP(G446,configuration!$J$7:$K$10,2,FALSE))</f>
        <v/>
      </c>
      <c r="I446" s="30"/>
      <c r="J446" s="2"/>
      <c r="K446" s="31"/>
      <c r="L446" s="35"/>
      <c r="M446" s="2" t="str">
        <f>IF(ISBLANK(L446),"",VLOOKUP(L446,configuration!$M$7:$N$10,2,FALSE))</f>
        <v/>
      </c>
      <c r="N446" s="30"/>
      <c r="O446" s="2"/>
      <c r="P446" s="31"/>
      <c r="Q446" s="54"/>
      <c r="R446" s="55" t="str">
        <f>IF(ISBLANK(Q446),"",VLOOKUP(Q446,configuration!$P$7:$Q$10,2,FALSE))</f>
        <v/>
      </c>
      <c r="S446" s="56"/>
      <c r="T446" s="55"/>
      <c r="U446" s="78"/>
      <c r="V446" s="76" t="str">
        <f t="shared" si="28"/>
        <v/>
      </c>
      <c r="W446" s="48" t="str">
        <f t="shared" si="28"/>
        <v/>
      </c>
      <c r="X446" s="48" t="str">
        <f t="shared" si="28"/>
        <v/>
      </c>
      <c r="Y446" s="48" t="str">
        <f t="shared" si="28"/>
        <v/>
      </c>
      <c r="Z446" s="49" t="str">
        <f t="shared" si="26"/>
        <v/>
      </c>
      <c r="AA446" s="50" t="str">
        <f t="shared" si="29"/>
        <v/>
      </c>
      <c r="AB446" s="48" t="str">
        <f t="shared" si="29"/>
        <v/>
      </c>
      <c r="AC446" s="48" t="str">
        <f t="shared" si="29"/>
        <v/>
      </c>
      <c r="AD446" s="48" t="str">
        <f t="shared" si="29"/>
        <v/>
      </c>
      <c r="AE446" s="48" t="str">
        <f t="shared" si="27"/>
        <v/>
      </c>
    </row>
    <row r="447" spans="1:31" x14ac:dyDescent="0.25">
      <c r="A447" s="2"/>
      <c r="B447" s="2"/>
      <c r="C447" s="2"/>
      <c r="D447" s="2" t="str">
        <f>IF(ISBLANK(C447),"",VLOOKUP(C447,configuration!$G$7:$H$10,2,FALSE))</f>
        <v/>
      </c>
      <c r="E447" s="2"/>
      <c r="F447" s="2"/>
      <c r="G447" s="2"/>
      <c r="H447" s="2" t="str">
        <f>IF(ISBLANK(G447),"",VLOOKUP(G447,configuration!$J$7:$K$10,2,FALSE))</f>
        <v/>
      </c>
      <c r="I447" s="30"/>
      <c r="J447" s="2"/>
      <c r="K447" s="31"/>
      <c r="L447" s="35"/>
      <c r="M447" s="2" t="str">
        <f>IF(ISBLANK(L447),"",VLOOKUP(L447,configuration!$M$7:$N$10,2,FALSE))</f>
        <v/>
      </c>
      <c r="N447" s="30"/>
      <c r="O447" s="2"/>
      <c r="P447" s="31"/>
      <c r="Q447" s="54"/>
      <c r="R447" s="55" t="str">
        <f>IF(ISBLANK(Q447),"",VLOOKUP(Q447,configuration!$P$7:$Q$10,2,FALSE))</f>
        <v/>
      </c>
      <c r="S447" s="56"/>
      <c r="T447" s="55"/>
      <c r="U447" s="78"/>
      <c r="V447" s="76" t="str">
        <f t="shared" si="28"/>
        <v/>
      </c>
      <c r="W447" s="48" t="str">
        <f t="shared" si="28"/>
        <v/>
      </c>
      <c r="X447" s="48" t="str">
        <f t="shared" si="28"/>
        <v/>
      </c>
      <c r="Y447" s="48" t="str">
        <f t="shared" si="28"/>
        <v/>
      </c>
      <c r="Z447" s="49" t="str">
        <f t="shared" si="26"/>
        <v/>
      </c>
      <c r="AA447" s="50" t="str">
        <f t="shared" si="29"/>
        <v/>
      </c>
      <c r="AB447" s="48" t="str">
        <f t="shared" si="29"/>
        <v/>
      </c>
      <c r="AC447" s="48" t="str">
        <f t="shared" si="29"/>
        <v/>
      </c>
      <c r="AD447" s="48" t="str">
        <f t="shared" si="29"/>
        <v/>
      </c>
      <c r="AE447" s="48" t="str">
        <f t="shared" si="27"/>
        <v/>
      </c>
    </row>
    <row r="448" spans="1:31" x14ac:dyDescent="0.25">
      <c r="A448" s="2"/>
      <c r="B448" s="2"/>
      <c r="C448" s="2"/>
      <c r="D448" s="2" t="str">
        <f>IF(ISBLANK(C448),"",VLOOKUP(C448,configuration!$G$7:$H$10,2,FALSE))</f>
        <v/>
      </c>
      <c r="E448" s="2"/>
      <c r="F448" s="2"/>
      <c r="G448" s="2"/>
      <c r="H448" s="2" t="str">
        <f>IF(ISBLANK(G448),"",VLOOKUP(G448,configuration!$J$7:$K$10,2,FALSE))</f>
        <v/>
      </c>
      <c r="I448" s="30"/>
      <c r="J448" s="2"/>
      <c r="K448" s="31"/>
      <c r="L448" s="35"/>
      <c r="M448" s="2" t="str">
        <f>IF(ISBLANK(L448),"",VLOOKUP(L448,configuration!$M$7:$N$10,2,FALSE))</f>
        <v/>
      </c>
      <c r="N448" s="30"/>
      <c r="O448" s="2"/>
      <c r="P448" s="31"/>
      <c r="Q448" s="54"/>
      <c r="R448" s="55" t="str">
        <f>IF(ISBLANK(Q448),"",VLOOKUP(Q448,configuration!$P$7:$Q$10,2,FALSE))</f>
        <v/>
      </c>
      <c r="S448" s="56"/>
      <c r="T448" s="55"/>
      <c r="U448" s="78"/>
      <c r="V448" s="76" t="str">
        <f t="shared" si="28"/>
        <v/>
      </c>
      <c r="W448" s="48" t="str">
        <f t="shared" si="28"/>
        <v/>
      </c>
      <c r="X448" s="48" t="str">
        <f t="shared" si="28"/>
        <v/>
      </c>
      <c r="Y448" s="48" t="str">
        <f t="shared" si="28"/>
        <v/>
      </c>
      <c r="Z448" s="49" t="str">
        <f t="shared" si="26"/>
        <v/>
      </c>
      <c r="AA448" s="50" t="str">
        <f t="shared" si="29"/>
        <v/>
      </c>
      <c r="AB448" s="48" t="str">
        <f t="shared" si="29"/>
        <v/>
      </c>
      <c r="AC448" s="48" t="str">
        <f t="shared" si="29"/>
        <v/>
      </c>
      <c r="AD448" s="48" t="str">
        <f t="shared" si="29"/>
        <v/>
      </c>
      <c r="AE448" s="48" t="str">
        <f t="shared" si="27"/>
        <v/>
      </c>
    </row>
    <row r="449" spans="1:31" x14ac:dyDescent="0.25">
      <c r="A449" s="2"/>
      <c r="B449" s="2"/>
      <c r="C449" s="2"/>
      <c r="D449" s="2" t="str">
        <f>IF(ISBLANK(C449),"",VLOOKUP(C449,configuration!$G$7:$H$10,2,FALSE))</f>
        <v/>
      </c>
      <c r="E449" s="2"/>
      <c r="F449" s="2"/>
      <c r="G449" s="2"/>
      <c r="H449" s="2" t="str">
        <f>IF(ISBLANK(G449),"",VLOOKUP(G449,configuration!$J$7:$K$10,2,FALSE))</f>
        <v/>
      </c>
      <c r="I449" s="30"/>
      <c r="J449" s="2"/>
      <c r="K449" s="31"/>
      <c r="L449" s="35"/>
      <c r="M449" s="2" t="str">
        <f>IF(ISBLANK(L449),"",VLOOKUP(L449,configuration!$M$7:$N$10,2,FALSE))</f>
        <v/>
      </c>
      <c r="N449" s="30"/>
      <c r="O449" s="2"/>
      <c r="P449" s="31"/>
      <c r="Q449" s="54"/>
      <c r="R449" s="55" t="str">
        <f>IF(ISBLANK(Q449),"",VLOOKUP(Q449,configuration!$P$7:$Q$10,2,FALSE))</f>
        <v/>
      </c>
      <c r="S449" s="56"/>
      <c r="T449" s="55"/>
      <c r="U449" s="78"/>
      <c r="V449" s="76" t="str">
        <f t="shared" si="28"/>
        <v/>
      </c>
      <c r="W449" s="48" t="str">
        <f t="shared" si="28"/>
        <v/>
      </c>
      <c r="X449" s="48" t="str">
        <f t="shared" si="28"/>
        <v/>
      </c>
      <c r="Y449" s="48" t="str">
        <f t="shared" si="28"/>
        <v/>
      </c>
      <c r="Z449" s="49" t="str">
        <f t="shared" si="26"/>
        <v/>
      </c>
      <c r="AA449" s="50" t="str">
        <f t="shared" si="29"/>
        <v/>
      </c>
      <c r="AB449" s="48" t="str">
        <f t="shared" si="29"/>
        <v/>
      </c>
      <c r="AC449" s="48" t="str">
        <f t="shared" si="29"/>
        <v/>
      </c>
      <c r="AD449" s="48" t="str">
        <f t="shared" si="29"/>
        <v/>
      </c>
      <c r="AE449" s="48" t="str">
        <f t="shared" si="27"/>
        <v/>
      </c>
    </row>
    <row r="450" spans="1:31" x14ac:dyDescent="0.25">
      <c r="A450" s="2"/>
      <c r="B450" s="2"/>
      <c r="C450" s="2"/>
      <c r="D450" s="2" t="str">
        <f>IF(ISBLANK(C450),"",VLOOKUP(C450,configuration!$G$7:$H$10,2,FALSE))</f>
        <v/>
      </c>
      <c r="E450" s="2"/>
      <c r="F450" s="2"/>
      <c r="G450" s="2"/>
      <c r="H450" s="2" t="str">
        <f>IF(ISBLANK(G450),"",VLOOKUP(G450,configuration!$J$7:$K$10,2,FALSE))</f>
        <v/>
      </c>
      <c r="I450" s="30"/>
      <c r="J450" s="2"/>
      <c r="K450" s="31"/>
      <c r="L450" s="35"/>
      <c r="M450" s="2" t="str">
        <f>IF(ISBLANK(L450),"",VLOOKUP(L450,configuration!$M$7:$N$10,2,FALSE))</f>
        <v/>
      </c>
      <c r="N450" s="30"/>
      <c r="O450" s="2"/>
      <c r="P450" s="31"/>
      <c r="Q450" s="54"/>
      <c r="R450" s="55" t="str">
        <f>IF(ISBLANK(Q450),"",VLOOKUP(Q450,configuration!$P$7:$Q$10,2,FALSE))</f>
        <v/>
      </c>
      <c r="S450" s="56"/>
      <c r="T450" s="55"/>
      <c r="U450" s="78"/>
      <c r="V450" s="76" t="str">
        <f t="shared" si="28"/>
        <v/>
      </c>
      <c r="W450" s="48" t="str">
        <f t="shared" si="28"/>
        <v/>
      </c>
      <c r="X450" s="48" t="str">
        <f t="shared" si="28"/>
        <v/>
      </c>
      <c r="Y450" s="48" t="str">
        <f t="shared" si="28"/>
        <v/>
      </c>
      <c r="Z450" s="49" t="str">
        <f t="shared" si="26"/>
        <v/>
      </c>
      <c r="AA450" s="50" t="str">
        <f t="shared" si="29"/>
        <v/>
      </c>
      <c r="AB450" s="48" t="str">
        <f t="shared" si="29"/>
        <v/>
      </c>
      <c r="AC450" s="48" t="str">
        <f t="shared" si="29"/>
        <v/>
      </c>
      <c r="AD450" s="48" t="str">
        <f t="shared" si="29"/>
        <v/>
      </c>
      <c r="AE450" s="48" t="str">
        <f t="shared" si="27"/>
        <v/>
      </c>
    </row>
    <row r="451" spans="1:31" x14ac:dyDescent="0.25">
      <c r="A451" s="2"/>
      <c r="B451" s="2"/>
      <c r="C451" s="2"/>
      <c r="D451" s="2" t="str">
        <f>IF(ISBLANK(C451),"",VLOOKUP(C451,configuration!$G$7:$H$10,2,FALSE))</f>
        <v/>
      </c>
      <c r="E451" s="2"/>
      <c r="F451" s="2"/>
      <c r="G451" s="2"/>
      <c r="H451" s="2" t="str">
        <f>IF(ISBLANK(G451),"",VLOOKUP(G451,configuration!$J$7:$K$10,2,FALSE))</f>
        <v/>
      </c>
      <c r="I451" s="30"/>
      <c r="J451" s="2"/>
      <c r="K451" s="31"/>
      <c r="L451" s="35"/>
      <c r="M451" s="2" t="str">
        <f>IF(ISBLANK(L451),"",VLOOKUP(L451,configuration!$M$7:$N$10,2,FALSE))</f>
        <v/>
      </c>
      <c r="N451" s="30"/>
      <c r="O451" s="2"/>
      <c r="P451" s="31"/>
      <c r="Q451" s="54"/>
      <c r="R451" s="55" t="str">
        <f>IF(ISBLANK(Q451),"",VLOOKUP(Q451,configuration!$P$7:$Q$10,2,FALSE))</f>
        <v/>
      </c>
      <c r="S451" s="56"/>
      <c r="T451" s="55"/>
      <c r="U451" s="78"/>
      <c r="V451" s="76" t="str">
        <f t="shared" si="28"/>
        <v/>
      </c>
      <c r="W451" s="48" t="str">
        <f t="shared" si="28"/>
        <v/>
      </c>
      <c r="X451" s="48" t="str">
        <f t="shared" si="28"/>
        <v/>
      </c>
      <c r="Y451" s="48" t="str">
        <f t="shared" si="28"/>
        <v/>
      </c>
      <c r="Z451" s="49" t="str">
        <f t="shared" si="26"/>
        <v/>
      </c>
      <c r="AA451" s="50" t="str">
        <f t="shared" si="29"/>
        <v/>
      </c>
      <c r="AB451" s="48" t="str">
        <f t="shared" si="29"/>
        <v/>
      </c>
      <c r="AC451" s="48" t="str">
        <f t="shared" si="29"/>
        <v/>
      </c>
      <c r="AD451" s="48" t="str">
        <f t="shared" si="29"/>
        <v/>
      </c>
      <c r="AE451" s="48" t="str">
        <f t="shared" si="27"/>
        <v/>
      </c>
    </row>
    <row r="452" spans="1:31" x14ac:dyDescent="0.25">
      <c r="A452" s="2"/>
      <c r="B452" s="2"/>
      <c r="C452" s="2"/>
      <c r="D452" s="2" t="str">
        <f>IF(ISBLANK(C452),"",VLOOKUP(C452,configuration!$G$7:$H$10,2,FALSE))</f>
        <v/>
      </c>
      <c r="E452" s="2"/>
      <c r="F452" s="2"/>
      <c r="G452" s="2"/>
      <c r="H452" s="2" t="str">
        <f>IF(ISBLANK(G452),"",VLOOKUP(G452,configuration!$J$7:$K$10,2,FALSE))</f>
        <v/>
      </c>
      <c r="I452" s="30"/>
      <c r="J452" s="2"/>
      <c r="K452" s="31"/>
      <c r="L452" s="35"/>
      <c r="M452" s="2" t="str">
        <f>IF(ISBLANK(L452),"",VLOOKUP(L452,configuration!$M$7:$N$10,2,FALSE))</f>
        <v/>
      </c>
      <c r="N452" s="30"/>
      <c r="O452" s="2"/>
      <c r="P452" s="31"/>
      <c r="Q452" s="54"/>
      <c r="R452" s="55" t="str">
        <f>IF(ISBLANK(Q452),"",VLOOKUP(Q452,configuration!$P$7:$Q$10,2,FALSE))</f>
        <v/>
      </c>
      <c r="S452" s="56"/>
      <c r="T452" s="55"/>
      <c r="U452" s="78"/>
      <c r="V452" s="76" t="str">
        <f t="shared" si="28"/>
        <v/>
      </c>
      <c r="W452" s="48" t="str">
        <f t="shared" si="28"/>
        <v/>
      </c>
      <c r="X452" s="48" t="str">
        <f t="shared" si="28"/>
        <v/>
      </c>
      <c r="Y452" s="48" t="str">
        <f t="shared" si="28"/>
        <v/>
      </c>
      <c r="Z452" s="49" t="str">
        <f t="shared" si="26"/>
        <v/>
      </c>
      <c r="AA452" s="50" t="str">
        <f t="shared" si="29"/>
        <v/>
      </c>
      <c r="AB452" s="48" t="str">
        <f t="shared" si="29"/>
        <v/>
      </c>
      <c r="AC452" s="48" t="str">
        <f t="shared" si="29"/>
        <v/>
      </c>
      <c r="AD452" s="48" t="str">
        <f t="shared" si="29"/>
        <v/>
      </c>
      <c r="AE452" s="48" t="str">
        <f t="shared" si="27"/>
        <v/>
      </c>
    </row>
    <row r="453" spans="1:31" x14ac:dyDescent="0.25">
      <c r="A453" s="2"/>
      <c r="B453" s="2"/>
      <c r="C453" s="2"/>
      <c r="D453" s="2" t="str">
        <f>IF(ISBLANK(C453),"",VLOOKUP(C453,configuration!$G$7:$H$10,2,FALSE))</f>
        <v/>
      </c>
      <c r="E453" s="2"/>
      <c r="F453" s="2"/>
      <c r="G453" s="2"/>
      <c r="H453" s="2" t="str">
        <f>IF(ISBLANK(G453),"",VLOOKUP(G453,configuration!$J$7:$K$10,2,FALSE))</f>
        <v/>
      </c>
      <c r="I453" s="30"/>
      <c r="J453" s="2"/>
      <c r="K453" s="31"/>
      <c r="L453" s="35"/>
      <c r="M453" s="2" t="str">
        <f>IF(ISBLANK(L453),"",VLOOKUP(L453,configuration!$M$7:$N$10,2,FALSE))</f>
        <v/>
      </c>
      <c r="N453" s="30"/>
      <c r="O453" s="2"/>
      <c r="P453" s="31"/>
      <c r="Q453" s="54"/>
      <c r="R453" s="55" t="str">
        <f>IF(ISBLANK(Q453),"",VLOOKUP(Q453,configuration!$P$7:$Q$10,2,FALSE))</f>
        <v/>
      </c>
      <c r="S453" s="56"/>
      <c r="T453" s="55"/>
      <c r="U453" s="78"/>
      <c r="V453" s="76" t="str">
        <f t="shared" si="28"/>
        <v/>
      </c>
      <c r="W453" s="48" t="str">
        <f t="shared" si="28"/>
        <v/>
      </c>
      <c r="X453" s="48" t="str">
        <f t="shared" si="28"/>
        <v/>
      </c>
      <c r="Y453" s="48" t="str">
        <f t="shared" si="28"/>
        <v/>
      </c>
      <c r="Z453" s="49" t="str">
        <f t="shared" si="26"/>
        <v/>
      </c>
      <c r="AA453" s="50" t="str">
        <f t="shared" si="29"/>
        <v/>
      </c>
      <c r="AB453" s="48" t="str">
        <f t="shared" si="29"/>
        <v/>
      </c>
      <c r="AC453" s="48" t="str">
        <f t="shared" si="29"/>
        <v/>
      </c>
      <c r="AD453" s="48" t="str">
        <f t="shared" si="29"/>
        <v/>
      </c>
      <c r="AE453" s="48" t="str">
        <f t="shared" si="27"/>
        <v/>
      </c>
    </row>
    <row r="454" spans="1:31" x14ac:dyDescent="0.25">
      <c r="A454" s="2"/>
      <c r="B454" s="2"/>
      <c r="C454" s="2"/>
      <c r="D454" s="2" t="str">
        <f>IF(ISBLANK(C454),"",VLOOKUP(C454,configuration!$G$7:$H$10,2,FALSE))</f>
        <v/>
      </c>
      <c r="E454" s="2"/>
      <c r="F454" s="2"/>
      <c r="G454" s="2"/>
      <c r="H454" s="2" t="str">
        <f>IF(ISBLANK(G454),"",VLOOKUP(G454,configuration!$J$7:$K$10,2,FALSE))</f>
        <v/>
      </c>
      <c r="I454" s="30"/>
      <c r="J454" s="2"/>
      <c r="K454" s="31"/>
      <c r="L454" s="35"/>
      <c r="M454" s="2" t="str">
        <f>IF(ISBLANK(L454),"",VLOOKUP(L454,configuration!$M$7:$N$10,2,FALSE))</f>
        <v/>
      </c>
      <c r="N454" s="30"/>
      <c r="O454" s="2"/>
      <c r="P454" s="31"/>
      <c r="Q454" s="54"/>
      <c r="R454" s="55" t="str">
        <f>IF(ISBLANK(Q454),"",VLOOKUP(Q454,configuration!$P$7:$Q$10,2,FALSE))</f>
        <v/>
      </c>
      <c r="S454" s="56"/>
      <c r="T454" s="55"/>
      <c r="U454" s="78"/>
      <c r="V454" s="76" t="str">
        <f t="shared" si="28"/>
        <v/>
      </c>
      <c r="W454" s="48" t="str">
        <f t="shared" si="28"/>
        <v/>
      </c>
      <c r="X454" s="48" t="str">
        <f t="shared" si="28"/>
        <v/>
      </c>
      <c r="Y454" s="48" t="str">
        <f t="shared" si="28"/>
        <v/>
      </c>
      <c r="Z454" s="49" t="str">
        <f t="shared" ref="Z454:Z517" si="30">IF(AND($G454="",A454&lt;&gt;""),1,"")</f>
        <v/>
      </c>
      <c r="AA454" s="50" t="str">
        <f t="shared" si="29"/>
        <v/>
      </c>
      <c r="AB454" s="48" t="str">
        <f t="shared" si="29"/>
        <v/>
      </c>
      <c r="AC454" s="48" t="str">
        <f t="shared" si="29"/>
        <v/>
      </c>
      <c r="AD454" s="48" t="str">
        <f t="shared" si="29"/>
        <v/>
      </c>
      <c r="AE454" s="48" t="str">
        <f t="shared" ref="AE454:AE517" si="31">IF(AND($L454="",A454&lt;&gt;""),1,"")</f>
        <v/>
      </c>
    </row>
    <row r="455" spans="1:31" x14ac:dyDescent="0.25">
      <c r="A455" s="2"/>
      <c r="B455" s="2"/>
      <c r="C455" s="2"/>
      <c r="D455" s="2" t="str">
        <f>IF(ISBLANK(C455),"",VLOOKUP(C455,configuration!$G$7:$H$10,2,FALSE))</f>
        <v/>
      </c>
      <c r="E455" s="2"/>
      <c r="F455" s="2"/>
      <c r="G455" s="2"/>
      <c r="H455" s="2" t="str">
        <f>IF(ISBLANK(G455),"",VLOOKUP(G455,configuration!$J$7:$K$10,2,FALSE))</f>
        <v/>
      </c>
      <c r="I455" s="30"/>
      <c r="J455" s="2"/>
      <c r="K455" s="31"/>
      <c r="L455" s="35"/>
      <c r="M455" s="2" t="str">
        <f>IF(ISBLANK(L455),"",VLOOKUP(L455,configuration!$M$7:$N$10,2,FALSE))</f>
        <v/>
      </c>
      <c r="N455" s="30"/>
      <c r="O455" s="2"/>
      <c r="P455" s="31"/>
      <c r="Q455" s="54"/>
      <c r="R455" s="55" t="str">
        <f>IF(ISBLANK(Q455),"",VLOOKUP(Q455,configuration!$P$7:$Q$10,2,FALSE))</f>
        <v/>
      </c>
      <c r="S455" s="56"/>
      <c r="T455" s="55"/>
      <c r="U455" s="78"/>
      <c r="V455" s="76" t="str">
        <f t="shared" si="28"/>
        <v/>
      </c>
      <c r="W455" s="48" t="str">
        <f t="shared" si="28"/>
        <v/>
      </c>
      <c r="X455" s="48" t="str">
        <f t="shared" si="28"/>
        <v/>
      </c>
      <c r="Y455" s="48" t="str">
        <f t="shared" si="28"/>
        <v/>
      </c>
      <c r="Z455" s="49" t="str">
        <f t="shared" si="30"/>
        <v/>
      </c>
      <c r="AA455" s="50" t="str">
        <f t="shared" si="29"/>
        <v/>
      </c>
      <c r="AB455" s="48" t="str">
        <f t="shared" si="29"/>
        <v/>
      </c>
      <c r="AC455" s="48" t="str">
        <f t="shared" si="29"/>
        <v/>
      </c>
      <c r="AD455" s="48" t="str">
        <f t="shared" si="29"/>
        <v/>
      </c>
      <c r="AE455" s="48" t="str">
        <f t="shared" si="31"/>
        <v/>
      </c>
    </row>
    <row r="456" spans="1:31" x14ac:dyDescent="0.25">
      <c r="A456" s="2"/>
      <c r="B456" s="2"/>
      <c r="C456" s="2"/>
      <c r="D456" s="2" t="str">
        <f>IF(ISBLANK(C456),"",VLOOKUP(C456,configuration!$G$7:$H$10,2,FALSE))</f>
        <v/>
      </c>
      <c r="E456" s="2"/>
      <c r="F456" s="2"/>
      <c r="G456" s="2"/>
      <c r="H456" s="2" t="str">
        <f>IF(ISBLANK(G456),"",VLOOKUP(G456,configuration!$J$7:$K$10,2,FALSE))</f>
        <v/>
      </c>
      <c r="I456" s="30"/>
      <c r="J456" s="2"/>
      <c r="K456" s="31"/>
      <c r="L456" s="35"/>
      <c r="M456" s="2" t="str">
        <f>IF(ISBLANK(L456),"",VLOOKUP(L456,configuration!$M$7:$N$10,2,FALSE))</f>
        <v/>
      </c>
      <c r="N456" s="30"/>
      <c r="O456" s="2"/>
      <c r="P456" s="31"/>
      <c r="Q456" s="54"/>
      <c r="R456" s="55" t="str">
        <f>IF(ISBLANK(Q456),"",VLOOKUP(Q456,configuration!$P$7:$Q$10,2,FALSE))</f>
        <v/>
      </c>
      <c r="S456" s="56"/>
      <c r="T456" s="55"/>
      <c r="U456" s="78"/>
      <c r="V456" s="76" t="str">
        <f t="shared" si="28"/>
        <v/>
      </c>
      <c r="W456" s="48" t="str">
        <f t="shared" si="28"/>
        <v/>
      </c>
      <c r="X456" s="48" t="str">
        <f t="shared" si="28"/>
        <v/>
      </c>
      <c r="Y456" s="48" t="str">
        <f t="shared" si="28"/>
        <v/>
      </c>
      <c r="Z456" s="49" t="str">
        <f t="shared" si="30"/>
        <v/>
      </c>
      <c r="AA456" s="50" t="str">
        <f t="shared" si="29"/>
        <v/>
      </c>
      <c r="AB456" s="48" t="str">
        <f t="shared" si="29"/>
        <v/>
      </c>
      <c r="AC456" s="48" t="str">
        <f t="shared" si="29"/>
        <v/>
      </c>
      <c r="AD456" s="48" t="str">
        <f t="shared" si="29"/>
        <v/>
      </c>
      <c r="AE456" s="48" t="str">
        <f t="shared" si="31"/>
        <v/>
      </c>
    </row>
    <row r="457" spans="1:31" x14ac:dyDescent="0.25">
      <c r="A457" s="2"/>
      <c r="B457" s="2"/>
      <c r="C457" s="2"/>
      <c r="D457" s="2" t="str">
        <f>IF(ISBLANK(C457),"",VLOOKUP(C457,configuration!$G$7:$H$10,2,FALSE))</f>
        <v/>
      </c>
      <c r="E457" s="2"/>
      <c r="F457" s="2"/>
      <c r="G457" s="2"/>
      <c r="H457" s="2" t="str">
        <f>IF(ISBLANK(G457),"",VLOOKUP(G457,configuration!$J$7:$K$10,2,FALSE))</f>
        <v/>
      </c>
      <c r="I457" s="30"/>
      <c r="J457" s="2"/>
      <c r="K457" s="31"/>
      <c r="L457" s="35"/>
      <c r="M457" s="2" t="str">
        <f>IF(ISBLANK(L457),"",VLOOKUP(L457,configuration!$M$7:$N$10,2,FALSE))</f>
        <v/>
      </c>
      <c r="N457" s="30"/>
      <c r="O457" s="2"/>
      <c r="P457" s="31"/>
      <c r="Q457" s="54"/>
      <c r="R457" s="55" t="str">
        <f>IF(ISBLANK(Q457),"",VLOOKUP(Q457,configuration!$P$7:$Q$10,2,FALSE))</f>
        <v/>
      </c>
      <c r="S457" s="56"/>
      <c r="T457" s="55"/>
      <c r="U457" s="78"/>
      <c r="V457" s="76" t="str">
        <f t="shared" si="28"/>
        <v/>
      </c>
      <c r="W457" s="48" t="str">
        <f t="shared" si="28"/>
        <v/>
      </c>
      <c r="X457" s="48" t="str">
        <f t="shared" si="28"/>
        <v/>
      </c>
      <c r="Y457" s="48" t="str">
        <f t="shared" si="28"/>
        <v/>
      </c>
      <c r="Z457" s="49" t="str">
        <f t="shared" si="30"/>
        <v/>
      </c>
      <c r="AA457" s="50" t="str">
        <f t="shared" si="29"/>
        <v/>
      </c>
      <c r="AB457" s="48" t="str">
        <f t="shared" si="29"/>
        <v/>
      </c>
      <c r="AC457" s="48" t="str">
        <f t="shared" si="29"/>
        <v/>
      </c>
      <c r="AD457" s="48" t="str">
        <f t="shared" si="29"/>
        <v/>
      </c>
      <c r="AE457" s="48" t="str">
        <f t="shared" si="31"/>
        <v/>
      </c>
    </row>
    <row r="458" spans="1:31" x14ac:dyDescent="0.25">
      <c r="A458" s="2"/>
      <c r="B458" s="2"/>
      <c r="C458" s="2"/>
      <c r="D458" s="2" t="str">
        <f>IF(ISBLANK(C458),"",VLOOKUP(C458,configuration!$G$7:$H$10,2,FALSE))</f>
        <v/>
      </c>
      <c r="E458" s="2"/>
      <c r="F458" s="2"/>
      <c r="G458" s="2"/>
      <c r="H458" s="2" t="str">
        <f>IF(ISBLANK(G458),"",VLOOKUP(G458,configuration!$J$7:$K$10,2,FALSE))</f>
        <v/>
      </c>
      <c r="I458" s="30"/>
      <c r="J458" s="2"/>
      <c r="K458" s="31"/>
      <c r="L458" s="35"/>
      <c r="M458" s="2" t="str">
        <f>IF(ISBLANK(L458),"",VLOOKUP(L458,configuration!$M$7:$N$10,2,FALSE))</f>
        <v/>
      </c>
      <c r="N458" s="30"/>
      <c r="O458" s="2"/>
      <c r="P458" s="31"/>
      <c r="Q458" s="54"/>
      <c r="R458" s="55" t="str">
        <f>IF(ISBLANK(Q458),"",VLOOKUP(Q458,configuration!$P$7:$Q$10,2,FALSE))</f>
        <v/>
      </c>
      <c r="S458" s="56"/>
      <c r="T458" s="55"/>
      <c r="U458" s="78"/>
      <c r="V458" s="76" t="str">
        <f t="shared" si="28"/>
        <v/>
      </c>
      <c r="W458" s="48" t="str">
        <f t="shared" si="28"/>
        <v/>
      </c>
      <c r="X458" s="48" t="str">
        <f t="shared" si="28"/>
        <v/>
      </c>
      <c r="Y458" s="48" t="str">
        <f t="shared" si="28"/>
        <v/>
      </c>
      <c r="Z458" s="49" t="str">
        <f t="shared" si="30"/>
        <v/>
      </c>
      <c r="AA458" s="50" t="str">
        <f t="shared" si="29"/>
        <v/>
      </c>
      <c r="AB458" s="48" t="str">
        <f t="shared" si="29"/>
        <v/>
      </c>
      <c r="AC458" s="48" t="str">
        <f t="shared" si="29"/>
        <v/>
      </c>
      <c r="AD458" s="48" t="str">
        <f t="shared" si="29"/>
        <v/>
      </c>
      <c r="AE458" s="48" t="str">
        <f t="shared" si="31"/>
        <v/>
      </c>
    </row>
    <row r="459" spans="1:31" x14ac:dyDescent="0.25">
      <c r="A459" s="2"/>
      <c r="B459" s="2"/>
      <c r="C459" s="2"/>
      <c r="D459" s="2" t="str">
        <f>IF(ISBLANK(C459),"",VLOOKUP(C459,configuration!$G$7:$H$10,2,FALSE))</f>
        <v/>
      </c>
      <c r="E459" s="2"/>
      <c r="F459" s="2"/>
      <c r="G459" s="2"/>
      <c r="H459" s="2" t="str">
        <f>IF(ISBLANK(G459),"",VLOOKUP(G459,configuration!$J$7:$K$10,2,FALSE))</f>
        <v/>
      </c>
      <c r="I459" s="30"/>
      <c r="J459" s="2"/>
      <c r="K459" s="31"/>
      <c r="L459" s="35"/>
      <c r="M459" s="2" t="str">
        <f>IF(ISBLANK(L459),"",VLOOKUP(L459,configuration!$M$7:$N$10,2,FALSE))</f>
        <v/>
      </c>
      <c r="N459" s="30"/>
      <c r="O459" s="2"/>
      <c r="P459" s="31"/>
      <c r="Q459" s="54"/>
      <c r="R459" s="55" t="str">
        <f>IF(ISBLANK(Q459),"",VLOOKUP(Q459,configuration!$P$7:$Q$10,2,FALSE))</f>
        <v/>
      </c>
      <c r="S459" s="56"/>
      <c r="T459" s="55"/>
      <c r="U459" s="78"/>
      <c r="V459" s="76" t="str">
        <f t="shared" si="28"/>
        <v/>
      </c>
      <c r="W459" s="48" t="str">
        <f t="shared" si="28"/>
        <v/>
      </c>
      <c r="X459" s="48" t="str">
        <f t="shared" si="28"/>
        <v/>
      </c>
      <c r="Y459" s="48" t="str">
        <f t="shared" si="28"/>
        <v/>
      </c>
      <c r="Z459" s="49" t="str">
        <f t="shared" si="30"/>
        <v/>
      </c>
      <c r="AA459" s="50" t="str">
        <f t="shared" si="29"/>
        <v/>
      </c>
      <c r="AB459" s="48" t="str">
        <f t="shared" si="29"/>
        <v/>
      </c>
      <c r="AC459" s="48" t="str">
        <f t="shared" si="29"/>
        <v/>
      </c>
      <c r="AD459" s="48" t="str">
        <f t="shared" si="29"/>
        <v/>
      </c>
      <c r="AE459" s="48" t="str">
        <f t="shared" si="31"/>
        <v/>
      </c>
    </row>
    <row r="460" spans="1:31" x14ac:dyDescent="0.25">
      <c r="A460" s="2"/>
      <c r="B460" s="2"/>
      <c r="C460" s="2"/>
      <c r="D460" s="2" t="str">
        <f>IF(ISBLANK(C460),"",VLOOKUP(C460,configuration!$G$7:$H$10,2,FALSE))</f>
        <v/>
      </c>
      <c r="E460" s="2"/>
      <c r="F460" s="2"/>
      <c r="G460" s="2"/>
      <c r="H460" s="2" t="str">
        <f>IF(ISBLANK(G460),"",VLOOKUP(G460,configuration!$J$7:$K$10,2,FALSE))</f>
        <v/>
      </c>
      <c r="I460" s="30"/>
      <c r="J460" s="2"/>
      <c r="K460" s="31"/>
      <c r="L460" s="35"/>
      <c r="M460" s="2" t="str">
        <f>IF(ISBLANK(L460),"",VLOOKUP(L460,configuration!$M$7:$N$10,2,FALSE))</f>
        <v/>
      </c>
      <c r="N460" s="30"/>
      <c r="O460" s="2"/>
      <c r="P460" s="31"/>
      <c r="Q460" s="54"/>
      <c r="R460" s="55" t="str">
        <f>IF(ISBLANK(Q460),"",VLOOKUP(Q460,configuration!$P$7:$Q$10,2,FALSE))</f>
        <v/>
      </c>
      <c r="S460" s="56"/>
      <c r="T460" s="55"/>
      <c r="U460" s="78"/>
      <c r="V460" s="76" t="str">
        <f t="shared" si="28"/>
        <v/>
      </c>
      <c r="W460" s="48" t="str">
        <f t="shared" si="28"/>
        <v/>
      </c>
      <c r="X460" s="48" t="str">
        <f t="shared" si="28"/>
        <v/>
      </c>
      <c r="Y460" s="48" t="str">
        <f t="shared" si="28"/>
        <v/>
      </c>
      <c r="Z460" s="49" t="str">
        <f t="shared" si="30"/>
        <v/>
      </c>
      <c r="AA460" s="50" t="str">
        <f t="shared" si="29"/>
        <v/>
      </c>
      <c r="AB460" s="48" t="str">
        <f t="shared" si="29"/>
        <v/>
      </c>
      <c r="AC460" s="48" t="str">
        <f t="shared" si="29"/>
        <v/>
      </c>
      <c r="AD460" s="48" t="str">
        <f t="shared" si="29"/>
        <v/>
      </c>
      <c r="AE460" s="48" t="str">
        <f t="shared" si="31"/>
        <v/>
      </c>
    </row>
    <row r="461" spans="1:31" x14ac:dyDescent="0.25">
      <c r="A461" s="2"/>
      <c r="B461" s="2"/>
      <c r="C461" s="2"/>
      <c r="D461" s="2" t="str">
        <f>IF(ISBLANK(C461),"",VLOOKUP(C461,configuration!$G$7:$H$10,2,FALSE))</f>
        <v/>
      </c>
      <c r="E461" s="2"/>
      <c r="F461" s="2"/>
      <c r="G461" s="2"/>
      <c r="H461" s="2" t="str">
        <f>IF(ISBLANK(G461),"",VLOOKUP(G461,configuration!$J$7:$K$10,2,FALSE))</f>
        <v/>
      </c>
      <c r="I461" s="30"/>
      <c r="J461" s="2"/>
      <c r="K461" s="31"/>
      <c r="L461" s="35"/>
      <c r="M461" s="2" t="str">
        <f>IF(ISBLANK(L461),"",VLOOKUP(L461,configuration!$M$7:$N$10,2,FALSE))</f>
        <v/>
      </c>
      <c r="N461" s="30"/>
      <c r="O461" s="2"/>
      <c r="P461" s="31"/>
      <c r="Q461" s="54"/>
      <c r="R461" s="55" t="str">
        <f>IF(ISBLANK(Q461),"",VLOOKUP(Q461,configuration!$P$7:$Q$10,2,FALSE))</f>
        <v/>
      </c>
      <c r="S461" s="56"/>
      <c r="T461" s="55"/>
      <c r="U461" s="78"/>
      <c r="V461" s="76" t="str">
        <f t="shared" si="28"/>
        <v/>
      </c>
      <c r="W461" s="48" t="str">
        <f t="shared" si="28"/>
        <v/>
      </c>
      <c r="X461" s="48" t="str">
        <f t="shared" si="28"/>
        <v/>
      </c>
      <c r="Y461" s="48" t="str">
        <f t="shared" si="28"/>
        <v/>
      </c>
      <c r="Z461" s="49" t="str">
        <f t="shared" si="30"/>
        <v/>
      </c>
      <c r="AA461" s="50" t="str">
        <f t="shared" si="29"/>
        <v/>
      </c>
      <c r="AB461" s="48" t="str">
        <f t="shared" si="29"/>
        <v/>
      </c>
      <c r="AC461" s="48" t="str">
        <f t="shared" si="29"/>
        <v/>
      </c>
      <c r="AD461" s="48" t="str">
        <f t="shared" si="29"/>
        <v/>
      </c>
      <c r="AE461" s="48" t="str">
        <f t="shared" si="31"/>
        <v/>
      </c>
    </row>
    <row r="462" spans="1:31" x14ac:dyDescent="0.25">
      <c r="A462" s="2"/>
      <c r="B462" s="2"/>
      <c r="C462" s="2"/>
      <c r="D462" s="2" t="str">
        <f>IF(ISBLANK(C462),"",VLOOKUP(C462,configuration!$G$7:$H$10,2,FALSE))</f>
        <v/>
      </c>
      <c r="E462" s="2"/>
      <c r="F462" s="2"/>
      <c r="G462" s="2"/>
      <c r="H462" s="2" t="str">
        <f>IF(ISBLANK(G462),"",VLOOKUP(G462,configuration!$J$7:$K$10,2,FALSE))</f>
        <v/>
      </c>
      <c r="I462" s="30"/>
      <c r="J462" s="2"/>
      <c r="K462" s="31"/>
      <c r="L462" s="35"/>
      <c r="M462" s="2" t="str">
        <f>IF(ISBLANK(L462),"",VLOOKUP(L462,configuration!$M$7:$N$10,2,FALSE))</f>
        <v/>
      </c>
      <c r="N462" s="30"/>
      <c r="O462" s="2"/>
      <c r="P462" s="31"/>
      <c r="Q462" s="54"/>
      <c r="R462" s="55" t="str">
        <f>IF(ISBLANK(Q462),"",VLOOKUP(Q462,configuration!$P$7:$Q$10,2,FALSE))</f>
        <v/>
      </c>
      <c r="S462" s="56"/>
      <c r="T462" s="55"/>
      <c r="U462" s="78"/>
      <c r="V462" s="76" t="str">
        <f t="shared" si="28"/>
        <v/>
      </c>
      <c r="W462" s="48" t="str">
        <f t="shared" si="28"/>
        <v/>
      </c>
      <c r="X462" s="48" t="str">
        <f t="shared" si="28"/>
        <v/>
      </c>
      <c r="Y462" s="48" t="str">
        <f t="shared" si="28"/>
        <v/>
      </c>
      <c r="Z462" s="49" t="str">
        <f t="shared" si="30"/>
        <v/>
      </c>
      <c r="AA462" s="50" t="str">
        <f t="shared" si="29"/>
        <v/>
      </c>
      <c r="AB462" s="48" t="str">
        <f t="shared" si="29"/>
        <v/>
      </c>
      <c r="AC462" s="48" t="str">
        <f t="shared" si="29"/>
        <v/>
      </c>
      <c r="AD462" s="48" t="str">
        <f t="shared" si="29"/>
        <v/>
      </c>
      <c r="AE462" s="48" t="str">
        <f t="shared" si="31"/>
        <v/>
      </c>
    </row>
    <row r="463" spans="1:31" x14ac:dyDescent="0.25">
      <c r="A463" s="2"/>
      <c r="B463" s="2"/>
      <c r="C463" s="2"/>
      <c r="D463" s="2" t="str">
        <f>IF(ISBLANK(C463),"",VLOOKUP(C463,configuration!$G$7:$H$10,2,FALSE))</f>
        <v/>
      </c>
      <c r="E463" s="2"/>
      <c r="F463" s="2"/>
      <c r="G463" s="2"/>
      <c r="H463" s="2" t="str">
        <f>IF(ISBLANK(G463),"",VLOOKUP(G463,configuration!$J$7:$K$10,2,FALSE))</f>
        <v/>
      </c>
      <c r="I463" s="30"/>
      <c r="J463" s="2"/>
      <c r="K463" s="31"/>
      <c r="L463" s="35"/>
      <c r="M463" s="2" t="str">
        <f>IF(ISBLANK(L463),"",VLOOKUP(L463,configuration!$M$7:$N$10,2,FALSE))</f>
        <v/>
      </c>
      <c r="N463" s="30"/>
      <c r="O463" s="2"/>
      <c r="P463" s="31"/>
      <c r="Q463" s="54"/>
      <c r="R463" s="55" t="str">
        <f>IF(ISBLANK(Q463),"",VLOOKUP(Q463,configuration!$P$7:$Q$10,2,FALSE))</f>
        <v/>
      </c>
      <c r="S463" s="56"/>
      <c r="T463" s="55"/>
      <c r="U463" s="78"/>
      <c r="V463" s="76" t="str">
        <f t="shared" si="28"/>
        <v/>
      </c>
      <c r="W463" s="48" t="str">
        <f t="shared" si="28"/>
        <v/>
      </c>
      <c r="X463" s="48" t="str">
        <f t="shared" si="28"/>
        <v/>
      </c>
      <c r="Y463" s="48" t="str">
        <f t="shared" si="28"/>
        <v/>
      </c>
      <c r="Z463" s="49" t="str">
        <f t="shared" si="30"/>
        <v/>
      </c>
      <c r="AA463" s="50" t="str">
        <f t="shared" si="29"/>
        <v/>
      </c>
      <c r="AB463" s="48" t="str">
        <f t="shared" si="29"/>
        <v/>
      </c>
      <c r="AC463" s="48" t="str">
        <f t="shared" si="29"/>
        <v/>
      </c>
      <c r="AD463" s="48" t="str">
        <f t="shared" si="29"/>
        <v/>
      </c>
      <c r="AE463" s="48" t="str">
        <f t="shared" si="31"/>
        <v/>
      </c>
    </row>
    <row r="464" spans="1:31" x14ac:dyDescent="0.25">
      <c r="A464" s="2"/>
      <c r="B464" s="2"/>
      <c r="C464" s="2"/>
      <c r="D464" s="2" t="str">
        <f>IF(ISBLANK(C464),"",VLOOKUP(C464,configuration!$G$7:$H$10,2,FALSE))</f>
        <v/>
      </c>
      <c r="E464" s="2"/>
      <c r="F464" s="2"/>
      <c r="G464" s="2"/>
      <c r="H464" s="2" t="str">
        <f>IF(ISBLANK(G464),"",VLOOKUP(G464,configuration!$J$7:$K$10,2,FALSE))</f>
        <v/>
      </c>
      <c r="I464" s="30"/>
      <c r="J464" s="2"/>
      <c r="K464" s="31"/>
      <c r="L464" s="35"/>
      <c r="M464" s="2" t="str">
        <f>IF(ISBLANK(L464),"",VLOOKUP(L464,configuration!$M$7:$N$10,2,FALSE))</f>
        <v/>
      </c>
      <c r="N464" s="30"/>
      <c r="O464" s="2"/>
      <c r="P464" s="31"/>
      <c r="Q464" s="54"/>
      <c r="R464" s="55" t="str">
        <f>IF(ISBLANK(Q464),"",VLOOKUP(Q464,configuration!$P$7:$Q$10,2,FALSE))</f>
        <v/>
      </c>
      <c r="S464" s="56"/>
      <c r="T464" s="55"/>
      <c r="U464" s="78"/>
      <c r="V464" s="76" t="str">
        <f t="shared" si="28"/>
        <v/>
      </c>
      <c r="W464" s="48" t="str">
        <f t="shared" si="28"/>
        <v/>
      </c>
      <c r="X464" s="48" t="str">
        <f t="shared" si="28"/>
        <v/>
      </c>
      <c r="Y464" s="48" t="str">
        <f t="shared" si="28"/>
        <v/>
      </c>
      <c r="Z464" s="49" t="str">
        <f t="shared" si="30"/>
        <v/>
      </c>
      <c r="AA464" s="50" t="str">
        <f t="shared" si="29"/>
        <v/>
      </c>
      <c r="AB464" s="48" t="str">
        <f t="shared" si="29"/>
        <v/>
      </c>
      <c r="AC464" s="48" t="str">
        <f t="shared" si="29"/>
        <v/>
      </c>
      <c r="AD464" s="48" t="str">
        <f t="shared" si="29"/>
        <v/>
      </c>
      <c r="AE464" s="48" t="str">
        <f t="shared" si="31"/>
        <v/>
      </c>
    </row>
    <row r="465" spans="1:31" x14ac:dyDescent="0.25">
      <c r="A465" s="2"/>
      <c r="B465" s="2"/>
      <c r="C465" s="2"/>
      <c r="D465" s="2" t="str">
        <f>IF(ISBLANK(C465),"",VLOOKUP(C465,configuration!$G$7:$H$10,2,FALSE))</f>
        <v/>
      </c>
      <c r="E465" s="2"/>
      <c r="F465" s="2"/>
      <c r="G465" s="2"/>
      <c r="H465" s="2" t="str">
        <f>IF(ISBLANK(G465),"",VLOOKUP(G465,configuration!$J$7:$K$10,2,FALSE))</f>
        <v/>
      </c>
      <c r="I465" s="30"/>
      <c r="J465" s="2"/>
      <c r="K465" s="31"/>
      <c r="L465" s="35"/>
      <c r="M465" s="2" t="str">
        <f>IF(ISBLANK(L465),"",VLOOKUP(L465,configuration!$M$7:$N$10,2,FALSE))</f>
        <v/>
      </c>
      <c r="N465" s="30"/>
      <c r="O465" s="2"/>
      <c r="P465" s="31"/>
      <c r="Q465" s="54"/>
      <c r="R465" s="55" t="str">
        <f>IF(ISBLANK(Q465),"",VLOOKUP(Q465,configuration!$P$7:$Q$10,2,FALSE))</f>
        <v/>
      </c>
      <c r="S465" s="56"/>
      <c r="T465" s="55"/>
      <c r="U465" s="78"/>
      <c r="V465" s="76" t="str">
        <f t="shared" si="28"/>
        <v/>
      </c>
      <c r="W465" s="48" t="str">
        <f t="shared" si="28"/>
        <v/>
      </c>
      <c r="X465" s="48" t="str">
        <f t="shared" si="28"/>
        <v/>
      </c>
      <c r="Y465" s="48" t="str">
        <f t="shared" si="28"/>
        <v/>
      </c>
      <c r="Z465" s="49" t="str">
        <f t="shared" si="30"/>
        <v/>
      </c>
      <c r="AA465" s="50" t="str">
        <f t="shared" si="29"/>
        <v/>
      </c>
      <c r="AB465" s="48" t="str">
        <f t="shared" si="29"/>
        <v/>
      </c>
      <c r="AC465" s="48" t="str">
        <f t="shared" si="29"/>
        <v/>
      </c>
      <c r="AD465" s="48" t="str">
        <f t="shared" si="29"/>
        <v/>
      </c>
      <c r="AE465" s="48" t="str">
        <f t="shared" si="31"/>
        <v/>
      </c>
    </row>
    <row r="466" spans="1:31" x14ac:dyDescent="0.25">
      <c r="A466" s="2"/>
      <c r="B466" s="2"/>
      <c r="C466" s="2"/>
      <c r="D466" s="2" t="str">
        <f>IF(ISBLANK(C466),"",VLOOKUP(C466,configuration!$G$7:$H$10,2,FALSE))</f>
        <v/>
      </c>
      <c r="E466" s="2"/>
      <c r="F466" s="2"/>
      <c r="G466" s="2"/>
      <c r="H466" s="2" t="str">
        <f>IF(ISBLANK(G466),"",VLOOKUP(G466,configuration!$J$7:$K$10,2,FALSE))</f>
        <v/>
      </c>
      <c r="I466" s="30"/>
      <c r="J466" s="2"/>
      <c r="K466" s="31"/>
      <c r="L466" s="35"/>
      <c r="M466" s="2" t="str">
        <f>IF(ISBLANK(L466),"",VLOOKUP(L466,configuration!$M$7:$N$10,2,FALSE))</f>
        <v/>
      </c>
      <c r="N466" s="30"/>
      <c r="O466" s="2"/>
      <c r="P466" s="31"/>
      <c r="Q466" s="54"/>
      <c r="R466" s="55" t="str">
        <f>IF(ISBLANK(Q466),"",VLOOKUP(Q466,configuration!$P$7:$Q$10,2,FALSE))</f>
        <v/>
      </c>
      <c r="S466" s="56"/>
      <c r="T466" s="55"/>
      <c r="U466" s="78"/>
      <c r="V466" s="76" t="str">
        <f t="shared" si="28"/>
        <v/>
      </c>
      <c r="W466" s="48" t="str">
        <f t="shared" si="28"/>
        <v/>
      </c>
      <c r="X466" s="48" t="str">
        <f t="shared" si="28"/>
        <v/>
      </c>
      <c r="Y466" s="48" t="str">
        <f t="shared" si="28"/>
        <v/>
      </c>
      <c r="Z466" s="49" t="str">
        <f t="shared" si="30"/>
        <v/>
      </c>
      <c r="AA466" s="50" t="str">
        <f t="shared" si="29"/>
        <v/>
      </c>
      <c r="AB466" s="48" t="str">
        <f t="shared" si="29"/>
        <v/>
      </c>
      <c r="AC466" s="48" t="str">
        <f t="shared" si="29"/>
        <v/>
      </c>
      <c r="AD466" s="48" t="str">
        <f t="shared" si="29"/>
        <v/>
      </c>
      <c r="AE466" s="48" t="str">
        <f t="shared" si="31"/>
        <v/>
      </c>
    </row>
    <row r="467" spans="1:31" x14ac:dyDescent="0.25">
      <c r="A467" s="2"/>
      <c r="B467" s="2"/>
      <c r="C467" s="2"/>
      <c r="D467" s="2" t="str">
        <f>IF(ISBLANK(C467),"",VLOOKUP(C467,configuration!$G$7:$H$10,2,FALSE))</f>
        <v/>
      </c>
      <c r="E467" s="2"/>
      <c r="F467" s="2"/>
      <c r="G467" s="2"/>
      <c r="H467" s="2" t="str">
        <f>IF(ISBLANK(G467),"",VLOOKUP(G467,configuration!$J$7:$K$10,2,FALSE))</f>
        <v/>
      </c>
      <c r="I467" s="30"/>
      <c r="J467" s="2"/>
      <c r="K467" s="31"/>
      <c r="L467" s="35"/>
      <c r="M467" s="2" t="str">
        <f>IF(ISBLANK(L467),"",VLOOKUP(L467,configuration!$M$7:$N$10,2,FALSE))</f>
        <v/>
      </c>
      <c r="N467" s="30"/>
      <c r="O467" s="2"/>
      <c r="P467" s="31"/>
      <c r="Q467" s="54"/>
      <c r="R467" s="55" t="str">
        <f>IF(ISBLANK(Q467),"",VLOOKUP(Q467,configuration!$P$7:$Q$10,2,FALSE))</f>
        <v/>
      </c>
      <c r="S467" s="56"/>
      <c r="T467" s="55"/>
      <c r="U467" s="78"/>
      <c r="V467" s="76" t="str">
        <f t="shared" ref="V467:Y530" si="32">IF($G467=V$4,1,"")</f>
        <v/>
      </c>
      <c r="W467" s="48" t="str">
        <f t="shared" si="32"/>
        <v/>
      </c>
      <c r="X467" s="48" t="str">
        <f t="shared" si="32"/>
        <v/>
      </c>
      <c r="Y467" s="48" t="str">
        <f t="shared" si="32"/>
        <v/>
      </c>
      <c r="Z467" s="49" t="str">
        <f t="shared" si="30"/>
        <v/>
      </c>
      <c r="AA467" s="50" t="str">
        <f t="shared" ref="AA467:AD530" si="33">IF($L467=AA$4,1,"")</f>
        <v/>
      </c>
      <c r="AB467" s="48" t="str">
        <f t="shared" si="33"/>
        <v/>
      </c>
      <c r="AC467" s="48" t="str">
        <f t="shared" si="33"/>
        <v/>
      </c>
      <c r="AD467" s="48" t="str">
        <f t="shared" si="33"/>
        <v/>
      </c>
      <c r="AE467" s="48" t="str">
        <f t="shared" si="31"/>
        <v/>
      </c>
    </row>
    <row r="468" spans="1:31" x14ac:dyDescent="0.25">
      <c r="A468" s="2"/>
      <c r="B468" s="2"/>
      <c r="C468" s="2"/>
      <c r="D468" s="2" t="str">
        <f>IF(ISBLANK(C468),"",VLOOKUP(C468,configuration!$G$7:$H$10,2,FALSE))</f>
        <v/>
      </c>
      <c r="E468" s="2"/>
      <c r="F468" s="2"/>
      <c r="G468" s="2"/>
      <c r="H468" s="2" t="str">
        <f>IF(ISBLANK(G468),"",VLOOKUP(G468,configuration!$J$7:$K$10,2,FALSE))</f>
        <v/>
      </c>
      <c r="I468" s="30"/>
      <c r="J468" s="2"/>
      <c r="K468" s="31"/>
      <c r="L468" s="35"/>
      <c r="M468" s="2" t="str">
        <f>IF(ISBLANK(L468),"",VLOOKUP(L468,configuration!$M$7:$N$10,2,FALSE))</f>
        <v/>
      </c>
      <c r="N468" s="30"/>
      <c r="O468" s="2"/>
      <c r="P468" s="31"/>
      <c r="Q468" s="54"/>
      <c r="R468" s="55" t="str">
        <f>IF(ISBLANK(Q468),"",VLOOKUP(Q468,configuration!$P$7:$Q$10,2,FALSE))</f>
        <v/>
      </c>
      <c r="S468" s="56"/>
      <c r="T468" s="55"/>
      <c r="U468" s="78"/>
      <c r="V468" s="76" t="str">
        <f t="shared" si="32"/>
        <v/>
      </c>
      <c r="W468" s="48" t="str">
        <f t="shared" si="32"/>
        <v/>
      </c>
      <c r="X468" s="48" t="str">
        <f t="shared" si="32"/>
        <v/>
      </c>
      <c r="Y468" s="48" t="str">
        <f t="shared" si="32"/>
        <v/>
      </c>
      <c r="Z468" s="49" t="str">
        <f t="shared" si="30"/>
        <v/>
      </c>
      <c r="AA468" s="50" t="str">
        <f t="shared" si="33"/>
        <v/>
      </c>
      <c r="AB468" s="48" t="str">
        <f t="shared" si="33"/>
        <v/>
      </c>
      <c r="AC468" s="48" t="str">
        <f t="shared" si="33"/>
        <v/>
      </c>
      <c r="AD468" s="48" t="str">
        <f t="shared" si="33"/>
        <v/>
      </c>
      <c r="AE468" s="48" t="str">
        <f t="shared" si="31"/>
        <v/>
      </c>
    </row>
    <row r="469" spans="1:31" x14ac:dyDescent="0.25">
      <c r="A469" s="2"/>
      <c r="B469" s="2"/>
      <c r="C469" s="2"/>
      <c r="D469" s="2" t="str">
        <f>IF(ISBLANK(C469),"",VLOOKUP(C469,configuration!$G$7:$H$10,2,FALSE))</f>
        <v/>
      </c>
      <c r="E469" s="2"/>
      <c r="F469" s="2"/>
      <c r="G469" s="2"/>
      <c r="H469" s="2" t="str">
        <f>IF(ISBLANK(G469),"",VLOOKUP(G469,configuration!$J$7:$K$10,2,FALSE))</f>
        <v/>
      </c>
      <c r="I469" s="30"/>
      <c r="J469" s="2"/>
      <c r="K469" s="31"/>
      <c r="L469" s="35"/>
      <c r="M469" s="2" t="str">
        <f>IF(ISBLANK(L469),"",VLOOKUP(L469,configuration!$M$7:$N$10,2,FALSE))</f>
        <v/>
      </c>
      <c r="N469" s="30"/>
      <c r="O469" s="2"/>
      <c r="P469" s="31"/>
      <c r="Q469" s="54"/>
      <c r="R469" s="55" t="str">
        <f>IF(ISBLANK(Q469),"",VLOOKUP(Q469,configuration!$P$7:$Q$10,2,FALSE))</f>
        <v/>
      </c>
      <c r="S469" s="56"/>
      <c r="T469" s="55"/>
      <c r="U469" s="78"/>
      <c r="V469" s="76" t="str">
        <f t="shared" si="32"/>
        <v/>
      </c>
      <c r="W469" s="48" t="str">
        <f t="shared" si="32"/>
        <v/>
      </c>
      <c r="X469" s="48" t="str">
        <f t="shared" si="32"/>
        <v/>
      </c>
      <c r="Y469" s="48" t="str">
        <f t="shared" si="32"/>
        <v/>
      </c>
      <c r="Z469" s="49" t="str">
        <f t="shared" si="30"/>
        <v/>
      </c>
      <c r="AA469" s="50" t="str">
        <f t="shared" si="33"/>
        <v/>
      </c>
      <c r="AB469" s="48" t="str">
        <f t="shared" si="33"/>
        <v/>
      </c>
      <c r="AC469" s="48" t="str">
        <f t="shared" si="33"/>
        <v/>
      </c>
      <c r="AD469" s="48" t="str">
        <f t="shared" si="33"/>
        <v/>
      </c>
      <c r="AE469" s="48" t="str">
        <f t="shared" si="31"/>
        <v/>
      </c>
    </row>
    <row r="470" spans="1:31" x14ac:dyDescent="0.25">
      <c r="A470" s="2"/>
      <c r="B470" s="2"/>
      <c r="C470" s="2"/>
      <c r="D470" s="2" t="str">
        <f>IF(ISBLANK(C470),"",VLOOKUP(C470,configuration!$G$7:$H$10,2,FALSE))</f>
        <v/>
      </c>
      <c r="E470" s="2"/>
      <c r="F470" s="2"/>
      <c r="G470" s="2"/>
      <c r="H470" s="2" t="str">
        <f>IF(ISBLANK(G470),"",VLOOKUP(G470,configuration!$J$7:$K$10,2,FALSE))</f>
        <v/>
      </c>
      <c r="I470" s="30"/>
      <c r="J470" s="2"/>
      <c r="K470" s="31"/>
      <c r="L470" s="35"/>
      <c r="M470" s="2" t="str">
        <f>IF(ISBLANK(L470),"",VLOOKUP(L470,configuration!$M$7:$N$10,2,FALSE))</f>
        <v/>
      </c>
      <c r="N470" s="30"/>
      <c r="O470" s="2"/>
      <c r="P470" s="31"/>
      <c r="Q470" s="54"/>
      <c r="R470" s="55" t="str">
        <f>IF(ISBLANK(Q470),"",VLOOKUP(Q470,configuration!$P$7:$Q$10,2,FALSE))</f>
        <v/>
      </c>
      <c r="S470" s="56"/>
      <c r="T470" s="55"/>
      <c r="U470" s="78"/>
      <c r="V470" s="76" t="str">
        <f t="shared" si="32"/>
        <v/>
      </c>
      <c r="W470" s="48" t="str">
        <f t="shared" si="32"/>
        <v/>
      </c>
      <c r="X470" s="48" t="str">
        <f t="shared" si="32"/>
        <v/>
      </c>
      <c r="Y470" s="48" t="str">
        <f t="shared" si="32"/>
        <v/>
      </c>
      <c r="Z470" s="49" t="str">
        <f t="shared" si="30"/>
        <v/>
      </c>
      <c r="AA470" s="50" t="str">
        <f t="shared" si="33"/>
        <v/>
      </c>
      <c r="AB470" s="48" t="str">
        <f t="shared" si="33"/>
        <v/>
      </c>
      <c r="AC470" s="48" t="str">
        <f t="shared" si="33"/>
        <v/>
      </c>
      <c r="AD470" s="48" t="str">
        <f t="shared" si="33"/>
        <v/>
      </c>
      <c r="AE470" s="48" t="str">
        <f t="shared" si="31"/>
        <v/>
      </c>
    </row>
    <row r="471" spans="1:31" x14ac:dyDescent="0.25">
      <c r="A471" s="2"/>
      <c r="B471" s="2"/>
      <c r="C471" s="2"/>
      <c r="D471" s="2" t="str">
        <f>IF(ISBLANK(C471),"",VLOOKUP(C471,configuration!$G$7:$H$10,2,FALSE))</f>
        <v/>
      </c>
      <c r="E471" s="2"/>
      <c r="F471" s="2"/>
      <c r="G471" s="2"/>
      <c r="H471" s="2" t="str">
        <f>IF(ISBLANK(G471),"",VLOOKUP(G471,configuration!$J$7:$K$10,2,FALSE))</f>
        <v/>
      </c>
      <c r="I471" s="30"/>
      <c r="J471" s="2"/>
      <c r="K471" s="31"/>
      <c r="L471" s="35"/>
      <c r="M471" s="2" t="str">
        <f>IF(ISBLANK(L471),"",VLOOKUP(L471,configuration!$M$7:$N$10,2,FALSE))</f>
        <v/>
      </c>
      <c r="N471" s="30"/>
      <c r="O471" s="2"/>
      <c r="P471" s="31"/>
      <c r="Q471" s="54"/>
      <c r="R471" s="55" t="str">
        <f>IF(ISBLANK(Q471),"",VLOOKUP(Q471,configuration!$P$7:$Q$10,2,FALSE))</f>
        <v/>
      </c>
      <c r="S471" s="56"/>
      <c r="T471" s="55"/>
      <c r="U471" s="78"/>
      <c r="V471" s="76" t="str">
        <f t="shared" si="32"/>
        <v/>
      </c>
      <c r="W471" s="48" t="str">
        <f t="shared" si="32"/>
        <v/>
      </c>
      <c r="X471" s="48" t="str">
        <f t="shared" si="32"/>
        <v/>
      </c>
      <c r="Y471" s="48" t="str">
        <f t="shared" si="32"/>
        <v/>
      </c>
      <c r="Z471" s="49" t="str">
        <f t="shared" si="30"/>
        <v/>
      </c>
      <c r="AA471" s="50" t="str">
        <f t="shared" si="33"/>
        <v/>
      </c>
      <c r="AB471" s="48" t="str">
        <f t="shared" si="33"/>
        <v/>
      </c>
      <c r="AC471" s="48" t="str">
        <f t="shared" si="33"/>
        <v/>
      </c>
      <c r="AD471" s="48" t="str">
        <f t="shared" si="33"/>
        <v/>
      </c>
      <c r="AE471" s="48" t="str">
        <f t="shared" si="31"/>
        <v/>
      </c>
    </row>
    <row r="472" spans="1:31" x14ac:dyDescent="0.25">
      <c r="A472" s="2"/>
      <c r="B472" s="2"/>
      <c r="C472" s="2"/>
      <c r="D472" s="2" t="str">
        <f>IF(ISBLANK(C472),"",VLOOKUP(C472,configuration!$G$7:$H$10,2,FALSE))</f>
        <v/>
      </c>
      <c r="E472" s="2"/>
      <c r="F472" s="2"/>
      <c r="G472" s="2"/>
      <c r="H472" s="2" t="str">
        <f>IF(ISBLANK(G472),"",VLOOKUP(G472,configuration!$J$7:$K$10,2,FALSE))</f>
        <v/>
      </c>
      <c r="I472" s="30"/>
      <c r="J472" s="2"/>
      <c r="K472" s="31"/>
      <c r="L472" s="35"/>
      <c r="M472" s="2" t="str">
        <f>IF(ISBLANK(L472),"",VLOOKUP(L472,configuration!$M$7:$N$10,2,FALSE))</f>
        <v/>
      </c>
      <c r="N472" s="30"/>
      <c r="O472" s="2"/>
      <c r="P472" s="31"/>
      <c r="Q472" s="54"/>
      <c r="R472" s="55" t="str">
        <f>IF(ISBLANK(Q472),"",VLOOKUP(Q472,configuration!$P$7:$Q$10,2,FALSE))</f>
        <v/>
      </c>
      <c r="S472" s="56"/>
      <c r="T472" s="55"/>
      <c r="U472" s="78"/>
      <c r="V472" s="76" t="str">
        <f t="shared" si="32"/>
        <v/>
      </c>
      <c r="W472" s="48" t="str">
        <f t="shared" si="32"/>
        <v/>
      </c>
      <c r="X472" s="48" t="str">
        <f t="shared" si="32"/>
        <v/>
      </c>
      <c r="Y472" s="48" t="str">
        <f t="shared" si="32"/>
        <v/>
      </c>
      <c r="Z472" s="49" t="str">
        <f t="shared" si="30"/>
        <v/>
      </c>
      <c r="AA472" s="50" t="str">
        <f t="shared" si="33"/>
        <v/>
      </c>
      <c r="AB472" s="48" t="str">
        <f t="shared" si="33"/>
        <v/>
      </c>
      <c r="AC472" s="48" t="str">
        <f t="shared" si="33"/>
        <v/>
      </c>
      <c r="AD472" s="48" t="str">
        <f t="shared" si="33"/>
        <v/>
      </c>
      <c r="AE472" s="48" t="str">
        <f t="shared" si="31"/>
        <v/>
      </c>
    </row>
    <row r="473" spans="1:31" x14ac:dyDescent="0.25">
      <c r="A473" s="2"/>
      <c r="B473" s="2"/>
      <c r="C473" s="2"/>
      <c r="D473" s="2" t="str">
        <f>IF(ISBLANK(C473),"",VLOOKUP(C473,configuration!$G$7:$H$10,2,FALSE))</f>
        <v/>
      </c>
      <c r="E473" s="2"/>
      <c r="F473" s="2"/>
      <c r="G473" s="2"/>
      <c r="H473" s="2" t="str">
        <f>IF(ISBLANK(G473),"",VLOOKUP(G473,configuration!$J$7:$K$10,2,FALSE))</f>
        <v/>
      </c>
      <c r="I473" s="30"/>
      <c r="J473" s="2"/>
      <c r="K473" s="31"/>
      <c r="L473" s="35"/>
      <c r="M473" s="2" t="str">
        <f>IF(ISBLANK(L473),"",VLOOKUP(L473,configuration!$M$7:$N$10,2,FALSE))</f>
        <v/>
      </c>
      <c r="N473" s="30"/>
      <c r="O473" s="2"/>
      <c r="P473" s="31"/>
      <c r="Q473" s="54"/>
      <c r="R473" s="55" t="str">
        <f>IF(ISBLANK(Q473),"",VLOOKUP(Q473,configuration!$P$7:$Q$10,2,FALSE))</f>
        <v/>
      </c>
      <c r="S473" s="56"/>
      <c r="T473" s="55"/>
      <c r="U473" s="78"/>
      <c r="V473" s="76" t="str">
        <f t="shared" si="32"/>
        <v/>
      </c>
      <c r="W473" s="48" t="str">
        <f t="shared" si="32"/>
        <v/>
      </c>
      <c r="X473" s="48" t="str">
        <f t="shared" si="32"/>
        <v/>
      </c>
      <c r="Y473" s="48" t="str">
        <f t="shared" si="32"/>
        <v/>
      </c>
      <c r="Z473" s="49" t="str">
        <f t="shared" si="30"/>
        <v/>
      </c>
      <c r="AA473" s="50" t="str">
        <f t="shared" si="33"/>
        <v/>
      </c>
      <c r="AB473" s="48" t="str">
        <f t="shared" si="33"/>
        <v/>
      </c>
      <c r="AC473" s="48" t="str">
        <f t="shared" si="33"/>
        <v/>
      </c>
      <c r="AD473" s="48" t="str">
        <f t="shared" si="33"/>
        <v/>
      </c>
      <c r="AE473" s="48" t="str">
        <f t="shared" si="31"/>
        <v/>
      </c>
    </row>
    <row r="474" spans="1:31" x14ac:dyDescent="0.25">
      <c r="A474" s="2"/>
      <c r="B474" s="2"/>
      <c r="C474" s="2"/>
      <c r="D474" s="2" t="str">
        <f>IF(ISBLANK(C474),"",VLOOKUP(C474,configuration!$G$7:$H$10,2,FALSE))</f>
        <v/>
      </c>
      <c r="E474" s="2"/>
      <c r="F474" s="2"/>
      <c r="G474" s="2"/>
      <c r="H474" s="2" t="str">
        <f>IF(ISBLANK(G474),"",VLOOKUP(G474,configuration!$J$7:$K$10,2,FALSE))</f>
        <v/>
      </c>
      <c r="I474" s="30"/>
      <c r="J474" s="2"/>
      <c r="K474" s="31"/>
      <c r="L474" s="35"/>
      <c r="M474" s="2" t="str">
        <f>IF(ISBLANK(L474),"",VLOOKUP(L474,configuration!$M$7:$N$10,2,FALSE))</f>
        <v/>
      </c>
      <c r="N474" s="30"/>
      <c r="O474" s="2"/>
      <c r="P474" s="31"/>
      <c r="Q474" s="54"/>
      <c r="R474" s="55" t="str">
        <f>IF(ISBLANK(Q474),"",VLOOKUP(Q474,configuration!$P$7:$Q$10,2,FALSE))</f>
        <v/>
      </c>
      <c r="S474" s="56"/>
      <c r="T474" s="55"/>
      <c r="U474" s="78"/>
      <c r="V474" s="76" t="str">
        <f t="shared" si="32"/>
        <v/>
      </c>
      <c r="W474" s="48" t="str">
        <f t="shared" si="32"/>
        <v/>
      </c>
      <c r="X474" s="48" t="str">
        <f t="shared" si="32"/>
        <v/>
      </c>
      <c r="Y474" s="48" t="str">
        <f t="shared" si="32"/>
        <v/>
      </c>
      <c r="Z474" s="49" t="str">
        <f t="shared" si="30"/>
        <v/>
      </c>
      <c r="AA474" s="50" t="str">
        <f t="shared" si="33"/>
        <v/>
      </c>
      <c r="AB474" s="48" t="str">
        <f t="shared" si="33"/>
        <v/>
      </c>
      <c r="AC474" s="48" t="str">
        <f t="shared" si="33"/>
        <v/>
      </c>
      <c r="AD474" s="48" t="str">
        <f t="shared" si="33"/>
        <v/>
      </c>
      <c r="AE474" s="48" t="str">
        <f t="shared" si="31"/>
        <v/>
      </c>
    </row>
    <row r="475" spans="1:31" x14ac:dyDescent="0.25">
      <c r="A475" s="2"/>
      <c r="B475" s="2"/>
      <c r="C475" s="2"/>
      <c r="D475" s="2" t="str">
        <f>IF(ISBLANK(C475),"",VLOOKUP(C475,configuration!$G$7:$H$10,2,FALSE))</f>
        <v/>
      </c>
      <c r="E475" s="2"/>
      <c r="F475" s="2"/>
      <c r="G475" s="2"/>
      <c r="H475" s="2" t="str">
        <f>IF(ISBLANK(G475),"",VLOOKUP(G475,configuration!$J$7:$K$10,2,FALSE))</f>
        <v/>
      </c>
      <c r="I475" s="30"/>
      <c r="J475" s="2"/>
      <c r="K475" s="31"/>
      <c r="L475" s="35"/>
      <c r="M475" s="2" t="str">
        <f>IF(ISBLANK(L475),"",VLOOKUP(L475,configuration!$M$7:$N$10,2,FALSE))</f>
        <v/>
      </c>
      <c r="N475" s="30"/>
      <c r="O475" s="2"/>
      <c r="P475" s="31"/>
      <c r="Q475" s="54"/>
      <c r="R475" s="55" t="str">
        <f>IF(ISBLANK(Q475),"",VLOOKUP(Q475,configuration!$P$7:$Q$10,2,FALSE))</f>
        <v/>
      </c>
      <c r="S475" s="56"/>
      <c r="T475" s="55"/>
      <c r="U475" s="78"/>
      <c r="V475" s="76" t="str">
        <f t="shared" si="32"/>
        <v/>
      </c>
      <c r="W475" s="48" t="str">
        <f t="shared" si="32"/>
        <v/>
      </c>
      <c r="X475" s="48" t="str">
        <f t="shared" si="32"/>
        <v/>
      </c>
      <c r="Y475" s="48" t="str">
        <f t="shared" si="32"/>
        <v/>
      </c>
      <c r="Z475" s="49" t="str">
        <f t="shared" si="30"/>
        <v/>
      </c>
      <c r="AA475" s="50" t="str">
        <f t="shared" si="33"/>
        <v/>
      </c>
      <c r="AB475" s="48" t="str">
        <f t="shared" si="33"/>
        <v/>
      </c>
      <c r="AC475" s="48" t="str">
        <f t="shared" si="33"/>
        <v/>
      </c>
      <c r="AD475" s="48" t="str">
        <f t="shared" si="33"/>
        <v/>
      </c>
      <c r="AE475" s="48" t="str">
        <f t="shared" si="31"/>
        <v/>
      </c>
    </row>
    <row r="476" spans="1:31" x14ac:dyDescent="0.25">
      <c r="A476" s="2"/>
      <c r="B476" s="2"/>
      <c r="C476" s="2"/>
      <c r="D476" s="2" t="str">
        <f>IF(ISBLANK(C476),"",VLOOKUP(C476,configuration!$G$7:$H$10,2,FALSE))</f>
        <v/>
      </c>
      <c r="E476" s="2"/>
      <c r="F476" s="2"/>
      <c r="G476" s="2"/>
      <c r="H476" s="2" t="str">
        <f>IF(ISBLANK(G476),"",VLOOKUP(G476,configuration!$J$7:$K$10,2,FALSE))</f>
        <v/>
      </c>
      <c r="I476" s="30"/>
      <c r="J476" s="2"/>
      <c r="K476" s="31"/>
      <c r="L476" s="35"/>
      <c r="M476" s="2" t="str">
        <f>IF(ISBLANK(L476),"",VLOOKUP(L476,configuration!$M$7:$N$10,2,FALSE))</f>
        <v/>
      </c>
      <c r="N476" s="30"/>
      <c r="O476" s="2"/>
      <c r="P476" s="31"/>
      <c r="Q476" s="54"/>
      <c r="R476" s="55" t="str">
        <f>IF(ISBLANK(Q476),"",VLOOKUP(Q476,configuration!$P$7:$Q$10,2,FALSE))</f>
        <v/>
      </c>
      <c r="S476" s="56"/>
      <c r="T476" s="55"/>
      <c r="U476" s="78"/>
      <c r="V476" s="76" t="str">
        <f t="shared" si="32"/>
        <v/>
      </c>
      <c r="W476" s="48" t="str">
        <f t="shared" si="32"/>
        <v/>
      </c>
      <c r="X476" s="48" t="str">
        <f t="shared" si="32"/>
        <v/>
      </c>
      <c r="Y476" s="48" t="str">
        <f t="shared" si="32"/>
        <v/>
      </c>
      <c r="Z476" s="49" t="str">
        <f t="shared" si="30"/>
        <v/>
      </c>
      <c r="AA476" s="50" t="str">
        <f t="shared" si="33"/>
        <v/>
      </c>
      <c r="AB476" s="48" t="str">
        <f t="shared" si="33"/>
        <v/>
      </c>
      <c r="AC476" s="48" t="str">
        <f t="shared" si="33"/>
        <v/>
      </c>
      <c r="AD476" s="48" t="str">
        <f t="shared" si="33"/>
        <v/>
      </c>
      <c r="AE476" s="48" t="str">
        <f t="shared" si="31"/>
        <v/>
      </c>
    </row>
    <row r="477" spans="1:31" x14ac:dyDescent="0.25">
      <c r="A477" s="2"/>
      <c r="B477" s="2"/>
      <c r="C477" s="2"/>
      <c r="D477" s="2" t="str">
        <f>IF(ISBLANK(C477),"",VLOOKUP(C477,configuration!$G$7:$H$10,2,FALSE))</f>
        <v/>
      </c>
      <c r="E477" s="2"/>
      <c r="F477" s="2"/>
      <c r="G477" s="2"/>
      <c r="H477" s="2" t="str">
        <f>IF(ISBLANK(G477),"",VLOOKUP(G477,configuration!$J$7:$K$10,2,FALSE))</f>
        <v/>
      </c>
      <c r="I477" s="30"/>
      <c r="J477" s="2"/>
      <c r="K477" s="31"/>
      <c r="L477" s="35"/>
      <c r="M477" s="2" t="str">
        <f>IF(ISBLANK(L477),"",VLOOKUP(L477,configuration!$M$7:$N$10,2,FALSE))</f>
        <v/>
      </c>
      <c r="N477" s="30"/>
      <c r="O477" s="2"/>
      <c r="P477" s="31"/>
      <c r="Q477" s="54"/>
      <c r="R477" s="55" t="str">
        <f>IF(ISBLANK(Q477),"",VLOOKUP(Q477,configuration!$P$7:$Q$10,2,FALSE))</f>
        <v/>
      </c>
      <c r="S477" s="56"/>
      <c r="T477" s="55"/>
      <c r="U477" s="78"/>
      <c r="V477" s="76" t="str">
        <f t="shared" si="32"/>
        <v/>
      </c>
      <c r="W477" s="48" t="str">
        <f t="shared" si="32"/>
        <v/>
      </c>
      <c r="X477" s="48" t="str">
        <f t="shared" si="32"/>
        <v/>
      </c>
      <c r="Y477" s="48" t="str">
        <f t="shared" si="32"/>
        <v/>
      </c>
      <c r="Z477" s="49" t="str">
        <f t="shared" si="30"/>
        <v/>
      </c>
      <c r="AA477" s="50" t="str">
        <f t="shared" si="33"/>
        <v/>
      </c>
      <c r="AB477" s="48" t="str">
        <f t="shared" si="33"/>
        <v/>
      </c>
      <c r="AC477" s="48" t="str">
        <f t="shared" si="33"/>
        <v/>
      </c>
      <c r="AD477" s="48" t="str">
        <f t="shared" si="33"/>
        <v/>
      </c>
      <c r="AE477" s="48" t="str">
        <f t="shared" si="31"/>
        <v/>
      </c>
    </row>
    <row r="478" spans="1:31" x14ac:dyDescent="0.25">
      <c r="A478" s="2"/>
      <c r="B478" s="2"/>
      <c r="C478" s="2"/>
      <c r="D478" s="2" t="str">
        <f>IF(ISBLANK(C478),"",VLOOKUP(C478,configuration!$G$7:$H$10,2,FALSE))</f>
        <v/>
      </c>
      <c r="E478" s="2"/>
      <c r="F478" s="2"/>
      <c r="G478" s="2"/>
      <c r="H478" s="2" t="str">
        <f>IF(ISBLANK(G478),"",VLOOKUP(G478,configuration!$J$7:$K$10,2,FALSE))</f>
        <v/>
      </c>
      <c r="I478" s="30"/>
      <c r="J478" s="2"/>
      <c r="K478" s="31"/>
      <c r="L478" s="35"/>
      <c r="M478" s="2" t="str">
        <f>IF(ISBLANK(L478),"",VLOOKUP(L478,configuration!$M$7:$N$10,2,FALSE))</f>
        <v/>
      </c>
      <c r="N478" s="30"/>
      <c r="O478" s="2"/>
      <c r="P478" s="31"/>
      <c r="Q478" s="54"/>
      <c r="R478" s="55" t="str">
        <f>IF(ISBLANK(Q478),"",VLOOKUP(Q478,configuration!$P$7:$Q$10,2,FALSE))</f>
        <v/>
      </c>
      <c r="S478" s="56"/>
      <c r="T478" s="55"/>
      <c r="U478" s="78"/>
      <c r="V478" s="76" t="str">
        <f t="shared" si="32"/>
        <v/>
      </c>
      <c r="W478" s="48" t="str">
        <f t="shared" si="32"/>
        <v/>
      </c>
      <c r="X478" s="48" t="str">
        <f t="shared" si="32"/>
        <v/>
      </c>
      <c r="Y478" s="48" t="str">
        <f t="shared" si="32"/>
        <v/>
      </c>
      <c r="Z478" s="49" t="str">
        <f t="shared" si="30"/>
        <v/>
      </c>
      <c r="AA478" s="50" t="str">
        <f t="shared" si="33"/>
        <v/>
      </c>
      <c r="AB478" s="48" t="str">
        <f t="shared" si="33"/>
        <v/>
      </c>
      <c r="AC478" s="48" t="str">
        <f t="shared" si="33"/>
        <v/>
      </c>
      <c r="AD478" s="48" t="str">
        <f t="shared" si="33"/>
        <v/>
      </c>
      <c r="AE478" s="48" t="str">
        <f t="shared" si="31"/>
        <v/>
      </c>
    </row>
    <row r="479" spans="1:31" x14ac:dyDescent="0.25">
      <c r="A479" s="2"/>
      <c r="B479" s="2"/>
      <c r="C479" s="2"/>
      <c r="D479" s="2" t="str">
        <f>IF(ISBLANK(C479),"",VLOOKUP(C479,configuration!$G$7:$H$10,2,FALSE))</f>
        <v/>
      </c>
      <c r="E479" s="2"/>
      <c r="F479" s="2"/>
      <c r="G479" s="2"/>
      <c r="H479" s="2" t="str">
        <f>IF(ISBLANK(G479),"",VLOOKUP(G479,configuration!$J$7:$K$10,2,FALSE))</f>
        <v/>
      </c>
      <c r="I479" s="30"/>
      <c r="J479" s="2"/>
      <c r="K479" s="31"/>
      <c r="L479" s="35"/>
      <c r="M479" s="2" t="str">
        <f>IF(ISBLANK(L479),"",VLOOKUP(L479,configuration!$M$7:$N$10,2,FALSE))</f>
        <v/>
      </c>
      <c r="N479" s="30"/>
      <c r="O479" s="2"/>
      <c r="P479" s="31"/>
      <c r="Q479" s="54"/>
      <c r="R479" s="55" t="str">
        <f>IF(ISBLANK(Q479),"",VLOOKUP(Q479,configuration!$P$7:$Q$10,2,FALSE))</f>
        <v/>
      </c>
      <c r="S479" s="56"/>
      <c r="T479" s="55"/>
      <c r="U479" s="78"/>
      <c r="V479" s="76" t="str">
        <f t="shared" si="32"/>
        <v/>
      </c>
      <c r="W479" s="48" t="str">
        <f t="shared" si="32"/>
        <v/>
      </c>
      <c r="X479" s="48" t="str">
        <f t="shared" si="32"/>
        <v/>
      </c>
      <c r="Y479" s="48" t="str">
        <f t="shared" si="32"/>
        <v/>
      </c>
      <c r="Z479" s="49" t="str">
        <f t="shared" si="30"/>
        <v/>
      </c>
      <c r="AA479" s="50" t="str">
        <f t="shared" si="33"/>
        <v/>
      </c>
      <c r="AB479" s="48" t="str">
        <f t="shared" si="33"/>
        <v/>
      </c>
      <c r="AC479" s="48" t="str">
        <f t="shared" si="33"/>
        <v/>
      </c>
      <c r="AD479" s="48" t="str">
        <f t="shared" si="33"/>
        <v/>
      </c>
      <c r="AE479" s="48" t="str">
        <f t="shared" si="31"/>
        <v/>
      </c>
    </row>
    <row r="480" spans="1:31" x14ac:dyDescent="0.25">
      <c r="A480" s="2"/>
      <c r="B480" s="2"/>
      <c r="C480" s="2"/>
      <c r="D480" s="2" t="str">
        <f>IF(ISBLANK(C480),"",VLOOKUP(C480,configuration!$G$7:$H$10,2,FALSE))</f>
        <v/>
      </c>
      <c r="E480" s="2"/>
      <c r="F480" s="2"/>
      <c r="G480" s="2"/>
      <c r="H480" s="2" t="str">
        <f>IF(ISBLANK(G480),"",VLOOKUP(G480,configuration!$J$7:$K$10,2,FALSE))</f>
        <v/>
      </c>
      <c r="I480" s="30"/>
      <c r="J480" s="2"/>
      <c r="K480" s="31"/>
      <c r="L480" s="35"/>
      <c r="M480" s="2" t="str">
        <f>IF(ISBLANK(L480),"",VLOOKUP(L480,configuration!$M$7:$N$10,2,FALSE))</f>
        <v/>
      </c>
      <c r="N480" s="30"/>
      <c r="O480" s="2"/>
      <c r="P480" s="31"/>
      <c r="Q480" s="54"/>
      <c r="R480" s="55" t="str">
        <f>IF(ISBLANK(Q480),"",VLOOKUP(Q480,configuration!$P$7:$Q$10,2,FALSE))</f>
        <v/>
      </c>
      <c r="S480" s="56"/>
      <c r="T480" s="55"/>
      <c r="U480" s="78"/>
      <c r="V480" s="76" t="str">
        <f t="shared" si="32"/>
        <v/>
      </c>
      <c r="W480" s="48" t="str">
        <f t="shared" si="32"/>
        <v/>
      </c>
      <c r="X480" s="48" t="str">
        <f t="shared" si="32"/>
        <v/>
      </c>
      <c r="Y480" s="48" t="str">
        <f t="shared" si="32"/>
        <v/>
      </c>
      <c r="Z480" s="49" t="str">
        <f t="shared" si="30"/>
        <v/>
      </c>
      <c r="AA480" s="50" t="str">
        <f t="shared" si="33"/>
        <v/>
      </c>
      <c r="AB480" s="48" t="str">
        <f t="shared" si="33"/>
        <v/>
      </c>
      <c r="AC480" s="48" t="str">
        <f t="shared" si="33"/>
        <v/>
      </c>
      <c r="AD480" s="48" t="str">
        <f t="shared" si="33"/>
        <v/>
      </c>
      <c r="AE480" s="48" t="str">
        <f t="shared" si="31"/>
        <v/>
      </c>
    </row>
    <row r="481" spans="1:31" x14ac:dyDescent="0.25">
      <c r="A481" s="2"/>
      <c r="B481" s="2"/>
      <c r="C481" s="2"/>
      <c r="D481" s="2" t="str">
        <f>IF(ISBLANK(C481),"",VLOOKUP(C481,configuration!$G$7:$H$10,2,FALSE))</f>
        <v/>
      </c>
      <c r="E481" s="2"/>
      <c r="F481" s="2"/>
      <c r="G481" s="2"/>
      <c r="H481" s="2" t="str">
        <f>IF(ISBLANK(G481),"",VLOOKUP(G481,configuration!$J$7:$K$10,2,FALSE))</f>
        <v/>
      </c>
      <c r="I481" s="30"/>
      <c r="J481" s="2"/>
      <c r="K481" s="31"/>
      <c r="L481" s="35"/>
      <c r="M481" s="2" t="str">
        <f>IF(ISBLANK(L481),"",VLOOKUP(L481,configuration!$M$7:$N$10,2,FALSE))</f>
        <v/>
      </c>
      <c r="N481" s="30"/>
      <c r="O481" s="2"/>
      <c r="P481" s="31"/>
      <c r="Q481" s="54"/>
      <c r="R481" s="55" t="str">
        <f>IF(ISBLANK(Q481),"",VLOOKUP(Q481,configuration!$P$7:$Q$10,2,FALSE))</f>
        <v/>
      </c>
      <c r="S481" s="56"/>
      <c r="T481" s="55"/>
      <c r="U481" s="78"/>
      <c r="V481" s="76" t="str">
        <f t="shared" si="32"/>
        <v/>
      </c>
      <c r="W481" s="48" t="str">
        <f t="shared" si="32"/>
        <v/>
      </c>
      <c r="X481" s="48" t="str">
        <f t="shared" si="32"/>
        <v/>
      </c>
      <c r="Y481" s="48" t="str">
        <f t="shared" si="32"/>
        <v/>
      </c>
      <c r="Z481" s="49" t="str">
        <f t="shared" si="30"/>
        <v/>
      </c>
      <c r="AA481" s="50" t="str">
        <f t="shared" si="33"/>
        <v/>
      </c>
      <c r="AB481" s="48" t="str">
        <f t="shared" si="33"/>
        <v/>
      </c>
      <c r="AC481" s="48" t="str">
        <f t="shared" si="33"/>
        <v/>
      </c>
      <c r="AD481" s="48" t="str">
        <f t="shared" si="33"/>
        <v/>
      </c>
      <c r="AE481" s="48" t="str">
        <f t="shared" si="31"/>
        <v/>
      </c>
    </row>
    <row r="482" spans="1:31" x14ac:dyDescent="0.25">
      <c r="A482" s="2"/>
      <c r="B482" s="2"/>
      <c r="C482" s="2"/>
      <c r="D482" s="2" t="str">
        <f>IF(ISBLANK(C482),"",VLOOKUP(C482,configuration!$G$7:$H$10,2,FALSE))</f>
        <v/>
      </c>
      <c r="E482" s="2"/>
      <c r="F482" s="2"/>
      <c r="G482" s="2"/>
      <c r="H482" s="2" t="str">
        <f>IF(ISBLANK(G482),"",VLOOKUP(G482,configuration!$J$7:$K$10,2,FALSE))</f>
        <v/>
      </c>
      <c r="I482" s="30"/>
      <c r="J482" s="2"/>
      <c r="K482" s="31"/>
      <c r="L482" s="35"/>
      <c r="M482" s="2" t="str">
        <f>IF(ISBLANK(L482),"",VLOOKUP(L482,configuration!$M$7:$N$10,2,FALSE))</f>
        <v/>
      </c>
      <c r="N482" s="30"/>
      <c r="O482" s="2"/>
      <c r="P482" s="31"/>
      <c r="Q482" s="54"/>
      <c r="R482" s="55" t="str">
        <f>IF(ISBLANK(Q482),"",VLOOKUP(Q482,configuration!$P$7:$Q$10,2,FALSE))</f>
        <v/>
      </c>
      <c r="S482" s="56"/>
      <c r="T482" s="55"/>
      <c r="U482" s="78"/>
      <c r="V482" s="76" t="str">
        <f t="shared" si="32"/>
        <v/>
      </c>
      <c r="W482" s="48" t="str">
        <f t="shared" si="32"/>
        <v/>
      </c>
      <c r="X482" s="48" t="str">
        <f t="shared" si="32"/>
        <v/>
      </c>
      <c r="Y482" s="48" t="str">
        <f t="shared" si="32"/>
        <v/>
      </c>
      <c r="Z482" s="49" t="str">
        <f t="shared" si="30"/>
        <v/>
      </c>
      <c r="AA482" s="50" t="str">
        <f t="shared" si="33"/>
        <v/>
      </c>
      <c r="AB482" s="48" t="str">
        <f t="shared" si="33"/>
        <v/>
      </c>
      <c r="AC482" s="48" t="str">
        <f t="shared" si="33"/>
        <v/>
      </c>
      <c r="AD482" s="48" t="str">
        <f t="shared" si="33"/>
        <v/>
      </c>
      <c r="AE482" s="48" t="str">
        <f t="shared" si="31"/>
        <v/>
      </c>
    </row>
    <row r="483" spans="1:31" x14ac:dyDescent="0.25">
      <c r="A483" s="2"/>
      <c r="B483" s="2"/>
      <c r="C483" s="2"/>
      <c r="D483" s="2" t="str">
        <f>IF(ISBLANK(C483),"",VLOOKUP(C483,configuration!$G$7:$H$10,2,FALSE))</f>
        <v/>
      </c>
      <c r="E483" s="2"/>
      <c r="F483" s="2"/>
      <c r="G483" s="2"/>
      <c r="H483" s="2" t="str">
        <f>IF(ISBLANK(G483),"",VLOOKUP(G483,configuration!$J$7:$K$10,2,FALSE))</f>
        <v/>
      </c>
      <c r="I483" s="30"/>
      <c r="J483" s="2"/>
      <c r="K483" s="31"/>
      <c r="L483" s="35"/>
      <c r="M483" s="2" t="str">
        <f>IF(ISBLANK(L483),"",VLOOKUP(L483,configuration!$M$7:$N$10,2,FALSE))</f>
        <v/>
      </c>
      <c r="N483" s="30"/>
      <c r="O483" s="2"/>
      <c r="P483" s="31"/>
      <c r="Q483" s="54"/>
      <c r="R483" s="55" t="str">
        <f>IF(ISBLANK(Q483),"",VLOOKUP(Q483,configuration!$P$7:$Q$10,2,FALSE))</f>
        <v/>
      </c>
      <c r="S483" s="56"/>
      <c r="T483" s="55"/>
      <c r="U483" s="78"/>
      <c r="V483" s="76" t="str">
        <f t="shared" si="32"/>
        <v/>
      </c>
      <c r="W483" s="48" t="str">
        <f t="shared" si="32"/>
        <v/>
      </c>
      <c r="X483" s="48" t="str">
        <f t="shared" si="32"/>
        <v/>
      </c>
      <c r="Y483" s="48" t="str">
        <f t="shared" si="32"/>
        <v/>
      </c>
      <c r="Z483" s="49" t="str">
        <f t="shared" si="30"/>
        <v/>
      </c>
      <c r="AA483" s="50" t="str">
        <f t="shared" si="33"/>
        <v/>
      </c>
      <c r="AB483" s="48" t="str">
        <f t="shared" si="33"/>
        <v/>
      </c>
      <c r="AC483" s="48" t="str">
        <f t="shared" si="33"/>
        <v/>
      </c>
      <c r="AD483" s="48" t="str">
        <f t="shared" si="33"/>
        <v/>
      </c>
      <c r="AE483" s="48" t="str">
        <f t="shared" si="31"/>
        <v/>
      </c>
    </row>
    <row r="484" spans="1:31" x14ac:dyDescent="0.25">
      <c r="A484" s="2"/>
      <c r="B484" s="2"/>
      <c r="C484" s="2"/>
      <c r="D484" s="2" t="str">
        <f>IF(ISBLANK(C484),"",VLOOKUP(C484,configuration!$G$7:$H$10,2,FALSE))</f>
        <v/>
      </c>
      <c r="E484" s="2"/>
      <c r="F484" s="2"/>
      <c r="G484" s="2"/>
      <c r="H484" s="2" t="str">
        <f>IF(ISBLANK(G484),"",VLOOKUP(G484,configuration!$J$7:$K$10,2,FALSE))</f>
        <v/>
      </c>
      <c r="I484" s="30"/>
      <c r="J484" s="2"/>
      <c r="K484" s="31"/>
      <c r="L484" s="35"/>
      <c r="M484" s="2" t="str">
        <f>IF(ISBLANK(L484),"",VLOOKUP(L484,configuration!$M$7:$N$10,2,FALSE))</f>
        <v/>
      </c>
      <c r="N484" s="30"/>
      <c r="O484" s="2"/>
      <c r="P484" s="31"/>
      <c r="Q484" s="54"/>
      <c r="R484" s="55" t="str">
        <f>IF(ISBLANK(Q484),"",VLOOKUP(Q484,configuration!$P$7:$Q$10,2,FALSE))</f>
        <v/>
      </c>
      <c r="S484" s="56"/>
      <c r="T484" s="55"/>
      <c r="U484" s="78"/>
      <c r="V484" s="76" t="str">
        <f t="shared" si="32"/>
        <v/>
      </c>
      <c r="W484" s="48" t="str">
        <f t="shared" si="32"/>
        <v/>
      </c>
      <c r="X484" s="48" t="str">
        <f t="shared" si="32"/>
        <v/>
      </c>
      <c r="Y484" s="48" t="str">
        <f t="shared" si="32"/>
        <v/>
      </c>
      <c r="Z484" s="49" t="str">
        <f t="shared" si="30"/>
        <v/>
      </c>
      <c r="AA484" s="50" t="str">
        <f t="shared" si="33"/>
        <v/>
      </c>
      <c r="AB484" s="48" t="str">
        <f t="shared" si="33"/>
        <v/>
      </c>
      <c r="AC484" s="48" t="str">
        <f t="shared" si="33"/>
        <v/>
      </c>
      <c r="AD484" s="48" t="str">
        <f t="shared" si="33"/>
        <v/>
      </c>
      <c r="AE484" s="48" t="str">
        <f t="shared" si="31"/>
        <v/>
      </c>
    </row>
    <row r="485" spans="1:31" x14ac:dyDescent="0.25">
      <c r="A485" s="2"/>
      <c r="B485" s="2"/>
      <c r="C485" s="2"/>
      <c r="D485" s="2" t="str">
        <f>IF(ISBLANK(C485),"",VLOOKUP(C485,configuration!$G$7:$H$10,2,FALSE))</f>
        <v/>
      </c>
      <c r="E485" s="2"/>
      <c r="F485" s="2"/>
      <c r="G485" s="2"/>
      <c r="H485" s="2" t="str">
        <f>IF(ISBLANK(G485),"",VLOOKUP(G485,configuration!$J$7:$K$10,2,FALSE))</f>
        <v/>
      </c>
      <c r="I485" s="30"/>
      <c r="J485" s="2"/>
      <c r="K485" s="31"/>
      <c r="L485" s="35"/>
      <c r="M485" s="2" t="str">
        <f>IF(ISBLANK(L485),"",VLOOKUP(L485,configuration!$M$7:$N$10,2,FALSE))</f>
        <v/>
      </c>
      <c r="N485" s="30"/>
      <c r="O485" s="2"/>
      <c r="P485" s="31"/>
      <c r="Q485" s="54"/>
      <c r="R485" s="55" t="str">
        <f>IF(ISBLANK(Q485),"",VLOOKUP(Q485,configuration!$P$7:$Q$10,2,FALSE))</f>
        <v/>
      </c>
      <c r="S485" s="56"/>
      <c r="T485" s="55"/>
      <c r="U485" s="78"/>
      <c r="V485" s="76" t="str">
        <f t="shared" si="32"/>
        <v/>
      </c>
      <c r="W485" s="48" t="str">
        <f t="shared" si="32"/>
        <v/>
      </c>
      <c r="X485" s="48" t="str">
        <f t="shared" si="32"/>
        <v/>
      </c>
      <c r="Y485" s="48" t="str">
        <f t="shared" si="32"/>
        <v/>
      </c>
      <c r="Z485" s="49" t="str">
        <f t="shared" si="30"/>
        <v/>
      </c>
      <c r="AA485" s="50" t="str">
        <f t="shared" si="33"/>
        <v/>
      </c>
      <c r="AB485" s="48" t="str">
        <f t="shared" si="33"/>
        <v/>
      </c>
      <c r="AC485" s="48" t="str">
        <f t="shared" si="33"/>
        <v/>
      </c>
      <c r="AD485" s="48" t="str">
        <f t="shared" si="33"/>
        <v/>
      </c>
      <c r="AE485" s="48" t="str">
        <f t="shared" si="31"/>
        <v/>
      </c>
    </row>
    <row r="486" spans="1:31" x14ac:dyDescent="0.25">
      <c r="A486" s="2"/>
      <c r="B486" s="2"/>
      <c r="C486" s="2"/>
      <c r="D486" s="2" t="str">
        <f>IF(ISBLANK(C486),"",VLOOKUP(C486,configuration!$G$7:$H$10,2,FALSE))</f>
        <v/>
      </c>
      <c r="E486" s="2"/>
      <c r="F486" s="2"/>
      <c r="G486" s="2"/>
      <c r="H486" s="2" t="str">
        <f>IF(ISBLANK(G486),"",VLOOKUP(G486,configuration!$J$7:$K$10,2,FALSE))</f>
        <v/>
      </c>
      <c r="I486" s="30"/>
      <c r="J486" s="2"/>
      <c r="K486" s="31"/>
      <c r="L486" s="35"/>
      <c r="M486" s="2" t="str">
        <f>IF(ISBLANK(L486),"",VLOOKUP(L486,configuration!$M$7:$N$10,2,FALSE))</f>
        <v/>
      </c>
      <c r="N486" s="30"/>
      <c r="O486" s="2"/>
      <c r="P486" s="31"/>
      <c r="Q486" s="54"/>
      <c r="R486" s="55" t="str">
        <f>IF(ISBLANK(Q486),"",VLOOKUP(Q486,configuration!$P$7:$Q$10,2,FALSE))</f>
        <v/>
      </c>
      <c r="S486" s="56"/>
      <c r="T486" s="55"/>
      <c r="U486" s="78"/>
      <c r="V486" s="76" t="str">
        <f t="shared" si="32"/>
        <v/>
      </c>
      <c r="W486" s="48" t="str">
        <f t="shared" si="32"/>
        <v/>
      </c>
      <c r="X486" s="48" t="str">
        <f t="shared" si="32"/>
        <v/>
      </c>
      <c r="Y486" s="48" t="str">
        <f t="shared" si="32"/>
        <v/>
      </c>
      <c r="Z486" s="49" t="str">
        <f t="shared" si="30"/>
        <v/>
      </c>
      <c r="AA486" s="50" t="str">
        <f t="shared" si="33"/>
        <v/>
      </c>
      <c r="AB486" s="48" t="str">
        <f t="shared" si="33"/>
        <v/>
      </c>
      <c r="AC486" s="48" t="str">
        <f t="shared" si="33"/>
        <v/>
      </c>
      <c r="AD486" s="48" t="str">
        <f t="shared" si="33"/>
        <v/>
      </c>
      <c r="AE486" s="48" t="str">
        <f t="shared" si="31"/>
        <v/>
      </c>
    </row>
    <row r="487" spans="1:31" x14ac:dyDescent="0.25">
      <c r="A487" s="2"/>
      <c r="B487" s="2"/>
      <c r="C487" s="2"/>
      <c r="D487" s="2" t="str">
        <f>IF(ISBLANK(C487),"",VLOOKUP(C487,configuration!$G$7:$H$10,2,FALSE))</f>
        <v/>
      </c>
      <c r="E487" s="2"/>
      <c r="F487" s="2"/>
      <c r="G487" s="2"/>
      <c r="H487" s="2" t="str">
        <f>IF(ISBLANK(G487),"",VLOOKUP(G487,configuration!$J$7:$K$10,2,FALSE))</f>
        <v/>
      </c>
      <c r="I487" s="30"/>
      <c r="J487" s="2"/>
      <c r="K487" s="31"/>
      <c r="L487" s="35"/>
      <c r="M487" s="2" t="str">
        <f>IF(ISBLANK(L487),"",VLOOKUP(L487,configuration!$M$7:$N$10,2,FALSE))</f>
        <v/>
      </c>
      <c r="N487" s="30"/>
      <c r="O487" s="2"/>
      <c r="P487" s="31"/>
      <c r="Q487" s="54"/>
      <c r="R487" s="55" t="str">
        <f>IF(ISBLANK(Q487),"",VLOOKUP(Q487,configuration!$P$7:$Q$10,2,FALSE))</f>
        <v/>
      </c>
      <c r="S487" s="56"/>
      <c r="T487" s="55"/>
      <c r="U487" s="78"/>
      <c r="V487" s="76" t="str">
        <f t="shared" si="32"/>
        <v/>
      </c>
      <c r="W487" s="48" t="str">
        <f t="shared" si="32"/>
        <v/>
      </c>
      <c r="X487" s="48" t="str">
        <f t="shared" si="32"/>
        <v/>
      </c>
      <c r="Y487" s="48" t="str">
        <f t="shared" si="32"/>
        <v/>
      </c>
      <c r="Z487" s="49" t="str">
        <f t="shared" si="30"/>
        <v/>
      </c>
      <c r="AA487" s="50" t="str">
        <f t="shared" si="33"/>
        <v/>
      </c>
      <c r="AB487" s="48" t="str">
        <f t="shared" si="33"/>
        <v/>
      </c>
      <c r="AC487" s="48" t="str">
        <f t="shared" si="33"/>
        <v/>
      </c>
      <c r="AD487" s="48" t="str">
        <f t="shared" si="33"/>
        <v/>
      </c>
      <c r="AE487" s="48" t="str">
        <f t="shared" si="31"/>
        <v/>
      </c>
    </row>
    <row r="488" spans="1:31" x14ac:dyDescent="0.25">
      <c r="A488" s="2"/>
      <c r="B488" s="2"/>
      <c r="C488" s="2"/>
      <c r="D488" s="2" t="str">
        <f>IF(ISBLANK(C488),"",VLOOKUP(C488,configuration!$G$7:$H$10,2,FALSE))</f>
        <v/>
      </c>
      <c r="E488" s="2"/>
      <c r="F488" s="2"/>
      <c r="G488" s="2"/>
      <c r="H488" s="2" t="str">
        <f>IF(ISBLANK(G488),"",VLOOKUP(G488,configuration!$J$7:$K$10,2,FALSE))</f>
        <v/>
      </c>
      <c r="I488" s="30"/>
      <c r="J488" s="2"/>
      <c r="K488" s="31"/>
      <c r="L488" s="35"/>
      <c r="M488" s="2" t="str">
        <f>IF(ISBLANK(L488),"",VLOOKUP(L488,configuration!$M$7:$N$10,2,FALSE))</f>
        <v/>
      </c>
      <c r="N488" s="30"/>
      <c r="O488" s="2"/>
      <c r="P488" s="31"/>
      <c r="Q488" s="54"/>
      <c r="R488" s="55" t="str">
        <f>IF(ISBLANK(Q488),"",VLOOKUP(Q488,configuration!$P$7:$Q$10,2,FALSE))</f>
        <v/>
      </c>
      <c r="S488" s="56"/>
      <c r="T488" s="55"/>
      <c r="U488" s="78"/>
      <c r="V488" s="76" t="str">
        <f t="shared" si="32"/>
        <v/>
      </c>
      <c r="W488" s="48" t="str">
        <f t="shared" si="32"/>
        <v/>
      </c>
      <c r="X488" s="48" t="str">
        <f t="shared" si="32"/>
        <v/>
      </c>
      <c r="Y488" s="48" t="str">
        <f t="shared" si="32"/>
        <v/>
      </c>
      <c r="Z488" s="49" t="str">
        <f t="shared" si="30"/>
        <v/>
      </c>
      <c r="AA488" s="50" t="str">
        <f t="shared" si="33"/>
        <v/>
      </c>
      <c r="AB488" s="48" t="str">
        <f t="shared" si="33"/>
        <v/>
      </c>
      <c r="AC488" s="48" t="str">
        <f t="shared" si="33"/>
        <v/>
      </c>
      <c r="AD488" s="48" t="str">
        <f t="shared" si="33"/>
        <v/>
      </c>
      <c r="AE488" s="48" t="str">
        <f t="shared" si="31"/>
        <v/>
      </c>
    </row>
    <row r="489" spans="1:31" x14ac:dyDescent="0.25">
      <c r="A489" s="2"/>
      <c r="B489" s="2"/>
      <c r="C489" s="2"/>
      <c r="D489" s="2" t="str">
        <f>IF(ISBLANK(C489),"",VLOOKUP(C489,configuration!$G$7:$H$10,2,FALSE))</f>
        <v/>
      </c>
      <c r="E489" s="2"/>
      <c r="F489" s="2"/>
      <c r="G489" s="2"/>
      <c r="H489" s="2" t="str">
        <f>IF(ISBLANK(G489),"",VLOOKUP(G489,configuration!$J$7:$K$10,2,FALSE))</f>
        <v/>
      </c>
      <c r="I489" s="30"/>
      <c r="J489" s="2"/>
      <c r="K489" s="31"/>
      <c r="L489" s="35"/>
      <c r="M489" s="2" t="str">
        <f>IF(ISBLANK(L489),"",VLOOKUP(L489,configuration!$M$7:$N$10,2,FALSE))</f>
        <v/>
      </c>
      <c r="N489" s="30"/>
      <c r="O489" s="2"/>
      <c r="P489" s="31"/>
      <c r="Q489" s="54"/>
      <c r="R489" s="55" t="str">
        <f>IF(ISBLANK(Q489),"",VLOOKUP(Q489,configuration!$P$7:$Q$10,2,FALSE))</f>
        <v/>
      </c>
      <c r="S489" s="56"/>
      <c r="T489" s="55"/>
      <c r="U489" s="78"/>
      <c r="V489" s="76" t="str">
        <f t="shared" si="32"/>
        <v/>
      </c>
      <c r="W489" s="48" t="str">
        <f t="shared" si="32"/>
        <v/>
      </c>
      <c r="X489" s="48" t="str">
        <f t="shared" si="32"/>
        <v/>
      </c>
      <c r="Y489" s="48" t="str">
        <f t="shared" si="32"/>
        <v/>
      </c>
      <c r="Z489" s="49" t="str">
        <f t="shared" si="30"/>
        <v/>
      </c>
      <c r="AA489" s="50" t="str">
        <f t="shared" si="33"/>
        <v/>
      </c>
      <c r="AB489" s="48" t="str">
        <f t="shared" si="33"/>
        <v/>
      </c>
      <c r="AC489" s="48" t="str">
        <f t="shared" si="33"/>
        <v/>
      </c>
      <c r="AD489" s="48" t="str">
        <f t="shared" si="33"/>
        <v/>
      </c>
      <c r="AE489" s="48" t="str">
        <f t="shared" si="31"/>
        <v/>
      </c>
    </row>
    <row r="490" spans="1:31" x14ac:dyDescent="0.25">
      <c r="A490" s="2"/>
      <c r="B490" s="2"/>
      <c r="C490" s="2"/>
      <c r="D490" s="2" t="str">
        <f>IF(ISBLANK(C490),"",VLOOKUP(C490,configuration!$G$7:$H$10,2,FALSE))</f>
        <v/>
      </c>
      <c r="E490" s="2"/>
      <c r="F490" s="2"/>
      <c r="G490" s="2"/>
      <c r="H490" s="2" t="str">
        <f>IF(ISBLANK(G490),"",VLOOKUP(G490,configuration!$J$7:$K$10,2,FALSE))</f>
        <v/>
      </c>
      <c r="I490" s="30"/>
      <c r="J490" s="2"/>
      <c r="K490" s="31"/>
      <c r="L490" s="35"/>
      <c r="M490" s="2" t="str">
        <f>IF(ISBLANK(L490),"",VLOOKUP(L490,configuration!$M$7:$N$10,2,FALSE))</f>
        <v/>
      </c>
      <c r="N490" s="30"/>
      <c r="O490" s="2"/>
      <c r="P490" s="31"/>
      <c r="Q490" s="54"/>
      <c r="R490" s="55" t="str">
        <f>IF(ISBLANK(Q490),"",VLOOKUP(Q490,configuration!$P$7:$Q$10,2,FALSE))</f>
        <v/>
      </c>
      <c r="S490" s="56"/>
      <c r="T490" s="55"/>
      <c r="U490" s="78"/>
      <c r="V490" s="76" t="str">
        <f t="shared" si="32"/>
        <v/>
      </c>
      <c r="W490" s="48" t="str">
        <f t="shared" si="32"/>
        <v/>
      </c>
      <c r="X490" s="48" t="str">
        <f t="shared" si="32"/>
        <v/>
      </c>
      <c r="Y490" s="48" t="str">
        <f t="shared" si="32"/>
        <v/>
      </c>
      <c r="Z490" s="49" t="str">
        <f t="shared" si="30"/>
        <v/>
      </c>
      <c r="AA490" s="50" t="str">
        <f t="shared" si="33"/>
        <v/>
      </c>
      <c r="AB490" s="48" t="str">
        <f t="shared" si="33"/>
        <v/>
      </c>
      <c r="AC490" s="48" t="str">
        <f t="shared" si="33"/>
        <v/>
      </c>
      <c r="AD490" s="48" t="str">
        <f t="shared" si="33"/>
        <v/>
      </c>
      <c r="AE490" s="48" t="str">
        <f t="shared" si="31"/>
        <v/>
      </c>
    </row>
    <row r="491" spans="1:31" x14ac:dyDescent="0.25">
      <c r="A491" s="2"/>
      <c r="B491" s="2"/>
      <c r="C491" s="2"/>
      <c r="D491" s="2" t="str">
        <f>IF(ISBLANK(C491),"",VLOOKUP(C491,configuration!$G$7:$H$10,2,FALSE))</f>
        <v/>
      </c>
      <c r="E491" s="2"/>
      <c r="F491" s="2"/>
      <c r="G491" s="2"/>
      <c r="H491" s="2" t="str">
        <f>IF(ISBLANK(G491),"",VLOOKUP(G491,configuration!$J$7:$K$10,2,FALSE))</f>
        <v/>
      </c>
      <c r="I491" s="30"/>
      <c r="J491" s="2"/>
      <c r="K491" s="31"/>
      <c r="L491" s="35"/>
      <c r="M491" s="2" t="str">
        <f>IF(ISBLANK(L491),"",VLOOKUP(L491,configuration!$M$7:$N$10,2,FALSE))</f>
        <v/>
      </c>
      <c r="N491" s="30"/>
      <c r="O491" s="2"/>
      <c r="P491" s="31"/>
      <c r="Q491" s="54"/>
      <c r="R491" s="55" t="str">
        <f>IF(ISBLANK(Q491),"",VLOOKUP(Q491,configuration!$P$7:$Q$10,2,FALSE))</f>
        <v/>
      </c>
      <c r="S491" s="56"/>
      <c r="T491" s="55"/>
      <c r="U491" s="78"/>
      <c r="V491" s="76" t="str">
        <f t="shared" si="32"/>
        <v/>
      </c>
      <c r="W491" s="48" t="str">
        <f t="shared" si="32"/>
        <v/>
      </c>
      <c r="X491" s="48" t="str">
        <f t="shared" si="32"/>
        <v/>
      </c>
      <c r="Y491" s="48" t="str">
        <f t="shared" si="32"/>
        <v/>
      </c>
      <c r="Z491" s="49" t="str">
        <f t="shared" si="30"/>
        <v/>
      </c>
      <c r="AA491" s="50" t="str">
        <f t="shared" si="33"/>
        <v/>
      </c>
      <c r="AB491" s="48" t="str">
        <f t="shared" si="33"/>
        <v/>
      </c>
      <c r="AC491" s="48" t="str">
        <f t="shared" si="33"/>
        <v/>
      </c>
      <c r="AD491" s="48" t="str">
        <f t="shared" si="33"/>
        <v/>
      </c>
      <c r="AE491" s="48" t="str">
        <f t="shared" si="31"/>
        <v/>
      </c>
    </row>
    <row r="492" spans="1:31" x14ac:dyDescent="0.25">
      <c r="A492" s="2"/>
      <c r="B492" s="2"/>
      <c r="C492" s="2"/>
      <c r="D492" s="2" t="str">
        <f>IF(ISBLANK(C492),"",VLOOKUP(C492,configuration!$G$7:$H$10,2,FALSE))</f>
        <v/>
      </c>
      <c r="E492" s="2"/>
      <c r="F492" s="2"/>
      <c r="G492" s="2"/>
      <c r="H492" s="2" t="str">
        <f>IF(ISBLANK(G492),"",VLOOKUP(G492,configuration!$J$7:$K$10,2,FALSE))</f>
        <v/>
      </c>
      <c r="I492" s="30"/>
      <c r="J492" s="2"/>
      <c r="K492" s="31"/>
      <c r="L492" s="35"/>
      <c r="M492" s="2" t="str">
        <f>IF(ISBLANK(L492),"",VLOOKUP(L492,configuration!$M$7:$N$10,2,FALSE))</f>
        <v/>
      </c>
      <c r="N492" s="30"/>
      <c r="O492" s="2"/>
      <c r="P492" s="31"/>
      <c r="Q492" s="54"/>
      <c r="R492" s="55" t="str">
        <f>IF(ISBLANK(Q492),"",VLOOKUP(Q492,configuration!$P$7:$Q$10,2,FALSE))</f>
        <v/>
      </c>
      <c r="S492" s="56"/>
      <c r="T492" s="55"/>
      <c r="U492" s="78"/>
      <c r="V492" s="76" t="str">
        <f t="shared" si="32"/>
        <v/>
      </c>
      <c r="W492" s="48" t="str">
        <f t="shared" si="32"/>
        <v/>
      </c>
      <c r="X492" s="48" t="str">
        <f t="shared" si="32"/>
        <v/>
      </c>
      <c r="Y492" s="48" t="str">
        <f t="shared" si="32"/>
        <v/>
      </c>
      <c r="Z492" s="49" t="str">
        <f t="shared" si="30"/>
        <v/>
      </c>
      <c r="AA492" s="50" t="str">
        <f t="shared" si="33"/>
        <v/>
      </c>
      <c r="AB492" s="48" t="str">
        <f t="shared" si="33"/>
        <v/>
      </c>
      <c r="AC492" s="48" t="str">
        <f t="shared" si="33"/>
        <v/>
      </c>
      <c r="AD492" s="48" t="str">
        <f t="shared" si="33"/>
        <v/>
      </c>
      <c r="AE492" s="48" t="str">
        <f t="shared" si="31"/>
        <v/>
      </c>
    </row>
    <row r="493" spans="1:31" x14ac:dyDescent="0.25">
      <c r="A493" s="2"/>
      <c r="B493" s="2"/>
      <c r="C493" s="2"/>
      <c r="D493" s="2" t="str">
        <f>IF(ISBLANK(C493),"",VLOOKUP(C493,configuration!$G$7:$H$10,2,FALSE))</f>
        <v/>
      </c>
      <c r="E493" s="2"/>
      <c r="F493" s="2"/>
      <c r="G493" s="2"/>
      <c r="H493" s="2" t="str">
        <f>IF(ISBLANK(G493),"",VLOOKUP(G493,configuration!$J$7:$K$10,2,FALSE))</f>
        <v/>
      </c>
      <c r="I493" s="30"/>
      <c r="J493" s="2"/>
      <c r="K493" s="31"/>
      <c r="L493" s="35"/>
      <c r="M493" s="2" t="str">
        <f>IF(ISBLANK(L493),"",VLOOKUP(L493,configuration!$M$7:$N$10,2,FALSE))</f>
        <v/>
      </c>
      <c r="N493" s="30"/>
      <c r="O493" s="2"/>
      <c r="P493" s="31"/>
      <c r="Q493" s="54"/>
      <c r="R493" s="55" t="str">
        <f>IF(ISBLANK(Q493),"",VLOOKUP(Q493,configuration!$P$7:$Q$10,2,FALSE))</f>
        <v/>
      </c>
      <c r="S493" s="56"/>
      <c r="T493" s="55"/>
      <c r="U493" s="78"/>
      <c r="V493" s="76" t="str">
        <f t="shared" si="32"/>
        <v/>
      </c>
      <c r="W493" s="48" t="str">
        <f t="shared" si="32"/>
        <v/>
      </c>
      <c r="X493" s="48" t="str">
        <f t="shared" si="32"/>
        <v/>
      </c>
      <c r="Y493" s="48" t="str">
        <f t="shared" si="32"/>
        <v/>
      </c>
      <c r="Z493" s="49" t="str">
        <f t="shared" si="30"/>
        <v/>
      </c>
      <c r="AA493" s="50" t="str">
        <f t="shared" si="33"/>
        <v/>
      </c>
      <c r="AB493" s="48" t="str">
        <f t="shared" si="33"/>
        <v/>
      </c>
      <c r="AC493" s="48" t="str">
        <f t="shared" si="33"/>
        <v/>
      </c>
      <c r="AD493" s="48" t="str">
        <f t="shared" si="33"/>
        <v/>
      </c>
      <c r="AE493" s="48" t="str">
        <f t="shared" si="31"/>
        <v/>
      </c>
    </row>
    <row r="494" spans="1:31" x14ac:dyDescent="0.25">
      <c r="A494" s="2"/>
      <c r="B494" s="2"/>
      <c r="C494" s="2"/>
      <c r="D494" s="2" t="str">
        <f>IF(ISBLANK(C494),"",VLOOKUP(C494,configuration!$G$7:$H$10,2,FALSE))</f>
        <v/>
      </c>
      <c r="E494" s="2"/>
      <c r="F494" s="2"/>
      <c r="G494" s="2"/>
      <c r="H494" s="2" t="str">
        <f>IF(ISBLANK(G494),"",VLOOKUP(G494,configuration!$J$7:$K$10,2,FALSE))</f>
        <v/>
      </c>
      <c r="I494" s="30"/>
      <c r="J494" s="2"/>
      <c r="K494" s="31"/>
      <c r="L494" s="35"/>
      <c r="M494" s="2" t="str">
        <f>IF(ISBLANK(L494),"",VLOOKUP(L494,configuration!$M$7:$N$10,2,FALSE))</f>
        <v/>
      </c>
      <c r="N494" s="30"/>
      <c r="O494" s="2"/>
      <c r="P494" s="31"/>
      <c r="Q494" s="54"/>
      <c r="R494" s="55" t="str">
        <f>IF(ISBLANK(Q494),"",VLOOKUP(Q494,configuration!$P$7:$Q$10,2,FALSE))</f>
        <v/>
      </c>
      <c r="S494" s="56"/>
      <c r="T494" s="55"/>
      <c r="U494" s="78"/>
      <c r="V494" s="76" t="str">
        <f t="shared" si="32"/>
        <v/>
      </c>
      <c r="W494" s="48" t="str">
        <f t="shared" si="32"/>
        <v/>
      </c>
      <c r="X494" s="48" t="str">
        <f t="shared" si="32"/>
        <v/>
      </c>
      <c r="Y494" s="48" t="str">
        <f t="shared" si="32"/>
        <v/>
      </c>
      <c r="Z494" s="49" t="str">
        <f t="shared" si="30"/>
        <v/>
      </c>
      <c r="AA494" s="50" t="str">
        <f t="shared" si="33"/>
        <v/>
      </c>
      <c r="AB494" s="48" t="str">
        <f t="shared" si="33"/>
        <v/>
      </c>
      <c r="AC494" s="48" t="str">
        <f t="shared" si="33"/>
        <v/>
      </c>
      <c r="AD494" s="48" t="str">
        <f t="shared" si="33"/>
        <v/>
      </c>
      <c r="AE494" s="48" t="str">
        <f t="shared" si="31"/>
        <v/>
      </c>
    </row>
    <row r="495" spans="1:31" x14ac:dyDescent="0.25">
      <c r="A495" s="2"/>
      <c r="B495" s="2"/>
      <c r="C495" s="2"/>
      <c r="D495" s="2" t="str">
        <f>IF(ISBLANK(C495),"",VLOOKUP(C495,configuration!$G$7:$H$10,2,FALSE))</f>
        <v/>
      </c>
      <c r="E495" s="2"/>
      <c r="F495" s="2"/>
      <c r="G495" s="2"/>
      <c r="H495" s="2" t="str">
        <f>IF(ISBLANK(G495),"",VLOOKUP(G495,configuration!$J$7:$K$10,2,FALSE))</f>
        <v/>
      </c>
      <c r="I495" s="30"/>
      <c r="J495" s="2"/>
      <c r="K495" s="31"/>
      <c r="L495" s="35"/>
      <c r="M495" s="2" t="str">
        <f>IF(ISBLANK(L495),"",VLOOKUP(L495,configuration!$M$7:$N$10,2,FALSE))</f>
        <v/>
      </c>
      <c r="N495" s="30"/>
      <c r="O495" s="2"/>
      <c r="P495" s="31"/>
      <c r="Q495" s="54"/>
      <c r="R495" s="55" t="str">
        <f>IF(ISBLANK(Q495),"",VLOOKUP(Q495,configuration!$P$7:$Q$10,2,FALSE))</f>
        <v/>
      </c>
      <c r="S495" s="56"/>
      <c r="T495" s="55"/>
      <c r="U495" s="78"/>
      <c r="V495" s="76" t="str">
        <f t="shared" si="32"/>
        <v/>
      </c>
      <c r="W495" s="48" t="str">
        <f t="shared" si="32"/>
        <v/>
      </c>
      <c r="X495" s="48" t="str">
        <f t="shared" si="32"/>
        <v/>
      </c>
      <c r="Y495" s="48" t="str">
        <f t="shared" si="32"/>
        <v/>
      </c>
      <c r="Z495" s="49" t="str">
        <f t="shared" si="30"/>
        <v/>
      </c>
      <c r="AA495" s="50" t="str">
        <f t="shared" si="33"/>
        <v/>
      </c>
      <c r="AB495" s="48" t="str">
        <f t="shared" si="33"/>
        <v/>
      </c>
      <c r="AC495" s="48" t="str">
        <f t="shared" si="33"/>
        <v/>
      </c>
      <c r="AD495" s="48" t="str">
        <f t="shared" si="33"/>
        <v/>
      </c>
      <c r="AE495" s="48" t="str">
        <f t="shared" si="31"/>
        <v/>
      </c>
    </row>
    <row r="496" spans="1:31" x14ac:dyDescent="0.25">
      <c r="A496" s="2"/>
      <c r="B496" s="2"/>
      <c r="C496" s="2"/>
      <c r="D496" s="2" t="str">
        <f>IF(ISBLANK(C496),"",VLOOKUP(C496,configuration!$G$7:$H$10,2,FALSE))</f>
        <v/>
      </c>
      <c r="E496" s="2"/>
      <c r="F496" s="2"/>
      <c r="G496" s="2"/>
      <c r="H496" s="2" t="str">
        <f>IF(ISBLANK(G496),"",VLOOKUP(G496,configuration!$J$7:$K$10,2,FALSE))</f>
        <v/>
      </c>
      <c r="I496" s="30"/>
      <c r="J496" s="2"/>
      <c r="K496" s="31"/>
      <c r="L496" s="35"/>
      <c r="M496" s="2" t="str">
        <f>IF(ISBLANK(L496),"",VLOOKUP(L496,configuration!$M$7:$N$10,2,FALSE))</f>
        <v/>
      </c>
      <c r="N496" s="30"/>
      <c r="O496" s="2"/>
      <c r="P496" s="31"/>
      <c r="Q496" s="54"/>
      <c r="R496" s="55" t="str">
        <f>IF(ISBLANK(Q496),"",VLOOKUP(Q496,configuration!$P$7:$Q$10,2,FALSE))</f>
        <v/>
      </c>
      <c r="S496" s="56"/>
      <c r="T496" s="55"/>
      <c r="U496" s="78"/>
      <c r="V496" s="76" t="str">
        <f t="shared" si="32"/>
        <v/>
      </c>
      <c r="W496" s="48" t="str">
        <f t="shared" si="32"/>
        <v/>
      </c>
      <c r="X496" s="48" t="str">
        <f t="shared" si="32"/>
        <v/>
      </c>
      <c r="Y496" s="48" t="str">
        <f t="shared" si="32"/>
        <v/>
      </c>
      <c r="Z496" s="49" t="str">
        <f t="shared" si="30"/>
        <v/>
      </c>
      <c r="AA496" s="50" t="str">
        <f t="shared" si="33"/>
        <v/>
      </c>
      <c r="AB496" s="48" t="str">
        <f t="shared" si="33"/>
        <v/>
      </c>
      <c r="AC496" s="48" t="str">
        <f t="shared" si="33"/>
        <v/>
      </c>
      <c r="AD496" s="48" t="str">
        <f t="shared" si="33"/>
        <v/>
      </c>
      <c r="AE496" s="48" t="str">
        <f t="shared" si="31"/>
        <v/>
      </c>
    </row>
    <row r="497" spans="1:31" x14ac:dyDescent="0.25">
      <c r="A497" s="2"/>
      <c r="B497" s="2"/>
      <c r="C497" s="2"/>
      <c r="D497" s="2" t="str">
        <f>IF(ISBLANK(C497),"",VLOOKUP(C497,configuration!$G$7:$H$10,2,FALSE))</f>
        <v/>
      </c>
      <c r="E497" s="2"/>
      <c r="F497" s="2"/>
      <c r="G497" s="2"/>
      <c r="H497" s="2" t="str">
        <f>IF(ISBLANK(G497),"",VLOOKUP(G497,configuration!$J$7:$K$10,2,FALSE))</f>
        <v/>
      </c>
      <c r="I497" s="30"/>
      <c r="J497" s="2"/>
      <c r="K497" s="31"/>
      <c r="L497" s="35"/>
      <c r="M497" s="2" t="str">
        <f>IF(ISBLANK(L497),"",VLOOKUP(L497,configuration!$M$7:$N$10,2,FALSE))</f>
        <v/>
      </c>
      <c r="N497" s="30"/>
      <c r="O497" s="2"/>
      <c r="P497" s="31"/>
      <c r="Q497" s="54"/>
      <c r="R497" s="55" t="str">
        <f>IF(ISBLANK(Q497),"",VLOOKUP(Q497,configuration!$P$7:$Q$10,2,FALSE))</f>
        <v/>
      </c>
      <c r="S497" s="56"/>
      <c r="T497" s="55"/>
      <c r="U497" s="78"/>
      <c r="V497" s="76" t="str">
        <f t="shared" si="32"/>
        <v/>
      </c>
      <c r="W497" s="48" t="str">
        <f t="shared" si="32"/>
        <v/>
      </c>
      <c r="X497" s="48" t="str">
        <f t="shared" si="32"/>
        <v/>
      </c>
      <c r="Y497" s="48" t="str">
        <f t="shared" si="32"/>
        <v/>
      </c>
      <c r="Z497" s="49" t="str">
        <f t="shared" si="30"/>
        <v/>
      </c>
      <c r="AA497" s="50" t="str">
        <f t="shared" si="33"/>
        <v/>
      </c>
      <c r="AB497" s="48" t="str">
        <f t="shared" si="33"/>
        <v/>
      </c>
      <c r="AC497" s="48" t="str">
        <f t="shared" si="33"/>
        <v/>
      </c>
      <c r="AD497" s="48" t="str">
        <f t="shared" si="33"/>
        <v/>
      </c>
      <c r="AE497" s="48" t="str">
        <f t="shared" si="31"/>
        <v/>
      </c>
    </row>
    <row r="498" spans="1:31" x14ac:dyDescent="0.25">
      <c r="A498" s="2"/>
      <c r="B498" s="2"/>
      <c r="C498" s="2"/>
      <c r="D498" s="2" t="str">
        <f>IF(ISBLANK(C498),"",VLOOKUP(C498,configuration!$G$7:$H$10,2,FALSE))</f>
        <v/>
      </c>
      <c r="E498" s="2"/>
      <c r="F498" s="2"/>
      <c r="G498" s="2"/>
      <c r="H498" s="2" t="str">
        <f>IF(ISBLANK(G498),"",VLOOKUP(G498,configuration!$J$7:$K$10,2,FALSE))</f>
        <v/>
      </c>
      <c r="I498" s="30"/>
      <c r="J498" s="2"/>
      <c r="K498" s="31"/>
      <c r="L498" s="35"/>
      <c r="M498" s="2" t="str">
        <f>IF(ISBLANK(L498),"",VLOOKUP(L498,configuration!$M$7:$N$10,2,FALSE))</f>
        <v/>
      </c>
      <c r="N498" s="30"/>
      <c r="O498" s="2"/>
      <c r="P498" s="31"/>
      <c r="Q498" s="54"/>
      <c r="R498" s="55" t="str">
        <f>IF(ISBLANK(Q498),"",VLOOKUP(Q498,configuration!$P$7:$Q$10,2,FALSE))</f>
        <v/>
      </c>
      <c r="S498" s="56"/>
      <c r="T498" s="55"/>
      <c r="U498" s="78"/>
      <c r="V498" s="76" t="str">
        <f t="shared" si="32"/>
        <v/>
      </c>
      <c r="W498" s="48" t="str">
        <f t="shared" si="32"/>
        <v/>
      </c>
      <c r="X498" s="48" t="str">
        <f t="shared" si="32"/>
        <v/>
      </c>
      <c r="Y498" s="48" t="str">
        <f t="shared" si="32"/>
        <v/>
      </c>
      <c r="Z498" s="49" t="str">
        <f t="shared" si="30"/>
        <v/>
      </c>
      <c r="AA498" s="50" t="str">
        <f t="shared" si="33"/>
        <v/>
      </c>
      <c r="AB498" s="48" t="str">
        <f t="shared" si="33"/>
        <v/>
      </c>
      <c r="AC498" s="48" t="str">
        <f t="shared" si="33"/>
        <v/>
      </c>
      <c r="AD498" s="48" t="str">
        <f t="shared" si="33"/>
        <v/>
      </c>
      <c r="AE498" s="48" t="str">
        <f t="shared" si="31"/>
        <v/>
      </c>
    </row>
    <row r="499" spans="1:31" x14ac:dyDescent="0.25">
      <c r="A499" s="2"/>
      <c r="B499" s="2"/>
      <c r="C499" s="2"/>
      <c r="D499" s="2" t="str">
        <f>IF(ISBLANK(C499),"",VLOOKUP(C499,configuration!$G$7:$H$10,2,FALSE))</f>
        <v/>
      </c>
      <c r="E499" s="2"/>
      <c r="F499" s="2"/>
      <c r="G499" s="2"/>
      <c r="H499" s="2" t="str">
        <f>IF(ISBLANK(G499),"",VLOOKUP(G499,configuration!$J$7:$K$10,2,FALSE))</f>
        <v/>
      </c>
      <c r="I499" s="30"/>
      <c r="J499" s="2"/>
      <c r="K499" s="31"/>
      <c r="L499" s="35"/>
      <c r="M499" s="2" t="str">
        <f>IF(ISBLANK(L499),"",VLOOKUP(L499,configuration!$M$7:$N$10,2,FALSE))</f>
        <v/>
      </c>
      <c r="N499" s="30"/>
      <c r="O499" s="2"/>
      <c r="P499" s="31"/>
      <c r="Q499" s="54"/>
      <c r="R499" s="55" t="str">
        <f>IF(ISBLANK(Q499),"",VLOOKUP(Q499,configuration!$P$7:$Q$10,2,FALSE))</f>
        <v/>
      </c>
      <c r="S499" s="56"/>
      <c r="T499" s="55"/>
      <c r="U499" s="78"/>
      <c r="V499" s="76" t="str">
        <f t="shared" si="32"/>
        <v/>
      </c>
      <c r="W499" s="48" t="str">
        <f t="shared" si="32"/>
        <v/>
      </c>
      <c r="X499" s="48" t="str">
        <f t="shared" si="32"/>
        <v/>
      </c>
      <c r="Y499" s="48" t="str">
        <f t="shared" si="32"/>
        <v/>
      </c>
      <c r="Z499" s="49" t="str">
        <f t="shared" si="30"/>
        <v/>
      </c>
      <c r="AA499" s="50" t="str">
        <f t="shared" si="33"/>
        <v/>
      </c>
      <c r="AB499" s="48" t="str">
        <f t="shared" si="33"/>
        <v/>
      </c>
      <c r="AC499" s="48" t="str">
        <f t="shared" si="33"/>
        <v/>
      </c>
      <c r="AD499" s="48" t="str">
        <f t="shared" si="33"/>
        <v/>
      </c>
      <c r="AE499" s="48" t="str">
        <f t="shared" si="31"/>
        <v/>
      </c>
    </row>
    <row r="500" spans="1:31" x14ac:dyDescent="0.25">
      <c r="A500" s="2"/>
      <c r="B500" s="2"/>
      <c r="C500" s="2"/>
      <c r="D500" s="2" t="str">
        <f>IF(ISBLANK(C500),"",VLOOKUP(C500,configuration!$G$7:$H$10,2,FALSE))</f>
        <v/>
      </c>
      <c r="E500" s="2"/>
      <c r="F500" s="2"/>
      <c r="G500" s="2"/>
      <c r="H500" s="2" t="str">
        <f>IF(ISBLANK(G500),"",VLOOKUP(G500,configuration!$J$7:$K$10,2,FALSE))</f>
        <v/>
      </c>
      <c r="I500" s="30"/>
      <c r="J500" s="2"/>
      <c r="K500" s="31"/>
      <c r="L500" s="35"/>
      <c r="M500" s="2" t="str">
        <f>IF(ISBLANK(L500),"",VLOOKUP(L500,configuration!$M$7:$N$10,2,FALSE))</f>
        <v/>
      </c>
      <c r="N500" s="30"/>
      <c r="O500" s="2"/>
      <c r="P500" s="31"/>
      <c r="Q500" s="54"/>
      <c r="R500" s="55" t="str">
        <f>IF(ISBLANK(Q500),"",VLOOKUP(Q500,configuration!$P$7:$Q$10,2,FALSE))</f>
        <v/>
      </c>
      <c r="S500" s="56"/>
      <c r="T500" s="55"/>
      <c r="U500" s="78"/>
      <c r="V500" s="76" t="str">
        <f t="shared" si="32"/>
        <v/>
      </c>
      <c r="W500" s="48" t="str">
        <f t="shared" si="32"/>
        <v/>
      </c>
      <c r="X500" s="48" t="str">
        <f t="shared" si="32"/>
        <v/>
      </c>
      <c r="Y500" s="48" t="str">
        <f t="shared" si="32"/>
        <v/>
      </c>
      <c r="Z500" s="49" t="str">
        <f t="shared" si="30"/>
        <v/>
      </c>
      <c r="AA500" s="50" t="str">
        <f t="shared" si="33"/>
        <v/>
      </c>
      <c r="AB500" s="48" t="str">
        <f t="shared" si="33"/>
        <v/>
      </c>
      <c r="AC500" s="48" t="str">
        <f t="shared" si="33"/>
        <v/>
      </c>
      <c r="AD500" s="48" t="str">
        <f t="shared" si="33"/>
        <v/>
      </c>
      <c r="AE500" s="48" t="str">
        <f t="shared" si="31"/>
        <v/>
      </c>
    </row>
    <row r="501" spans="1:31" x14ac:dyDescent="0.25">
      <c r="A501" s="2"/>
      <c r="B501" s="2"/>
      <c r="C501" s="2"/>
      <c r="D501" s="2" t="str">
        <f>IF(ISBLANK(C501),"",VLOOKUP(C501,configuration!$G$7:$H$10,2,FALSE))</f>
        <v/>
      </c>
      <c r="E501" s="2"/>
      <c r="F501" s="2"/>
      <c r="G501" s="2"/>
      <c r="H501" s="2" t="str">
        <f>IF(ISBLANK(G501),"",VLOOKUP(G501,configuration!$J$7:$K$10,2,FALSE))</f>
        <v/>
      </c>
      <c r="I501" s="30"/>
      <c r="J501" s="2"/>
      <c r="K501" s="31"/>
      <c r="L501" s="35"/>
      <c r="M501" s="2" t="str">
        <f>IF(ISBLANK(L501),"",VLOOKUP(L501,configuration!$M$7:$N$10,2,FALSE))</f>
        <v/>
      </c>
      <c r="N501" s="30"/>
      <c r="O501" s="2"/>
      <c r="P501" s="31"/>
      <c r="Q501" s="54"/>
      <c r="R501" s="55" t="str">
        <f>IF(ISBLANK(Q501),"",VLOOKUP(Q501,configuration!$P$7:$Q$10,2,FALSE))</f>
        <v/>
      </c>
      <c r="S501" s="56"/>
      <c r="T501" s="55"/>
      <c r="U501" s="78"/>
      <c r="V501" s="76" t="str">
        <f t="shared" si="32"/>
        <v/>
      </c>
      <c r="W501" s="48" t="str">
        <f t="shared" si="32"/>
        <v/>
      </c>
      <c r="X501" s="48" t="str">
        <f t="shared" si="32"/>
        <v/>
      </c>
      <c r="Y501" s="48" t="str">
        <f t="shared" si="32"/>
        <v/>
      </c>
      <c r="Z501" s="49" t="str">
        <f t="shared" si="30"/>
        <v/>
      </c>
      <c r="AA501" s="50" t="str">
        <f t="shared" si="33"/>
        <v/>
      </c>
      <c r="AB501" s="48" t="str">
        <f t="shared" si="33"/>
        <v/>
      </c>
      <c r="AC501" s="48" t="str">
        <f t="shared" si="33"/>
        <v/>
      </c>
      <c r="AD501" s="48" t="str">
        <f t="shared" si="33"/>
        <v/>
      </c>
      <c r="AE501" s="48" t="str">
        <f t="shared" si="31"/>
        <v/>
      </c>
    </row>
    <row r="502" spans="1:31" x14ac:dyDescent="0.25">
      <c r="A502" s="2"/>
      <c r="B502" s="2"/>
      <c r="C502" s="2"/>
      <c r="D502" s="2" t="str">
        <f>IF(ISBLANK(C502),"",VLOOKUP(C502,configuration!$G$7:$H$10,2,FALSE))</f>
        <v/>
      </c>
      <c r="E502" s="2"/>
      <c r="F502" s="2"/>
      <c r="G502" s="2"/>
      <c r="H502" s="2" t="str">
        <f>IF(ISBLANK(G502),"",VLOOKUP(G502,configuration!$J$7:$K$10,2,FALSE))</f>
        <v/>
      </c>
      <c r="I502" s="30"/>
      <c r="J502" s="2"/>
      <c r="K502" s="31"/>
      <c r="L502" s="35"/>
      <c r="M502" s="2" t="str">
        <f>IF(ISBLANK(L502),"",VLOOKUP(L502,configuration!$M$7:$N$10,2,FALSE))</f>
        <v/>
      </c>
      <c r="N502" s="30"/>
      <c r="O502" s="2"/>
      <c r="P502" s="31"/>
      <c r="Q502" s="54"/>
      <c r="R502" s="55" t="str">
        <f>IF(ISBLANK(Q502),"",VLOOKUP(Q502,configuration!$P$7:$Q$10,2,FALSE))</f>
        <v/>
      </c>
      <c r="S502" s="56"/>
      <c r="T502" s="55"/>
      <c r="U502" s="78"/>
      <c r="V502" s="76" t="str">
        <f t="shared" si="32"/>
        <v/>
      </c>
      <c r="W502" s="48" t="str">
        <f t="shared" si="32"/>
        <v/>
      </c>
      <c r="X502" s="48" t="str">
        <f t="shared" si="32"/>
        <v/>
      </c>
      <c r="Y502" s="48" t="str">
        <f t="shared" si="32"/>
        <v/>
      </c>
      <c r="Z502" s="49" t="str">
        <f t="shared" si="30"/>
        <v/>
      </c>
      <c r="AA502" s="50" t="str">
        <f t="shared" si="33"/>
        <v/>
      </c>
      <c r="AB502" s="48" t="str">
        <f t="shared" si="33"/>
        <v/>
      </c>
      <c r="AC502" s="48" t="str">
        <f t="shared" si="33"/>
        <v/>
      </c>
      <c r="AD502" s="48" t="str">
        <f t="shared" si="33"/>
        <v/>
      </c>
      <c r="AE502" s="48" t="str">
        <f t="shared" si="31"/>
        <v/>
      </c>
    </row>
    <row r="503" spans="1:31" x14ac:dyDescent="0.25">
      <c r="A503" s="2"/>
      <c r="B503" s="2"/>
      <c r="C503" s="2"/>
      <c r="D503" s="2" t="str">
        <f>IF(ISBLANK(C503),"",VLOOKUP(C503,configuration!$G$7:$H$10,2,FALSE))</f>
        <v/>
      </c>
      <c r="E503" s="2"/>
      <c r="F503" s="2"/>
      <c r="G503" s="2"/>
      <c r="H503" s="2" t="str">
        <f>IF(ISBLANK(G503),"",VLOOKUP(G503,configuration!$J$7:$K$10,2,FALSE))</f>
        <v/>
      </c>
      <c r="I503" s="30"/>
      <c r="J503" s="2"/>
      <c r="K503" s="31"/>
      <c r="L503" s="35"/>
      <c r="M503" s="2" t="str">
        <f>IF(ISBLANK(L503),"",VLOOKUP(L503,configuration!$M$7:$N$10,2,FALSE))</f>
        <v/>
      </c>
      <c r="N503" s="30"/>
      <c r="O503" s="2"/>
      <c r="P503" s="31"/>
      <c r="Q503" s="54"/>
      <c r="R503" s="55" t="str">
        <f>IF(ISBLANK(Q503),"",VLOOKUP(Q503,configuration!$P$7:$Q$10,2,FALSE))</f>
        <v/>
      </c>
      <c r="S503" s="56"/>
      <c r="T503" s="55"/>
      <c r="U503" s="78"/>
      <c r="V503" s="76" t="str">
        <f t="shared" si="32"/>
        <v/>
      </c>
      <c r="W503" s="48" t="str">
        <f t="shared" si="32"/>
        <v/>
      </c>
      <c r="X503" s="48" t="str">
        <f t="shared" si="32"/>
        <v/>
      </c>
      <c r="Y503" s="48" t="str">
        <f t="shared" si="32"/>
        <v/>
      </c>
      <c r="Z503" s="49" t="str">
        <f t="shared" si="30"/>
        <v/>
      </c>
      <c r="AA503" s="50" t="str">
        <f t="shared" si="33"/>
        <v/>
      </c>
      <c r="AB503" s="48" t="str">
        <f t="shared" si="33"/>
        <v/>
      </c>
      <c r="AC503" s="48" t="str">
        <f t="shared" si="33"/>
        <v/>
      </c>
      <c r="AD503" s="48" t="str">
        <f t="shared" si="33"/>
        <v/>
      </c>
      <c r="AE503" s="48" t="str">
        <f t="shared" si="31"/>
        <v/>
      </c>
    </row>
    <row r="504" spans="1:31" x14ac:dyDescent="0.25">
      <c r="A504" s="2"/>
      <c r="B504" s="2"/>
      <c r="C504" s="2"/>
      <c r="D504" s="2" t="str">
        <f>IF(ISBLANK(C504),"",VLOOKUP(C504,configuration!$G$7:$H$10,2,FALSE))</f>
        <v/>
      </c>
      <c r="E504" s="2"/>
      <c r="F504" s="2"/>
      <c r="G504" s="2"/>
      <c r="H504" s="2" t="str">
        <f>IF(ISBLANK(G504),"",VLOOKUP(G504,configuration!$J$7:$K$10,2,FALSE))</f>
        <v/>
      </c>
      <c r="I504" s="30"/>
      <c r="J504" s="2"/>
      <c r="K504" s="31"/>
      <c r="L504" s="35"/>
      <c r="M504" s="2" t="str">
        <f>IF(ISBLANK(L504),"",VLOOKUP(L504,configuration!$M$7:$N$10,2,FALSE))</f>
        <v/>
      </c>
      <c r="N504" s="30"/>
      <c r="O504" s="2"/>
      <c r="P504" s="31"/>
      <c r="Q504" s="54"/>
      <c r="R504" s="55" t="str">
        <f>IF(ISBLANK(Q504),"",VLOOKUP(Q504,configuration!$P$7:$Q$10,2,FALSE))</f>
        <v/>
      </c>
      <c r="S504" s="56"/>
      <c r="T504" s="55"/>
      <c r="U504" s="78"/>
      <c r="V504" s="76" t="str">
        <f t="shared" si="32"/>
        <v/>
      </c>
      <c r="W504" s="48" t="str">
        <f t="shared" si="32"/>
        <v/>
      </c>
      <c r="X504" s="48" t="str">
        <f t="shared" si="32"/>
        <v/>
      </c>
      <c r="Y504" s="48" t="str">
        <f t="shared" si="32"/>
        <v/>
      </c>
      <c r="Z504" s="49" t="str">
        <f t="shared" si="30"/>
        <v/>
      </c>
      <c r="AA504" s="50" t="str">
        <f t="shared" si="33"/>
        <v/>
      </c>
      <c r="AB504" s="48" t="str">
        <f t="shared" si="33"/>
        <v/>
      </c>
      <c r="AC504" s="48" t="str">
        <f t="shared" si="33"/>
        <v/>
      </c>
      <c r="AD504" s="48" t="str">
        <f t="shared" si="33"/>
        <v/>
      </c>
      <c r="AE504" s="48" t="str">
        <f t="shared" si="31"/>
        <v/>
      </c>
    </row>
    <row r="505" spans="1:31" x14ac:dyDescent="0.25">
      <c r="A505" s="2"/>
      <c r="B505" s="2"/>
      <c r="C505" s="2"/>
      <c r="D505" s="2" t="str">
        <f>IF(ISBLANK(C505),"",VLOOKUP(C505,configuration!$G$7:$H$10,2,FALSE))</f>
        <v/>
      </c>
      <c r="E505" s="2"/>
      <c r="F505" s="2"/>
      <c r="G505" s="2"/>
      <c r="H505" s="2" t="str">
        <f>IF(ISBLANK(G505),"",VLOOKUP(G505,configuration!$J$7:$K$10,2,FALSE))</f>
        <v/>
      </c>
      <c r="I505" s="30"/>
      <c r="J505" s="2"/>
      <c r="K505" s="31"/>
      <c r="L505" s="35"/>
      <c r="M505" s="2" t="str">
        <f>IF(ISBLANK(L505),"",VLOOKUP(L505,configuration!$M$7:$N$10,2,FALSE))</f>
        <v/>
      </c>
      <c r="N505" s="30"/>
      <c r="O505" s="2"/>
      <c r="P505" s="31"/>
      <c r="Q505" s="54"/>
      <c r="R505" s="55" t="str">
        <f>IF(ISBLANK(Q505),"",VLOOKUP(Q505,configuration!$P$7:$Q$10,2,FALSE))</f>
        <v/>
      </c>
      <c r="S505" s="56"/>
      <c r="T505" s="55"/>
      <c r="U505" s="78"/>
      <c r="V505" s="76" t="str">
        <f t="shared" si="32"/>
        <v/>
      </c>
      <c r="W505" s="48" t="str">
        <f t="shared" si="32"/>
        <v/>
      </c>
      <c r="X505" s="48" t="str">
        <f t="shared" si="32"/>
        <v/>
      </c>
      <c r="Y505" s="48" t="str">
        <f t="shared" si="32"/>
        <v/>
      </c>
      <c r="Z505" s="49" t="str">
        <f t="shared" si="30"/>
        <v/>
      </c>
      <c r="AA505" s="50" t="str">
        <f t="shared" si="33"/>
        <v/>
      </c>
      <c r="AB505" s="48" t="str">
        <f t="shared" si="33"/>
        <v/>
      </c>
      <c r="AC505" s="48" t="str">
        <f t="shared" si="33"/>
        <v/>
      </c>
      <c r="AD505" s="48" t="str">
        <f t="shared" si="33"/>
        <v/>
      </c>
      <c r="AE505" s="48" t="str">
        <f t="shared" si="31"/>
        <v/>
      </c>
    </row>
    <row r="506" spans="1:31" x14ac:dyDescent="0.25">
      <c r="A506" s="2"/>
      <c r="B506" s="2"/>
      <c r="C506" s="2"/>
      <c r="D506" s="2" t="str">
        <f>IF(ISBLANK(C506),"",VLOOKUP(C506,configuration!$G$7:$H$10,2,FALSE))</f>
        <v/>
      </c>
      <c r="E506" s="2"/>
      <c r="F506" s="2"/>
      <c r="G506" s="2"/>
      <c r="H506" s="2" t="str">
        <f>IF(ISBLANK(G506),"",VLOOKUP(G506,configuration!$J$7:$K$10,2,FALSE))</f>
        <v/>
      </c>
      <c r="I506" s="30"/>
      <c r="J506" s="2"/>
      <c r="K506" s="31"/>
      <c r="L506" s="35"/>
      <c r="M506" s="2" t="str">
        <f>IF(ISBLANK(L506),"",VLOOKUP(L506,configuration!$M$7:$N$10,2,FALSE))</f>
        <v/>
      </c>
      <c r="N506" s="30"/>
      <c r="O506" s="2"/>
      <c r="P506" s="31"/>
      <c r="Q506" s="54"/>
      <c r="R506" s="55" t="str">
        <f>IF(ISBLANK(Q506),"",VLOOKUP(Q506,configuration!$P$7:$Q$10,2,FALSE))</f>
        <v/>
      </c>
      <c r="S506" s="56"/>
      <c r="T506" s="55"/>
      <c r="U506" s="78"/>
      <c r="V506" s="76" t="str">
        <f t="shared" si="32"/>
        <v/>
      </c>
      <c r="W506" s="48" t="str">
        <f t="shared" si="32"/>
        <v/>
      </c>
      <c r="X506" s="48" t="str">
        <f t="shared" si="32"/>
        <v/>
      </c>
      <c r="Y506" s="48" t="str">
        <f t="shared" si="32"/>
        <v/>
      </c>
      <c r="Z506" s="49" t="str">
        <f t="shared" si="30"/>
        <v/>
      </c>
      <c r="AA506" s="50" t="str">
        <f t="shared" si="33"/>
        <v/>
      </c>
      <c r="AB506" s="48" t="str">
        <f t="shared" si="33"/>
        <v/>
      </c>
      <c r="AC506" s="48" t="str">
        <f t="shared" si="33"/>
        <v/>
      </c>
      <c r="AD506" s="48" t="str">
        <f t="shared" si="33"/>
        <v/>
      </c>
      <c r="AE506" s="48" t="str">
        <f t="shared" si="31"/>
        <v/>
      </c>
    </row>
    <row r="507" spans="1:31" x14ac:dyDescent="0.25">
      <c r="A507" s="2"/>
      <c r="B507" s="2"/>
      <c r="C507" s="2"/>
      <c r="D507" s="2" t="str">
        <f>IF(ISBLANK(C507),"",VLOOKUP(C507,configuration!$G$7:$H$10,2,FALSE))</f>
        <v/>
      </c>
      <c r="E507" s="2"/>
      <c r="F507" s="2"/>
      <c r="G507" s="2"/>
      <c r="H507" s="2" t="str">
        <f>IF(ISBLANK(G507),"",VLOOKUP(G507,configuration!$J$7:$K$10,2,FALSE))</f>
        <v/>
      </c>
      <c r="I507" s="30"/>
      <c r="J507" s="2"/>
      <c r="K507" s="31"/>
      <c r="L507" s="35"/>
      <c r="M507" s="2" t="str">
        <f>IF(ISBLANK(L507),"",VLOOKUP(L507,configuration!$M$7:$N$10,2,FALSE))</f>
        <v/>
      </c>
      <c r="N507" s="30"/>
      <c r="O507" s="2"/>
      <c r="P507" s="31"/>
      <c r="Q507" s="54"/>
      <c r="R507" s="55" t="str">
        <f>IF(ISBLANK(Q507),"",VLOOKUP(Q507,configuration!$P$7:$Q$10,2,FALSE))</f>
        <v/>
      </c>
      <c r="S507" s="56"/>
      <c r="T507" s="55"/>
      <c r="U507" s="78"/>
      <c r="V507" s="76" t="str">
        <f t="shared" si="32"/>
        <v/>
      </c>
      <c r="W507" s="48" t="str">
        <f t="shared" si="32"/>
        <v/>
      </c>
      <c r="X507" s="48" t="str">
        <f t="shared" si="32"/>
        <v/>
      </c>
      <c r="Y507" s="48" t="str">
        <f t="shared" si="32"/>
        <v/>
      </c>
      <c r="Z507" s="49" t="str">
        <f t="shared" si="30"/>
        <v/>
      </c>
      <c r="AA507" s="50" t="str">
        <f t="shared" si="33"/>
        <v/>
      </c>
      <c r="AB507" s="48" t="str">
        <f t="shared" si="33"/>
        <v/>
      </c>
      <c r="AC507" s="48" t="str">
        <f t="shared" si="33"/>
        <v/>
      </c>
      <c r="AD507" s="48" t="str">
        <f t="shared" si="33"/>
        <v/>
      </c>
      <c r="AE507" s="48" t="str">
        <f t="shared" si="31"/>
        <v/>
      </c>
    </row>
    <row r="508" spans="1:31" x14ac:dyDescent="0.25">
      <c r="A508" s="2"/>
      <c r="B508" s="2"/>
      <c r="C508" s="2"/>
      <c r="D508" s="2" t="str">
        <f>IF(ISBLANK(C508),"",VLOOKUP(C508,configuration!$G$7:$H$10,2,FALSE))</f>
        <v/>
      </c>
      <c r="E508" s="2"/>
      <c r="F508" s="2"/>
      <c r="G508" s="2"/>
      <c r="H508" s="2" t="str">
        <f>IF(ISBLANK(G508),"",VLOOKUP(G508,configuration!$J$7:$K$10,2,FALSE))</f>
        <v/>
      </c>
      <c r="I508" s="30"/>
      <c r="J508" s="2"/>
      <c r="K508" s="31"/>
      <c r="L508" s="35"/>
      <c r="M508" s="2" t="str">
        <f>IF(ISBLANK(L508),"",VLOOKUP(L508,configuration!$M$7:$N$10,2,FALSE))</f>
        <v/>
      </c>
      <c r="N508" s="30"/>
      <c r="O508" s="2"/>
      <c r="P508" s="31"/>
      <c r="Q508" s="54"/>
      <c r="R508" s="55" t="str">
        <f>IF(ISBLANK(Q508),"",VLOOKUP(Q508,configuration!$P$7:$Q$10,2,FALSE))</f>
        <v/>
      </c>
      <c r="S508" s="56"/>
      <c r="T508" s="55"/>
      <c r="U508" s="78"/>
      <c r="V508" s="76" t="str">
        <f t="shared" si="32"/>
        <v/>
      </c>
      <c r="W508" s="48" t="str">
        <f t="shared" si="32"/>
        <v/>
      </c>
      <c r="X508" s="48" t="str">
        <f t="shared" si="32"/>
        <v/>
      </c>
      <c r="Y508" s="48" t="str">
        <f t="shared" si="32"/>
        <v/>
      </c>
      <c r="Z508" s="49" t="str">
        <f t="shared" si="30"/>
        <v/>
      </c>
      <c r="AA508" s="50" t="str">
        <f t="shared" si="33"/>
        <v/>
      </c>
      <c r="AB508" s="48" t="str">
        <f t="shared" si="33"/>
        <v/>
      </c>
      <c r="AC508" s="48" t="str">
        <f t="shared" si="33"/>
        <v/>
      </c>
      <c r="AD508" s="48" t="str">
        <f t="shared" si="33"/>
        <v/>
      </c>
      <c r="AE508" s="48" t="str">
        <f t="shared" si="31"/>
        <v/>
      </c>
    </row>
    <row r="509" spans="1:31" x14ac:dyDescent="0.25">
      <c r="A509" s="2"/>
      <c r="B509" s="2"/>
      <c r="C509" s="2"/>
      <c r="D509" s="2" t="str">
        <f>IF(ISBLANK(C509),"",VLOOKUP(C509,configuration!$G$7:$H$10,2,FALSE))</f>
        <v/>
      </c>
      <c r="E509" s="2"/>
      <c r="F509" s="2"/>
      <c r="G509" s="2"/>
      <c r="H509" s="2" t="str">
        <f>IF(ISBLANK(G509),"",VLOOKUP(G509,configuration!$J$7:$K$10,2,FALSE))</f>
        <v/>
      </c>
      <c r="I509" s="30"/>
      <c r="J509" s="2"/>
      <c r="K509" s="31"/>
      <c r="L509" s="35"/>
      <c r="M509" s="2" t="str">
        <f>IF(ISBLANK(L509),"",VLOOKUP(L509,configuration!$M$7:$N$10,2,FALSE))</f>
        <v/>
      </c>
      <c r="N509" s="30"/>
      <c r="O509" s="2"/>
      <c r="P509" s="31"/>
      <c r="Q509" s="54"/>
      <c r="R509" s="55" t="str">
        <f>IF(ISBLANK(Q509),"",VLOOKUP(Q509,configuration!$P$7:$Q$10,2,FALSE))</f>
        <v/>
      </c>
      <c r="S509" s="56"/>
      <c r="T509" s="55"/>
      <c r="U509" s="78"/>
      <c r="V509" s="76" t="str">
        <f t="shared" si="32"/>
        <v/>
      </c>
      <c r="W509" s="48" t="str">
        <f t="shared" si="32"/>
        <v/>
      </c>
      <c r="X509" s="48" t="str">
        <f t="shared" si="32"/>
        <v/>
      </c>
      <c r="Y509" s="48" t="str">
        <f t="shared" si="32"/>
        <v/>
      </c>
      <c r="Z509" s="49" t="str">
        <f t="shared" si="30"/>
        <v/>
      </c>
      <c r="AA509" s="50" t="str">
        <f t="shared" si="33"/>
        <v/>
      </c>
      <c r="AB509" s="48" t="str">
        <f t="shared" si="33"/>
        <v/>
      </c>
      <c r="AC509" s="48" t="str">
        <f t="shared" si="33"/>
        <v/>
      </c>
      <c r="AD509" s="48" t="str">
        <f t="shared" si="33"/>
        <v/>
      </c>
      <c r="AE509" s="48" t="str">
        <f t="shared" si="31"/>
        <v/>
      </c>
    </row>
    <row r="510" spans="1:31" x14ac:dyDescent="0.25">
      <c r="A510" s="2"/>
      <c r="B510" s="2"/>
      <c r="C510" s="2"/>
      <c r="D510" s="2" t="str">
        <f>IF(ISBLANK(C510),"",VLOOKUP(C510,configuration!$G$7:$H$10,2,FALSE))</f>
        <v/>
      </c>
      <c r="E510" s="2"/>
      <c r="F510" s="2"/>
      <c r="G510" s="2"/>
      <c r="H510" s="2" t="str">
        <f>IF(ISBLANK(G510),"",VLOOKUP(G510,configuration!$J$7:$K$10,2,FALSE))</f>
        <v/>
      </c>
      <c r="I510" s="30"/>
      <c r="J510" s="2"/>
      <c r="K510" s="31"/>
      <c r="L510" s="35"/>
      <c r="M510" s="2" t="str">
        <f>IF(ISBLANK(L510),"",VLOOKUP(L510,configuration!$M$7:$N$10,2,FALSE))</f>
        <v/>
      </c>
      <c r="N510" s="30"/>
      <c r="O510" s="2"/>
      <c r="P510" s="31"/>
      <c r="Q510" s="54"/>
      <c r="R510" s="55" t="str">
        <f>IF(ISBLANK(Q510),"",VLOOKUP(Q510,configuration!$P$7:$Q$10,2,FALSE))</f>
        <v/>
      </c>
      <c r="S510" s="56"/>
      <c r="T510" s="55"/>
      <c r="U510" s="78"/>
      <c r="V510" s="76" t="str">
        <f t="shared" si="32"/>
        <v/>
      </c>
      <c r="W510" s="48" t="str">
        <f t="shared" si="32"/>
        <v/>
      </c>
      <c r="X510" s="48" t="str">
        <f t="shared" si="32"/>
        <v/>
      </c>
      <c r="Y510" s="48" t="str">
        <f t="shared" si="32"/>
        <v/>
      </c>
      <c r="Z510" s="49" t="str">
        <f t="shared" si="30"/>
        <v/>
      </c>
      <c r="AA510" s="50" t="str">
        <f t="shared" si="33"/>
        <v/>
      </c>
      <c r="AB510" s="48" t="str">
        <f t="shared" si="33"/>
        <v/>
      </c>
      <c r="AC510" s="48" t="str">
        <f t="shared" si="33"/>
        <v/>
      </c>
      <c r="AD510" s="48" t="str">
        <f t="shared" si="33"/>
        <v/>
      </c>
      <c r="AE510" s="48" t="str">
        <f t="shared" si="31"/>
        <v/>
      </c>
    </row>
    <row r="511" spans="1:31" x14ac:dyDescent="0.25">
      <c r="A511" s="2"/>
      <c r="B511" s="2"/>
      <c r="C511" s="2"/>
      <c r="D511" s="2" t="str">
        <f>IF(ISBLANK(C511),"",VLOOKUP(C511,configuration!$G$7:$H$10,2,FALSE))</f>
        <v/>
      </c>
      <c r="E511" s="2"/>
      <c r="F511" s="2"/>
      <c r="G511" s="2"/>
      <c r="H511" s="2" t="str">
        <f>IF(ISBLANK(G511),"",VLOOKUP(G511,configuration!$J$7:$K$10,2,FALSE))</f>
        <v/>
      </c>
      <c r="I511" s="30"/>
      <c r="J511" s="2"/>
      <c r="K511" s="31"/>
      <c r="L511" s="35"/>
      <c r="M511" s="2" t="str">
        <f>IF(ISBLANK(L511),"",VLOOKUP(L511,configuration!$M$7:$N$10,2,FALSE))</f>
        <v/>
      </c>
      <c r="N511" s="30"/>
      <c r="O511" s="2"/>
      <c r="P511" s="31"/>
      <c r="Q511" s="54"/>
      <c r="R511" s="55" t="str">
        <f>IF(ISBLANK(Q511),"",VLOOKUP(Q511,configuration!$P$7:$Q$10,2,FALSE))</f>
        <v/>
      </c>
      <c r="S511" s="56"/>
      <c r="T511" s="55"/>
      <c r="U511" s="78"/>
      <c r="V511" s="76" t="str">
        <f t="shared" si="32"/>
        <v/>
      </c>
      <c r="W511" s="48" t="str">
        <f t="shared" si="32"/>
        <v/>
      </c>
      <c r="X511" s="48" t="str">
        <f t="shared" si="32"/>
        <v/>
      </c>
      <c r="Y511" s="48" t="str">
        <f t="shared" si="32"/>
        <v/>
      </c>
      <c r="Z511" s="49" t="str">
        <f t="shared" si="30"/>
        <v/>
      </c>
      <c r="AA511" s="50" t="str">
        <f t="shared" si="33"/>
        <v/>
      </c>
      <c r="AB511" s="48" t="str">
        <f t="shared" si="33"/>
        <v/>
      </c>
      <c r="AC511" s="48" t="str">
        <f t="shared" si="33"/>
        <v/>
      </c>
      <c r="AD511" s="48" t="str">
        <f t="shared" si="33"/>
        <v/>
      </c>
      <c r="AE511" s="48" t="str">
        <f t="shared" si="31"/>
        <v/>
      </c>
    </row>
    <row r="512" spans="1:31" x14ac:dyDescent="0.25">
      <c r="A512" s="2"/>
      <c r="B512" s="2"/>
      <c r="C512" s="2"/>
      <c r="D512" s="2" t="str">
        <f>IF(ISBLANK(C512),"",VLOOKUP(C512,configuration!$G$7:$H$10,2,FALSE))</f>
        <v/>
      </c>
      <c r="E512" s="2"/>
      <c r="F512" s="2"/>
      <c r="G512" s="2"/>
      <c r="H512" s="2" t="str">
        <f>IF(ISBLANK(G512),"",VLOOKUP(G512,configuration!$J$7:$K$10,2,FALSE))</f>
        <v/>
      </c>
      <c r="I512" s="30"/>
      <c r="J512" s="2"/>
      <c r="K512" s="31"/>
      <c r="L512" s="35"/>
      <c r="M512" s="2" t="str">
        <f>IF(ISBLANK(L512),"",VLOOKUP(L512,configuration!$M$7:$N$10,2,FALSE))</f>
        <v/>
      </c>
      <c r="N512" s="30"/>
      <c r="O512" s="2"/>
      <c r="P512" s="31"/>
      <c r="Q512" s="54"/>
      <c r="R512" s="55" t="str">
        <f>IF(ISBLANK(Q512),"",VLOOKUP(Q512,configuration!$P$7:$Q$10,2,FALSE))</f>
        <v/>
      </c>
      <c r="S512" s="56"/>
      <c r="T512" s="55"/>
      <c r="U512" s="78"/>
      <c r="V512" s="76" t="str">
        <f t="shared" si="32"/>
        <v/>
      </c>
      <c r="W512" s="48" t="str">
        <f t="shared" si="32"/>
        <v/>
      </c>
      <c r="X512" s="48" t="str">
        <f t="shared" si="32"/>
        <v/>
      </c>
      <c r="Y512" s="48" t="str">
        <f t="shared" si="32"/>
        <v/>
      </c>
      <c r="Z512" s="49" t="str">
        <f t="shared" si="30"/>
        <v/>
      </c>
      <c r="AA512" s="50" t="str">
        <f t="shared" si="33"/>
        <v/>
      </c>
      <c r="AB512" s="48" t="str">
        <f t="shared" si="33"/>
        <v/>
      </c>
      <c r="AC512" s="48" t="str">
        <f t="shared" si="33"/>
        <v/>
      </c>
      <c r="AD512" s="48" t="str">
        <f t="shared" si="33"/>
        <v/>
      </c>
      <c r="AE512" s="48" t="str">
        <f t="shared" si="31"/>
        <v/>
      </c>
    </row>
    <row r="513" spans="1:31" x14ac:dyDescent="0.25">
      <c r="A513" s="2"/>
      <c r="B513" s="2"/>
      <c r="C513" s="2"/>
      <c r="D513" s="2" t="str">
        <f>IF(ISBLANK(C513),"",VLOOKUP(C513,configuration!$G$7:$H$10,2,FALSE))</f>
        <v/>
      </c>
      <c r="E513" s="2"/>
      <c r="F513" s="2"/>
      <c r="G513" s="2"/>
      <c r="H513" s="2" t="str">
        <f>IF(ISBLANK(G513),"",VLOOKUP(G513,configuration!$J$7:$K$10,2,FALSE))</f>
        <v/>
      </c>
      <c r="I513" s="30"/>
      <c r="J513" s="2"/>
      <c r="K513" s="31"/>
      <c r="L513" s="35"/>
      <c r="M513" s="2" t="str">
        <f>IF(ISBLANK(L513),"",VLOOKUP(L513,configuration!$M$7:$N$10,2,FALSE))</f>
        <v/>
      </c>
      <c r="N513" s="30"/>
      <c r="O513" s="2"/>
      <c r="P513" s="31"/>
      <c r="Q513" s="54"/>
      <c r="R513" s="55" t="str">
        <f>IF(ISBLANK(Q513),"",VLOOKUP(Q513,configuration!$P$7:$Q$10,2,FALSE))</f>
        <v/>
      </c>
      <c r="S513" s="56"/>
      <c r="T513" s="55"/>
      <c r="U513" s="78"/>
      <c r="V513" s="76" t="str">
        <f t="shared" si="32"/>
        <v/>
      </c>
      <c r="W513" s="48" t="str">
        <f t="shared" si="32"/>
        <v/>
      </c>
      <c r="X513" s="48" t="str">
        <f t="shared" si="32"/>
        <v/>
      </c>
      <c r="Y513" s="48" t="str">
        <f t="shared" si="32"/>
        <v/>
      </c>
      <c r="Z513" s="49" t="str">
        <f t="shared" si="30"/>
        <v/>
      </c>
      <c r="AA513" s="50" t="str">
        <f t="shared" si="33"/>
        <v/>
      </c>
      <c r="AB513" s="48" t="str">
        <f t="shared" si="33"/>
        <v/>
      </c>
      <c r="AC513" s="48" t="str">
        <f t="shared" si="33"/>
        <v/>
      </c>
      <c r="AD513" s="48" t="str">
        <f t="shared" si="33"/>
        <v/>
      </c>
      <c r="AE513" s="48" t="str">
        <f t="shared" si="31"/>
        <v/>
      </c>
    </row>
    <row r="514" spans="1:31" x14ac:dyDescent="0.25">
      <c r="A514" s="2"/>
      <c r="B514" s="2"/>
      <c r="C514" s="2"/>
      <c r="D514" s="2" t="str">
        <f>IF(ISBLANK(C514),"",VLOOKUP(C514,configuration!$G$7:$H$10,2,FALSE))</f>
        <v/>
      </c>
      <c r="E514" s="2"/>
      <c r="F514" s="2"/>
      <c r="G514" s="2"/>
      <c r="H514" s="2" t="str">
        <f>IF(ISBLANK(G514),"",VLOOKUP(G514,configuration!$J$7:$K$10,2,FALSE))</f>
        <v/>
      </c>
      <c r="I514" s="30"/>
      <c r="J514" s="2"/>
      <c r="K514" s="31"/>
      <c r="L514" s="35"/>
      <c r="M514" s="2" t="str">
        <f>IF(ISBLANK(L514),"",VLOOKUP(L514,configuration!$M$7:$N$10,2,FALSE))</f>
        <v/>
      </c>
      <c r="N514" s="30"/>
      <c r="O514" s="2"/>
      <c r="P514" s="31"/>
      <c r="Q514" s="54"/>
      <c r="R514" s="55" t="str">
        <f>IF(ISBLANK(Q514),"",VLOOKUP(Q514,configuration!$P$7:$Q$10,2,FALSE))</f>
        <v/>
      </c>
      <c r="S514" s="56"/>
      <c r="T514" s="55"/>
      <c r="U514" s="78"/>
      <c r="V514" s="76" t="str">
        <f t="shared" si="32"/>
        <v/>
      </c>
      <c r="W514" s="48" t="str">
        <f t="shared" si="32"/>
        <v/>
      </c>
      <c r="X514" s="48" t="str">
        <f t="shared" si="32"/>
        <v/>
      </c>
      <c r="Y514" s="48" t="str">
        <f t="shared" si="32"/>
        <v/>
      </c>
      <c r="Z514" s="49" t="str">
        <f t="shared" si="30"/>
        <v/>
      </c>
      <c r="AA514" s="50" t="str">
        <f t="shared" si="33"/>
        <v/>
      </c>
      <c r="AB514" s="48" t="str">
        <f t="shared" si="33"/>
        <v/>
      </c>
      <c r="AC514" s="48" t="str">
        <f t="shared" si="33"/>
        <v/>
      </c>
      <c r="AD514" s="48" t="str">
        <f t="shared" si="33"/>
        <v/>
      </c>
      <c r="AE514" s="48" t="str">
        <f t="shared" si="31"/>
        <v/>
      </c>
    </row>
    <row r="515" spans="1:31" x14ac:dyDescent="0.25">
      <c r="A515" s="2"/>
      <c r="B515" s="2"/>
      <c r="C515" s="2"/>
      <c r="D515" s="2" t="str">
        <f>IF(ISBLANK(C515),"",VLOOKUP(C515,configuration!$G$7:$H$10,2,FALSE))</f>
        <v/>
      </c>
      <c r="E515" s="2"/>
      <c r="F515" s="2"/>
      <c r="G515" s="2"/>
      <c r="H515" s="2" t="str">
        <f>IF(ISBLANK(G515),"",VLOOKUP(G515,configuration!$J$7:$K$10,2,FALSE))</f>
        <v/>
      </c>
      <c r="I515" s="30"/>
      <c r="J515" s="2"/>
      <c r="K515" s="31"/>
      <c r="L515" s="35"/>
      <c r="M515" s="2" t="str">
        <f>IF(ISBLANK(L515),"",VLOOKUP(L515,configuration!$M$7:$N$10,2,FALSE))</f>
        <v/>
      </c>
      <c r="N515" s="30"/>
      <c r="O515" s="2"/>
      <c r="P515" s="31"/>
      <c r="Q515" s="54"/>
      <c r="R515" s="55" t="str">
        <f>IF(ISBLANK(Q515),"",VLOOKUP(Q515,configuration!$P$7:$Q$10,2,FALSE))</f>
        <v/>
      </c>
      <c r="S515" s="56"/>
      <c r="T515" s="55"/>
      <c r="U515" s="78"/>
      <c r="V515" s="76" t="str">
        <f t="shared" si="32"/>
        <v/>
      </c>
      <c r="W515" s="48" t="str">
        <f t="shared" si="32"/>
        <v/>
      </c>
      <c r="X515" s="48" t="str">
        <f t="shared" si="32"/>
        <v/>
      </c>
      <c r="Y515" s="48" t="str">
        <f t="shared" si="32"/>
        <v/>
      </c>
      <c r="Z515" s="49" t="str">
        <f t="shared" si="30"/>
        <v/>
      </c>
      <c r="AA515" s="50" t="str">
        <f t="shared" si="33"/>
        <v/>
      </c>
      <c r="AB515" s="48" t="str">
        <f t="shared" si="33"/>
        <v/>
      </c>
      <c r="AC515" s="48" t="str">
        <f t="shared" si="33"/>
        <v/>
      </c>
      <c r="AD515" s="48" t="str">
        <f t="shared" si="33"/>
        <v/>
      </c>
      <c r="AE515" s="48" t="str">
        <f t="shared" si="31"/>
        <v/>
      </c>
    </row>
    <row r="516" spans="1:31" x14ac:dyDescent="0.25">
      <c r="A516" s="2"/>
      <c r="B516" s="2"/>
      <c r="C516" s="2"/>
      <c r="D516" s="2" t="str">
        <f>IF(ISBLANK(C516),"",VLOOKUP(C516,configuration!$G$7:$H$10,2,FALSE))</f>
        <v/>
      </c>
      <c r="E516" s="2"/>
      <c r="F516" s="2"/>
      <c r="G516" s="2"/>
      <c r="H516" s="2" t="str">
        <f>IF(ISBLANK(G516),"",VLOOKUP(G516,configuration!$J$7:$K$10,2,FALSE))</f>
        <v/>
      </c>
      <c r="I516" s="30"/>
      <c r="J516" s="2"/>
      <c r="K516" s="31"/>
      <c r="L516" s="35"/>
      <c r="M516" s="2" t="str">
        <f>IF(ISBLANK(L516),"",VLOOKUP(L516,configuration!$M$7:$N$10,2,FALSE))</f>
        <v/>
      </c>
      <c r="N516" s="30"/>
      <c r="O516" s="2"/>
      <c r="P516" s="31"/>
      <c r="Q516" s="54"/>
      <c r="R516" s="55" t="str">
        <f>IF(ISBLANK(Q516),"",VLOOKUP(Q516,configuration!$P$7:$Q$10,2,FALSE))</f>
        <v/>
      </c>
      <c r="S516" s="56"/>
      <c r="T516" s="55"/>
      <c r="U516" s="78"/>
      <c r="V516" s="76" t="str">
        <f t="shared" si="32"/>
        <v/>
      </c>
      <c r="W516" s="48" t="str">
        <f t="shared" si="32"/>
        <v/>
      </c>
      <c r="X516" s="48" t="str">
        <f t="shared" si="32"/>
        <v/>
      </c>
      <c r="Y516" s="48" t="str">
        <f t="shared" si="32"/>
        <v/>
      </c>
      <c r="Z516" s="49" t="str">
        <f t="shared" si="30"/>
        <v/>
      </c>
      <c r="AA516" s="50" t="str">
        <f t="shared" si="33"/>
        <v/>
      </c>
      <c r="AB516" s="48" t="str">
        <f t="shared" si="33"/>
        <v/>
      </c>
      <c r="AC516" s="48" t="str">
        <f t="shared" si="33"/>
        <v/>
      </c>
      <c r="AD516" s="48" t="str">
        <f t="shared" si="33"/>
        <v/>
      </c>
      <c r="AE516" s="48" t="str">
        <f t="shared" si="31"/>
        <v/>
      </c>
    </row>
    <row r="517" spans="1:31" x14ac:dyDescent="0.25">
      <c r="A517" s="2"/>
      <c r="B517" s="2"/>
      <c r="C517" s="2"/>
      <c r="D517" s="2" t="str">
        <f>IF(ISBLANK(C517),"",VLOOKUP(C517,configuration!$G$7:$H$10,2,FALSE))</f>
        <v/>
      </c>
      <c r="E517" s="2"/>
      <c r="F517" s="2"/>
      <c r="G517" s="2"/>
      <c r="H517" s="2" t="str">
        <f>IF(ISBLANK(G517),"",VLOOKUP(G517,configuration!$J$7:$K$10,2,FALSE))</f>
        <v/>
      </c>
      <c r="I517" s="30"/>
      <c r="J517" s="2"/>
      <c r="K517" s="31"/>
      <c r="L517" s="35"/>
      <c r="M517" s="2" t="str">
        <f>IF(ISBLANK(L517),"",VLOOKUP(L517,configuration!$M$7:$N$10,2,FALSE))</f>
        <v/>
      </c>
      <c r="N517" s="30"/>
      <c r="O517" s="2"/>
      <c r="P517" s="31"/>
      <c r="Q517" s="54"/>
      <c r="R517" s="55" t="str">
        <f>IF(ISBLANK(Q517),"",VLOOKUP(Q517,configuration!$P$7:$Q$10,2,FALSE))</f>
        <v/>
      </c>
      <c r="S517" s="56"/>
      <c r="T517" s="55"/>
      <c r="U517" s="78"/>
      <c r="V517" s="76" t="str">
        <f t="shared" si="32"/>
        <v/>
      </c>
      <c r="W517" s="48" t="str">
        <f t="shared" si="32"/>
        <v/>
      </c>
      <c r="X517" s="48" t="str">
        <f t="shared" si="32"/>
        <v/>
      </c>
      <c r="Y517" s="48" t="str">
        <f t="shared" si="32"/>
        <v/>
      </c>
      <c r="Z517" s="49" t="str">
        <f t="shared" si="30"/>
        <v/>
      </c>
      <c r="AA517" s="50" t="str">
        <f t="shared" si="33"/>
        <v/>
      </c>
      <c r="AB517" s="48" t="str">
        <f t="shared" si="33"/>
        <v/>
      </c>
      <c r="AC517" s="48" t="str">
        <f t="shared" si="33"/>
        <v/>
      </c>
      <c r="AD517" s="48" t="str">
        <f t="shared" si="33"/>
        <v/>
      </c>
      <c r="AE517" s="48" t="str">
        <f t="shared" si="31"/>
        <v/>
      </c>
    </row>
    <row r="518" spans="1:31" x14ac:dyDescent="0.25">
      <c r="A518" s="2"/>
      <c r="B518" s="2"/>
      <c r="C518" s="2"/>
      <c r="D518" s="2" t="str">
        <f>IF(ISBLANK(C518),"",VLOOKUP(C518,configuration!$G$7:$H$10,2,FALSE))</f>
        <v/>
      </c>
      <c r="E518" s="2"/>
      <c r="F518" s="2"/>
      <c r="G518" s="2"/>
      <c r="H518" s="2" t="str">
        <f>IF(ISBLANK(G518),"",VLOOKUP(G518,configuration!$J$7:$K$10,2,FALSE))</f>
        <v/>
      </c>
      <c r="I518" s="30"/>
      <c r="J518" s="2"/>
      <c r="K518" s="31"/>
      <c r="L518" s="35"/>
      <c r="M518" s="2" t="str">
        <f>IF(ISBLANK(L518),"",VLOOKUP(L518,configuration!$M$7:$N$10,2,FALSE))</f>
        <v/>
      </c>
      <c r="N518" s="30"/>
      <c r="O518" s="2"/>
      <c r="P518" s="31"/>
      <c r="Q518" s="54"/>
      <c r="R518" s="55" t="str">
        <f>IF(ISBLANK(Q518),"",VLOOKUP(Q518,configuration!$P$7:$Q$10,2,FALSE))</f>
        <v/>
      </c>
      <c r="S518" s="56"/>
      <c r="T518" s="55"/>
      <c r="U518" s="78"/>
      <c r="V518" s="76" t="str">
        <f t="shared" si="32"/>
        <v/>
      </c>
      <c r="W518" s="48" t="str">
        <f t="shared" si="32"/>
        <v/>
      </c>
      <c r="X518" s="48" t="str">
        <f t="shared" si="32"/>
        <v/>
      </c>
      <c r="Y518" s="48" t="str">
        <f t="shared" si="32"/>
        <v/>
      </c>
      <c r="Z518" s="49" t="str">
        <f t="shared" ref="Z518:Z581" si="34">IF(AND($G518="",A518&lt;&gt;""),1,"")</f>
        <v/>
      </c>
      <c r="AA518" s="50" t="str">
        <f t="shared" si="33"/>
        <v/>
      </c>
      <c r="AB518" s="48" t="str">
        <f t="shared" si="33"/>
        <v/>
      </c>
      <c r="AC518" s="48" t="str">
        <f t="shared" si="33"/>
        <v/>
      </c>
      <c r="AD518" s="48" t="str">
        <f t="shared" si="33"/>
        <v/>
      </c>
      <c r="AE518" s="48" t="str">
        <f t="shared" ref="AE518:AE581" si="35">IF(AND($L518="",A518&lt;&gt;""),1,"")</f>
        <v/>
      </c>
    </row>
    <row r="519" spans="1:31" x14ac:dyDescent="0.25">
      <c r="A519" s="2"/>
      <c r="B519" s="2"/>
      <c r="C519" s="2"/>
      <c r="D519" s="2" t="str">
        <f>IF(ISBLANK(C519),"",VLOOKUP(C519,configuration!$G$7:$H$10,2,FALSE))</f>
        <v/>
      </c>
      <c r="E519" s="2"/>
      <c r="F519" s="2"/>
      <c r="G519" s="2"/>
      <c r="H519" s="2" t="str">
        <f>IF(ISBLANK(G519),"",VLOOKUP(G519,configuration!$J$7:$K$10,2,FALSE))</f>
        <v/>
      </c>
      <c r="I519" s="30"/>
      <c r="J519" s="2"/>
      <c r="K519" s="31"/>
      <c r="L519" s="35"/>
      <c r="M519" s="2" t="str">
        <f>IF(ISBLANK(L519),"",VLOOKUP(L519,configuration!$M$7:$N$10,2,FALSE))</f>
        <v/>
      </c>
      <c r="N519" s="30"/>
      <c r="O519" s="2"/>
      <c r="P519" s="31"/>
      <c r="Q519" s="54"/>
      <c r="R519" s="55" t="str">
        <f>IF(ISBLANK(Q519),"",VLOOKUP(Q519,configuration!$P$7:$Q$10,2,FALSE))</f>
        <v/>
      </c>
      <c r="S519" s="56"/>
      <c r="T519" s="55"/>
      <c r="U519" s="78"/>
      <c r="V519" s="76" t="str">
        <f t="shared" si="32"/>
        <v/>
      </c>
      <c r="W519" s="48" t="str">
        <f t="shared" si="32"/>
        <v/>
      </c>
      <c r="X519" s="48" t="str">
        <f t="shared" si="32"/>
        <v/>
      </c>
      <c r="Y519" s="48" t="str">
        <f t="shared" si="32"/>
        <v/>
      </c>
      <c r="Z519" s="49" t="str">
        <f t="shared" si="34"/>
        <v/>
      </c>
      <c r="AA519" s="50" t="str">
        <f t="shared" si="33"/>
        <v/>
      </c>
      <c r="AB519" s="48" t="str">
        <f t="shared" si="33"/>
        <v/>
      </c>
      <c r="AC519" s="48" t="str">
        <f t="shared" si="33"/>
        <v/>
      </c>
      <c r="AD519" s="48" t="str">
        <f t="shared" si="33"/>
        <v/>
      </c>
      <c r="AE519" s="48" t="str">
        <f t="shared" si="35"/>
        <v/>
      </c>
    </row>
    <row r="520" spans="1:31" x14ac:dyDescent="0.25">
      <c r="A520" s="2"/>
      <c r="B520" s="2"/>
      <c r="C520" s="2"/>
      <c r="D520" s="2" t="str">
        <f>IF(ISBLANK(C520),"",VLOOKUP(C520,configuration!$G$7:$H$10,2,FALSE))</f>
        <v/>
      </c>
      <c r="E520" s="2"/>
      <c r="F520" s="2"/>
      <c r="G520" s="2"/>
      <c r="H520" s="2" t="str">
        <f>IF(ISBLANK(G520),"",VLOOKUP(G520,configuration!$J$7:$K$10,2,FALSE))</f>
        <v/>
      </c>
      <c r="I520" s="30"/>
      <c r="J520" s="2"/>
      <c r="K520" s="31"/>
      <c r="L520" s="35"/>
      <c r="M520" s="2" t="str">
        <f>IF(ISBLANK(L520),"",VLOOKUP(L520,configuration!$M$7:$N$10,2,FALSE))</f>
        <v/>
      </c>
      <c r="N520" s="30"/>
      <c r="O520" s="2"/>
      <c r="P520" s="31"/>
      <c r="Q520" s="54"/>
      <c r="R520" s="55" t="str">
        <f>IF(ISBLANK(Q520),"",VLOOKUP(Q520,configuration!$P$7:$Q$10,2,FALSE))</f>
        <v/>
      </c>
      <c r="S520" s="56"/>
      <c r="T520" s="55"/>
      <c r="U520" s="78"/>
      <c r="V520" s="76" t="str">
        <f t="shared" si="32"/>
        <v/>
      </c>
      <c r="W520" s="48" t="str">
        <f t="shared" si="32"/>
        <v/>
      </c>
      <c r="X520" s="48" t="str">
        <f t="shared" si="32"/>
        <v/>
      </c>
      <c r="Y520" s="48" t="str">
        <f t="shared" si="32"/>
        <v/>
      </c>
      <c r="Z520" s="49" t="str">
        <f t="shared" si="34"/>
        <v/>
      </c>
      <c r="AA520" s="50" t="str">
        <f t="shared" si="33"/>
        <v/>
      </c>
      <c r="AB520" s="48" t="str">
        <f t="shared" si="33"/>
        <v/>
      </c>
      <c r="AC520" s="48" t="str">
        <f t="shared" si="33"/>
        <v/>
      </c>
      <c r="AD520" s="48" t="str">
        <f t="shared" si="33"/>
        <v/>
      </c>
      <c r="AE520" s="48" t="str">
        <f t="shared" si="35"/>
        <v/>
      </c>
    </row>
    <row r="521" spans="1:31" x14ac:dyDescent="0.25">
      <c r="A521" s="2"/>
      <c r="B521" s="2"/>
      <c r="C521" s="2"/>
      <c r="D521" s="2" t="str">
        <f>IF(ISBLANK(C521),"",VLOOKUP(C521,configuration!$G$7:$H$10,2,FALSE))</f>
        <v/>
      </c>
      <c r="E521" s="2"/>
      <c r="F521" s="2"/>
      <c r="G521" s="2"/>
      <c r="H521" s="2" t="str">
        <f>IF(ISBLANK(G521),"",VLOOKUP(G521,configuration!$J$7:$K$10,2,FALSE))</f>
        <v/>
      </c>
      <c r="I521" s="30"/>
      <c r="J521" s="2"/>
      <c r="K521" s="31"/>
      <c r="L521" s="35"/>
      <c r="M521" s="2" t="str">
        <f>IF(ISBLANK(L521),"",VLOOKUP(L521,configuration!$M$7:$N$10,2,FALSE))</f>
        <v/>
      </c>
      <c r="N521" s="30"/>
      <c r="O521" s="2"/>
      <c r="P521" s="31"/>
      <c r="Q521" s="54"/>
      <c r="R521" s="55" t="str">
        <f>IF(ISBLANK(Q521),"",VLOOKUP(Q521,configuration!$P$7:$Q$10,2,FALSE))</f>
        <v/>
      </c>
      <c r="S521" s="56"/>
      <c r="T521" s="55"/>
      <c r="U521" s="78"/>
      <c r="V521" s="76" t="str">
        <f t="shared" si="32"/>
        <v/>
      </c>
      <c r="W521" s="48" t="str">
        <f t="shared" si="32"/>
        <v/>
      </c>
      <c r="X521" s="48" t="str">
        <f t="shared" si="32"/>
        <v/>
      </c>
      <c r="Y521" s="48" t="str">
        <f t="shared" si="32"/>
        <v/>
      </c>
      <c r="Z521" s="49" t="str">
        <f t="shared" si="34"/>
        <v/>
      </c>
      <c r="AA521" s="50" t="str">
        <f t="shared" si="33"/>
        <v/>
      </c>
      <c r="AB521" s="48" t="str">
        <f t="shared" si="33"/>
        <v/>
      </c>
      <c r="AC521" s="48" t="str">
        <f t="shared" si="33"/>
        <v/>
      </c>
      <c r="AD521" s="48" t="str">
        <f t="shared" si="33"/>
        <v/>
      </c>
      <c r="AE521" s="48" t="str">
        <f t="shared" si="35"/>
        <v/>
      </c>
    </row>
    <row r="522" spans="1:31" x14ac:dyDescent="0.25">
      <c r="A522" s="2"/>
      <c r="B522" s="2"/>
      <c r="C522" s="2"/>
      <c r="D522" s="2" t="str">
        <f>IF(ISBLANK(C522),"",VLOOKUP(C522,configuration!$G$7:$H$10,2,FALSE))</f>
        <v/>
      </c>
      <c r="E522" s="2"/>
      <c r="F522" s="2"/>
      <c r="G522" s="2"/>
      <c r="H522" s="2" t="str">
        <f>IF(ISBLANK(G522),"",VLOOKUP(G522,configuration!$J$7:$K$10,2,FALSE))</f>
        <v/>
      </c>
      <c r="I522" s="30"/>
      <c r="J522" s="2"/>
      <c r="K522" s="31"/>
      <c r="L522" s="35"/>
      <c r="M522" s="2" t="str">
        <f>IF(ISBLANK(L522),"",VLOOKUP(L522,configuration!$M$7:$N$10,2,FALSE))</f>
        <v/>
      </c>
      <c r="N522" s="30"/>
      <c r="O522" s="2"/>
      <c r="P522" s="31"/>
      <c r="Q522" s="54"/>
      <c r="R522" s="55" t="str">
        <f>IF(ISBLANK(Q522),"",VLOOKUP(Q522,configuration!$P$7:$Q$10,2,FALSE))</f>
        <v/>
      </c>
      <c r="S522" s="56"/>
      <c r="T522" s="55"/>
      <c r="U522" s="78"/>
      <c r="V522" s="76" t="str">
        <f t="shared" si="32"/>
        <v/>
      </c>
      <c r="W522" s="48" t="str">
        <f t="shared" si="32"/>
        <v/>
      </c>
      <c r="X522" s="48" t="str">
        <f t="shared" si="32"/>
        <v/>
      </c>
      <c r="Y522" s="48" t="str">
        <f t="shared" si="32"/>
        <v/>
      </c>
      <c r="Z522" s="49" t="str">
        <f t="shared" si="34"/>
        <v/>
      </c>
      <c r="AA522" s="50" t="str">
        <f t="shared" si="33"/>
        <v/>
      </c>
      <c r="AB522" s="48" t="str">
        <f t="shared" si="33"/>
        <v/>
      </c>
      <c r="AC522" s="48" t="str">
        <f t="shared" si="33"/>
        <v/>
      </c>
      <c r="AD522" s="48" t="str">
        <f t="shared" si="33"/>
        <v/>
      </c>
      <c r="AE522" s="48" t="str">
        <f t="shared" si="35"/>
        <v/>
      </c>
    </row>
    <row r="523" spans="1:31" x14ac:dyDescent="0.25">
      <c r="A523" s="2"/>
      <c r="B523" s="2"/>
      <c r="C523" s="2"/>
      <c r="D523" s="2" t="str">
        <f>IF(ISBLANK(C523),"",VLOOKUP(C523,configuration!$G$7:$H$10,2,FALSE))</f>
        <v/>
      </c>
      <c r="E523" s="2"/>
      <c r="F523" s="2"/>
      <c r="G523" s="2"/>
      <c r="H523" s="2" t="str">
        <f>IF(ISBLANK(G523),"",VLOOKUP(G523,configuration!$J$7:$K$10,2,FALSE))</f>
        <v/>
      </c>
      <c r="I523" s="30"/>
      <c r="J523" s="2"/>
      <c r="K523" s="31"/>
      <c r="L523" s="35"/>
      <c r="M523" s="2" t="str">
        <f>IF(ISBLANK(L523),"",VLOOKUP(L523,configuration!$M$7:$N$10,2,FALSE))</f>
        <v/>
      </c>
      <c r="N523" s="30"/>
      <c r="O523" s="2"/>
      <c r="P523" s="31"/>
      <c r="Q523" s="54"/>
      <c r="R523" s="55" t="str">
        <f>IF(ISBLANK(Q523),"",VLOOKUP(Q523,configuration!$P$7:$Q$10,2,FALSE))</f>
        <v/>
      </c>
      <c r="S523" s="56"/>
      <c r="T523" s="55"/>
      <c r="U523" s="78"/>
      <c r="V523" s="76" t="str">
        <f t="shared" si="32"/>
        <v/>
      </c>
      <c r="W523" s="48" t="str">
        <f t="shared" si="32"/>
        <v/>
      </c>
      <c r="X523" s="48" t="str">
        <f t="shared" si="32"/>
        <v/>
      </c>
      <c r="Y523" s="48" t="str">
        <f t="shared" si="32"/>
        <v/>
      </c>
      <c r="Z523" s="49" t="str">
        <f t="shared" si="34"/>
        <v/>
      </c>
      <c r="AA523" s="50" t="str">
        <f t="shared" si="33"/>
        <v/>
      </c>
      <c r="AB523" s="48" t="str">
        <f t="shared" si="33"/>
        <v/>
      </c>
      <c r="AC523" s="48" t="str">
        <f t="shared" si="33"/>
        <v/>
      </c>
      <c r="AD523" s="48" t="str">
        <f t="shared" si="33"/>
        <v/>
      </c>
      <c r="AE523" s="48" t="str">
        <f t="shared" si="35"/>
        <v/>
      </c>
    </row>
    <row r="524" spans="1:31" x14ac:dyDescent="0.25">
      <c r="A524" s="2"/>
      <c r="B524" s="2"/>
      <c r="C524" s="2"/>
      <c r="D524" s="2" t="str">
        <f>IF(ISBLANK(C524),"",VLOOKUP(C524,configuration!$G$7:$H$10,2,FALSE))</f>
        <v/>
      </c>
      <c r="E524" s="2"/>
      <c r="F524" s="2"/>
      <c r="G524" s="2"/>
      <c r="H524" s="2" t="str">
        <f>IF(ISBLANK(G524),"",VLOOKUP(G524,configuration!$J$7:$K$10,2,FALSE))</f>
        <v/>
      </c>
      <c r="I524" s="30"/>
      <c r="J524" s="2"/>
      <c r="K524" s="31"/>
      <c r="L524" s="35"/>
      <c r="M524" s="2" t="str">
        <f>IF(ISBLANK(L524),"",VLOOKUP(L524,configuration!$M$7:$N$10,2,FALSE))</f>
        <v/>
      </c>
      <c r="N524" s="30"/>
      <c r="O524" s="2"/>
      <c r="P524" s="31"/>
      <c r="Q524" s="54"/>
      <c r="R524" s="55" t="str">
        <f>IF(ISBLANK(Q524),"",VLOOKUP(Q524,configuration!$P$7:$Q$10,2,FALSE))</f>
        <v/>
      </c>
      <c r="S524" s="56"/>
      <c r="T524" s="55"/>
      <c r="U524" s="78"/>
      <c r="V524" s="76" t="str">
        <f t="shared" si="32"/>
        <v/>
      </c>
      <c r="W524" s="48" t="str">
        <f t="shared" si="32"/>
        <v/>
      </c>
      <c r="X524" s="48" t="str">
        <f t="shared" si="32"/>
        <v/>
      </c>
      <c r="Y524" s="48" t="str">
        <f t="shared" si="32"/>
        <v/>
      </c>
      <c r="Z524" s="49" t="str">
        <f t="shared" si="34"/>
        <v/>
      </c>
      <c r="AA524" s="50" t="str">
        <f t="shared" si="33"/>
        <v/>
      </c>
      <c r="AB524" s="48" t="str">
        <f t="shared" si="33"/>
        <v/>
      </c>
      <c r="AC524" s="48" t="str">
        <f t="shared" si="33"/>
        <v/>
      </c>
      <c r="AD524" s="48" t="str">
        <f t="shared" si="33"/>
        <v/>
      </c>
      <c r="AE524" s="48" t="str">
        <f t="shared" si="35"/>
        <v/>
      </c>
    </row>
    <row r="525" spans="1:31" x14ac:dyDescent="0.25">
      <c r="A525" s="2"/>
      <c r="B525" s="2"/>
      <c r="C525" s="2"/>
      <c r="D525" s="2" t="str">
        <f>IF(ISBLANK(C525),"",VLOOKUP(C525,configuration!$G$7:$H$10,2,FALSE))</f>
        <v/>
      </c>
      <c r="E525" s="2"/>
      <c r="F525" s="2"/>
      <c r="G525" s="2"/>
      <c r="H525" s="2" t="str">
        <f>IF(ISBLANK(G525),"",VLOOKUP(G525,configuration!$J$7:$K$10,2,FALSE))</f>
        <v/>
      </c>
      <c r="I525" s="30"/>
      <c r="J525" s="2"/>
      <c r="K525" s="31"/>
      <c r="L525" s="35"/>
      <c r="M525" s="2" t="str">
        <f>IF(ISBLANK(L525),"",VLOOKUP(L525,configuration!$M$7:$N$10,2,FALSE))</f>
        <v/>
      </c>
      <c r="N525" s="30"/>
      <c r="O525" s="2"/>
      <c r="P525" s="31"/>
      <c r="Q525" s="54"/>
      <c r="R525" s="55" t="str">
        <f>IF(ISBLANK(Q525),"",VLOOKUP(Q525,configuration!$P$7:$Q$10,2,FALSE))</f>
        <v/>
      </c>
      <c r="S525" s="56"/>
      <c r="T525" s="55"/>
      <c r="U525" s="78"/>
      <c r="V525" s="76" t="str">
        <f t="shared" si="32"/>
        <v/>
      </c>
      <c r="W525" s="48" t="str">
        <f t="shared" si="32"/>
        <v/>
      </c>
      <c r="X525" s="48" t="str">
        <f t="shared" si="32"/>
        <v/>
      </c>
      <c r="Y525" s="48" t="str">
        <f t="shared" si="32"/>
        <v/>
      </c>
      <c r="Z525" s="49" t="str">
        <f t="shared" si="34"/>
        <v/>
      </c>
      <c r="AA525" s="50" t="str">
        <f t="shared" si="33"/>
        <v/>
      </c>
      <c r="AB525" s="48" t="str">
        <f t="shared" si="33"/>
        <v/>
      </c>
      <c r="AC525" s="48" t="str">
        <f t="shared" si="33"/>
        <v/>
      </c>
      <c r="AD525" s="48" t="str">
        <f t="shared" si="33"/>
        <v/>
      </c>
      <c r="AE525" s="48" t="str">
        <f t="shared" si="35"/>
        <v/>
      </c>
    </row>
    <row r="526" spans="1:31" x14ac:dyDescent="0.25">
      <c r="A526" s="2"/>
      <c r="B526" s="2"/>
      <c r="C526" s="2"/>
      <c r="D526" s="2" t="str">
        <f>IF(ISBLANK(C526),"",VLOOKUP(C526,configuration!$G$7:$H$10,2,FALSE))</f>
        <v/>
      </c>
      <c r="E526" s="2"/>
      <c r="F526" s="2"/>
      <c r="G526" s="2"/>
      <c r="H526" s="2" t="str">
        <f>IF(ISBLANK(G526),"",VLOOKUP(G526,configuration!$J$7:$K$10,2,FALSE))</f>
        <v/>
      </c>
      <c r="I526" s="30"/>
      <c r="J526" s="2"/>
      <c r="K526" s="31"/>
      <c r="L526" s="35"/>
      <c r="M526" s="2" t="str">
        <f>IF(ISBLANK(L526),"",VLOOKUP(L526,configuration!$M$7:$N$10,2,FALSE))</f>
        <v/>
      </c>
      <c r="N526" s="30"/>
      <c r="O526" s="2"/>
      <c r="P526" s="31"/>
      <c r="Q526" s="54"/>
      <c r="R526" s="55" t="str">
        <f>IF(ISBLANK(Q526),"",VLOOKUP(Q526,configuration!$P$7:$Q$10,2,FALSE))</f>
        <v/>
      </c>
      <c r="S526" s="56"/>
      <c r="T526" s="55"/>
      <c r="U526" s="78"/>
      <c r="V526" s="76" t="str">
        <f t="shared" si="32"/>
        <v/>
      </c>
      <c r="W526" s="48" t="str">
        <f t="shared" si="32"/>
        <v/>
      </c>
      <c r="X526" s="48" t="str">
        <f t="shared" si="32"/>
        <v/>
      </c>
      <c r="Y526" s="48" t="str">
        <f t="shared" si="32"/>
        <v/>
      </c>
      <c r="Z526" s="49" t="str">
        <f t="shared" si="34"/>
        <v/>
      </c>
      <c r="AA526" s="50" t="str">
        <f t="shared" si="33"/>
        <v/>
      </c>
      <c r="AB526" s="48" t="str">
        <f t="shared" si="33"/>
        <v/>
      </c>
      <c r="AC526" s="48" t="str">
        <f t="shared" si="33"/>
        <v/>
      </c>
      <c r="AD526" s="48" t="str">
        <f t="shared" si="33"/>
        <v/>
      </c>
      <c r="AE526" s="48" t="str">
        <f t="shared" si="35"/>
        <v/>
      </c>
    </row>
    <row r="527" spans="1:31" x14ac:dyDescent="0.25">
      <c r="A527" s="2"/>
      <c r="B527" s="2"/>
      <c r="C527" s="2"/>
      <c r="D527" s="2" t="str">
        <f>IF(ISBLANK(C527),"",VLOOKUP(C527,configuration!$G$7:$H$10,2,FALSE))</f>
        <v/>
      </c>
      <c r="E527" s="2"/>
      <c r="F527" s="2"/>
      <c r="G527" s="2"/>
      <c r="H527" s="2" t="str">
        <f>IF(ISBLANK(G527),"",VLOOKUP(G527,configuration!$J$7:$K$10,2,FALSE))</f>
        <v/>
      </c>
      <c r="I527" s="30"/>
      <c r="J527" s="2"/>
      <c r="K527" s="31"/>
      <c r="L527" s="35"/>
      <c r="M527" s="2" t="str">
        <f>IF(ISBLANK(L527),"",VLOOKUP(L527,configuration!$M$7:$N$10,2,FALSE))</f>
        <v/>
      </c>
      <c r="N527" s="30"/>
      <c r="O527" s="2"/>
      <c r="P527" s="31"/>
      <c r="Q527" s="54"/>
      <c r="R527" s="55" t="str">
        <f>IF(ISBLANK(Q527),"",VLOOKUP(Q527,configuration!$P$7:$Q$10,2,FALSE))</f>
        <v/>
      </c>
      <c r="S527" s="56"/>
      <c r="T527" s="55"/>
      <c r="U527" s="78"/>
      <c r="V527" s="76" t="str">
        <f t="shared" si="32"/>
        <v/>
      </c>
      <c r="W527" s="48" t="str">
        <f t="shared" si="32"/>
        <v/>
      </c>
      <c r="X527" s="48" t="str">
        <f t="shared" si="32"/>
        <v/>
      </c>
      <c r="Y527" s="48" t="str">
        <f t="shared" si="32"/>
        <v/>
      </c>
      <c r="Z527" s="49" t="str">
        <f t="shared" si="34"/>
        <v/>
      </c>
      <c r="AA527" s="50" t="str">
        <f t="shared" si="33"/>
        <v/>
      </c>
      <c r="AB527" s="48" t="str">
        <f t="shared" si="33"/>
        <v/>
      </c>
      <c r="AC527" s="48" t="str">
        <f t="shared" si="33"/>
        <v/>
      </c>
      <c r="AD527" s="48" t="str">
        <f t="shared" si="33"/>
        <v/>
      </c>
      <c r="AE527" s="48" t="str">
        <f t="shared" si="35"/>
        <v/>
      </c>
    </row>
    <row r="528" spans="1:31" x14ac:dyDescent="0.25">
      <c r="A528" s="2"/>
      <c r="B528" s="2"/>
      <c r="C528" s="2"/>
      <c r="D528" s="2" t="str">
        <f>IF(ISBLANK(C528),"",VLOOKUP(C528,configuration!$G$7:$H$10,2,FALSE))</f>
        <v/>
      </c>
      <c r="E528" s="2"/>
      <c r="F528" s="2"/>
      <c r="G528" s="2"/>
      <c r="H528" s="2" t="str">
        <f>IF(ISBLANK(G528),"",VLOOKUP(G528,configuration!$J$7:$K$10,2,FALSE))</f>
        <v/>
      </c>
      <c r="I528" s="30"/>
      <c r="J528" s="2"/>
      <c r="K528" s="31"/>
      <c r="L528" s="35"/>
      <c r="M528" s="2" t="str">
        <f>IF(ISBLANK(L528),"",VLOOKUP(L528,configuration!$M$7:$N$10,2,FALSE))</f>
        <v/>
      </c>
      <c r="N528" s="30"/>
      <c r="O528" s="2"/>
      <c r="P528" s="31"/>
      <c r="Q528" s="54"/>
      <c r="R528" s="55" t="str">
        <f>IF(ISBLANK(Q528),"",VLOOKUP(Q528,configuration!$P$7:$Q$10,2,FALSE))</f>
        <v/>
      </c>
      <c r="S528" s="56"/>
      <c r="T528" s="55"/>
      <c r="U528" s="78"/>
      <c r="V528" s="76" t="str">
        <f t="shared" si="32"/>
        <v/>
      </c>
      <c r="W528" s="48" t="str">
        <f t="shared" si="32"/>
        <v/>
      </c>
      <c r="X528" s="48" t="str">
        <f t="shared" si="32"/>
        <v/>
      </c>
      <c r="Y528" s="48" t="str">
        <f t="shared" si="32"/>
        <v/>
      </c>
      <c r="Z528" s="49" t="str">
        <f t="shared" si="34"/>
        <v/>
      </c>
      <c r="AA528" s="50" t="str">
        <f t="shared" si="33"/>
        <v/>
      </c>
      <c r="AB528" s="48" t="str">
        <f t="shared" si="33"/>
        <v/>
      </c>
      <c r="AC528" s="48" t="str">
        <f t="shared" si="33"/>
        <v/>
      </c>
      <c r="AD528" s="48" t="str">
        <f t="shared" si="33"/>
        <v/>
      </c>
      <c r="AE528" s="48" t="str">
        <f t="shared" si="35"/>
        <v/>
      </c>
    </row>
    <row r="529" spans="1:31" x14ac:dyDescent="0.25">
      <c r="A529" s="2"/>
      <c r="B529" s="2"/>
      <c r="C529" s="2"/>
      <c r="D529" s="2" t="str">
        <f>IF(ISBLANK(C529),"",VLOOKUP(C529,configuration!$G$7:$H$10,2,FALSE))</f>
        <v/>
      </c>
      <c r="E529" s="2"/>
      <c r="F529" s="2"/>
      <c r="G529" s="2"/>
      <c r="H529" s="2" t="str">
        <f>IF(ISBLANK(G529),"",VLOOKUP(G529,configuration!$J$7:$K$10,2,FALSE))</f>
        <v/>
      </c>
      <c r="I529" s="30"/>
      <c r="J529" s="2"/>
      <c r="K529" s="31"/>
      <c r="L529" s="35"/>
      <c r="M529" s="2" t="str">
        <f>IF(ISBLANK(L529),"",VLOOKUP(L529,configuration!$M$7:$N$10,2,FALSE))</f>
        <v/>
      </c>
      <c r="N529" s="30"/>
      <c r="O529" s="2"/>
      <c r="P529" s="31"/>
      <c r="Q529" s="54"/>
      <c r="R529" s="55" t="str">
        <f>IF(ISBLANK(Q529),"",VLOOKUP(Q529,configuration!$P$7:$Q$10,2,FALSE))</f>
        <v/>
      </c>
      <c r="S529" s="56"/>
      <c r="T529" s="55"/>
      <c r="U529" s="78"/>
      <c r="V529" s="76" t="str">
        <f t="shared" si="32"/>
        <v/>
      </c>
      <c r="W529" s="48" t="str">
        <f t="shared" si="32"/>
        <v/>
      </c>
      <c r="X529" s="48" t="str">
        <f t="shared" si="32"/>
        <v/>
      </c>
      <c r="Y529" s="48" t="str">
        <f t="shared" si="32"/>
        <v/>
      </c>
      <c r="Z529" s="49" t="str">
        <f t="shared" si="34"/>
        <v/>
      </c>
      <c r="AA529" s="50" t="str">
        <f t="shared" si="33"/>
        <v/>
      </c>
      <c r="AB529" s="48" t="str">
        <f t="shared" si="33"/>
        <v/>
      </c>
      <c r="AC529" s="48" t="str">
        <f t="shared" si="33"/>
        <v/>
      </c>
      <c r="AD529" s="48" t="str">
        <f t="shared" si="33"/>
        <v/>
      </c>
      <c r="AE529" s="48" t="str">
        <f t="shared" si="35"/>
        <v/>
      </c>
    </row>
    <row r="530" spans="1:31" x14ac:dyDescent="0.25">
      <c r="A530" s="2"/>
      <c r="B530" s="2"/>
      <c r="C530" s="2"/>
      <c r="D530" s="2" t="str">
        <f>IF(ISBLANK(C530),"",VLOOKUP(C530,configuration!$G$7:$H$10,2,FALSE))</f>
        <v/>
      </c>
      <c r="E530" s="2"/>
      <c r="F530" s="2"/>
      <c r="G530" s="2"/>
      <c r="H530" s="2" t="str">
        <f>IF(ISBLANK(G530),"",VLOOKUP(G530,configuration!$J$7:$K$10,2,FALSE))</f>
        <v/>
      </c>
      <c r="I530" s="30"/>
      <c r="J530" s="2"/>
      <c r="K530" s="31"/>
      <c r="L530" s="35"/>
      <c r="M530" s="2" t="str">
        <f>IF(ISBLANK(L530),"",VLOOKUP(L530,configuration!$M$7:$N$10,2,FALSE))</f>
        <v/>
      </c>
      <c r="N530" s="30"/>
      <c r="O530" s="2"/>
      <c r="P530" s="31"/>
      <c r="Q530" s="54"/>
      <c r="R530" s="55" t="str">
        <f>IF(ISBLANK(Q530),"",VLOOKUP(Q530,configuration!$P$7:$Q$10,2,FALSE))</f>
        <v/>
      </c>
      <c r="S530" s="56"/>
      <c r="T530" s="55"/>
      <c r="U530" s="78"/>
      <c r="V530" s="76" t="str">
        <f t="shared" si="32"/>
        <v/>
      </c>
      <c r="W530" s="48" t="str">
        <f t="shared" si="32"/>
        <v/>
      </c>
      <c r="X530" s="48" t="str">
        <f t="shared" si="32"/>
        <v/>
      </c>
      <c r="Y530" s="48" t="str">
        <f t="shared" ref="V530:Y593" si="36">IF($G530=Y$4,1,"")</f>
        <v/>
      </c>
      <c r="Z530" s="49" t="str">
        <f t="shared" si="34"/>
        <v/>
      </c>
      <c r="AA530" s="50" t="str">
        <f t="shared" si="33"/>
        <v/>
      </c>
      <c r="AB530" s="48" t="str">
        <f t="shared" si="33"/>
        <v/>
      </c>
      <c r="AC530" s="48" t="str">
        <f t="shared" si="33"/>
        <v/>
      </c>
      <c r="AD530" s="48" t="str">
        <f t="shared" ref="AA530:AD593" si="37">IF($L530=AD$4,1,"")</f>
        <v/>
      </c>
      <c r="AE530" s="48" t="str">
        <f t="shared" si="35"/>
        <v/>
      </c>
    </row>
    <row r="531" spans="1:31" x14ac:dyDescent="0.25">
      <c r="A531" s="2"/>
      <c r="B531" s="2"/>
      <c r="C531" s="2"/>
      <c r="D531" s="2" t="str">
        <f>IF(ISBLANK(C531),"",VLOOKUP(C531,configuration!$G$7:$H$10,2,FALSE))</f>
        <v/>
      </c>
      <c r="E531" s="2"/>
      <c r="F531" s="2"/>
      <c r="G531" s="2"/>
      <c r="H531" s="2" t="str">
        <f>IF(ISBLANK(G531),"",VLOOKUP(G531,configuration!$J$7:$K$10,2,FALSE))</f>
        <v/>
      </c>
      <c r="I531" s="30"/>
      <c r="J531" s="2"/>
      <c r="K531" s="31"/>
      <c r="L531" s="35"/>
      <c r="M531" s="2" t="str">
        <f>IF(ISBLANK(L531),"",VLOOKUP(L531,configuration!$M$7:$N$10,2,FALSE))</f>
        <v/>
      </c>
      <c r="N531" s="30"/>
      <c r="O531" s="2"/>
      <c r="P531" s="31"/>
      <c r="Q531" s="54"/>
      <c r="R531" s="55" t="str">
        <f>IF(ISBLANK(Q531),"",VLOOKUP(Q531,configuration!$P$7:$Q$10,2,FALSE))</f>
        <v/>
      </c>
      <c r="S531" s="56"/>
      <c r="T531" s="55"/>
      <c r="U531" s="78"/>
      <c r="V531" s="76" t="str">
        <f t="shared" si="36"/>
        <v/>
      </c>
      <c r="W531" s="48" t="str">
        <f t="shared" si="36"/>
        <v/>
      </c>
      <c r="X531" s="48" t="str">
        <f t="shared" si="36"/>
        <v/>
      </c>
      <c r="Y531" s="48" t="str">
        <f t="shared" si="36"/>
        <v/>
      </c>
      <c r="Z531" s="49" t="str">
        <f t="shared" si="34"/>
        <v/>
      </c>
      <c r="AA531" s="50" t="str">
        <f t="shared" si="37"/>
        <v/>
      </c>
      <c r="AB531" s="48" t="str">
        <f t="shared" si="37"/>
        <v/>
      </c>
      <c r="AC531" s="48" t="str">
        <f t="shared" si="37"/>
        <v/>
      </c>
      <c r="AD531" s="48" t="str">
        <f t="shared" si="37"/>
        <v/>
      </c>
      <c r="AE531" s="48" t="str">
        <f t="shared" si="35"/>
        <v/>
      </c>
    </row>
    <row r="532" spans="1:31" x14ac:dyDescent="0.25">
      <c r="A532" s="2"/>
      <c r="B532" s="2"/>
      <c r="C532" s="2"/>
      <c r="D532" s="2" t="str">
        <f>IF(ISBLANK(C532),"",VLOOKUP(C532,configuration!$G$7:$H$10,2,FALSE))</f>
        <v/>
      </c>
      <c r="E532" s="2"/>
      <c r="F532" s="2"/>
      <c r="G532" s="2"/>
      <c r="H532" s="2" t="str">
        <f>IF(ISBLANK(G532),"",VLOOKUP(G532,configuration!$J$7:$K$10,2,FALSE))</f>
        <v/>
      </c>
      <c r="I532" s="30"/>
      <c r="J532" s="2"/>
      <c r="K532" s="31"/>
      <c r="L532" s="35"/>
      <c r="M532" s="2" t="str">
        <f>IF(ISBLANK(L532),"",VLOOKUP(L532,configuration!$M$7:$N$10,2,FALSE))</f>
        <v/>
      </c>
      <c r="N532" s="30"/>
      <c r="O532" s="2"/>
      <c r="P532" s="31"/>
      <c r="Q532" s="54"/>
      <c r="R532" s="55" t="str">
        <f>IF(ISBLANK(Q532),"",VLOOKUP(Q532,configuration!$P$7:$Q$10,2,FALSE))</f>
        <v/>
      </c>
      <c r="S532" s="56"/>
      <c r="T532" s="55"/>
      <c r="U532" s="78"/>
      <c r="V532" s="76" t="str">
        <f t="shared" si="36"/>
        <v/>
      </c>
      <c r="W532" s="48" t="str">
        <f t="shared" si="36"/>
        <v/>
      </c>
      <c r="X532" s="48" t="str">
        <f t="shared" si="36"/>
        <v/>
      </c>
      <c r="Y532" s="48" t="str">
        <f t="shared" si="36"/>
        <v/>
      </c>
      <c r="Z532" s="49" t="str">
        <f t="shared" si="34"/>
        <v/>
      </c>
      <c r="AA532" s="50" t="str">
        <f t="shared" si="37"/>
        <v/>
      </c>
      <c r="AB532" s="48" t="str">
        <f t="shared" si="37"/>
        <v/>
      </c>
      <c r="AC532" s="48" t="str">
        <f t="shared" si="37"/>
        <v/>
      </c>
      <c r="AD532" s="48" t="str">
        <f t="shared" si="37"/>
        <v/>
      </c>
      <c r="AE532" s="48" t="str">
        <f t="shared" si="35"/>
        <v/>
      </c>
    </row>
    <row r="533" spans="1:31" x14ac:dyDescent="0.25">
      <c r="A533" s="2"/>
      <c r="B533" s="2"/>
      <c r="C533" s="2"/>
      <c r="D533" s="2" t="str">
        <f>IF(ISBLANK(C533),"",VLOOKUP(C533,configuration!$G$7:$H$10,2,FALSE))</f>
        <v/>
      </c>
      <c r="E533" s="2"/>
      <c r="F533" s="2"/>
      <c r="G533" s="2"/>
      <c r="H533" s="2" t="str">
        <f>IF(ISBLANK(G533),"",VLOOKUP(G533,configuration!$J$7:$K$10,2,FALSE))</f>
        <v/>
      </c>
      <c r="I533" s="30"/>
      <c r="J533" s="2"/>
      <c r="K533" s="31"/>
      <c r="L533" s="35"/>
      <c r="M533" s="2" t="str">
        <f>IF(ISBLANK(L533),"",VLOOKUP(L533,configuration!$M$7:$N$10,2,FALSE))</f>
        <v/>
      </c>
      <c r="N533" s="30"/>
      <c r="O533" s="2"/>
      <c r="P533" s="31"/>
      <c r="Q533" s="54"/>
      <c r="R533" s="55" t="str">
        <f>IF(ISBLANK(Q533),"",VLOOKUP(Q533,configuration!$P$7:$Q$10,2,FALSE))</f>
        <v/>
      </c>
      <c r="S533" s="56"/>
      <c r="T533" s="55"/>
      <c r="U533" s="78"/>
      <c r="V533" s="76" t="str">
        <f t="shared" si="36"/>
        <v/>
      </c>
      <c r="W533" s="48" t="str">
        <f t="shared" si="36"/>
        <v/>
      </c>
      <c r="X533" s="48" t="str">
        <f t="shared" si="36"/>
        <v/>
      </c>
      <c r="Y533" s="48" t="str">
        <f t="shared" si="36"/>
        <v/>
      </c>
      <c r="Z533" s="49" t="str">
        <f t="shared" si="34"/>
        <v/>
      </c>
      <c r="AA533" s="50" t="str">
        <f t="shared" si="37"/>
        <v/>
      </c>
      <c r="AB533" s="48" t="str">
        <f t="shared" si="37"/>
        <v/>
      </c>
      <c r="AC533" s="48" t="str">
        <f t="shared" si="37"/>
        <v/>
      </c>
      <c r="AD533" s="48" t="str">
        <f t="shared" si="37"/>
        <v/>
      </c>
      <c r="AE533" s="48" t="str">
        <f t="shared" si="35"/>
        <v/>
      </c>
    </row>
    <row r="534" spans="1:31" x14ac:dyDescent="0.25">
      <c r="A534" s="2"/>
      <c r="B534" s="2"/>
      <c r="C534" s="2"/>
      <c r="D534" s="2" t="str">
        <f>IF(ISBLANK(C534),"",VLOOKUP(C534,configuration!$G$7:$H$10,2,FALSE))</f>
        <v/>
      </c>
      <c r="E534" s="2"/>
      <c r="F534" s="2"/>
      <c r="G534" s="2"/>
      <c r="H534" s="2" t="str">
        <f>IF(ISBLANK(G534),"",VLOOKUP(G534,configuration!$J$7:$K$10,2,FALSE))</f>
        <v/>
      </c>
      <c r="I534" s="30"/>
      <c r="J534" s="2"/>
      <c r="K534" s="31"/>
      <c r="L534" s="35"/>
      <c r="M534" s="2" t="str">
        <f>IF(ISBLANK(L534),"",VLOOKUP(L534,configuration!$M$7:$N$10,2,FALSE))</f>
        <v/>
      </c>
      <c r="N534" s="30"/>
      <c r="O534" s="2"/>
      <c r="P534" s="31"/>
      <c r="Q534" s="54"/>
      <c r="R534" s="55" t="str">
        <f>IF(ISBLANK(Q534),"",VLOOKUP(Q534,configuration!$P$7:$Q$10,2,FALSE))</f>
        <v/>
      </c>
      <c r="S534" s="56"/>
      <c r="T534" s="55"/>
      <c r="U534" s="78"/>
      <c r="V534" s="76" t="str">
        <f t="shared" si="36"/>
        <v/>
      </c>
      <c r="W534" s="48" t="str">
        <f t="shared" si="36"/>
        <v/>
      </c>
      <c r="X534" s="48" t="str">
        <f t="shared" si="36"/>
        <v/>
      </c>
      <c r="Y534" s="48" t="str">
        <f t="shared" si="36"/>
        <v/>
      </c>
      <c r="Z534" s="49" t="str">
        <f t="shared" si="34"/>
        <v/>
      </c>
      <c r="AA534" s="50" t="str">
        <f t="shared" si="37"/>
        <v/>
      </c>
      <c r="AB534" s="48" t="str">
        <f t="shared" si="37"/>
        <v/>
      </c>
      <c r="AC534" s="48" t="str">
        <f t="shared" si="37"/>
        <v/>
      </c>
      <c r="AD534" s="48" t="str">
        <f t="shared" si="37"/>
        <v/>
      </c>
      <c r="AE534" s="48" t="str">
        <f t="shared" si="35"/>
        <v/>
      </c>
    </row>
    <row r="535" spans="1:31" x14ac:dyDescent="0.25">
      <c r="A535" s="2"/>
      <c r="B535" s="2"/>
      <c r="C535" s="2"/>
      <c r="D535" s="2" t="str">
        <f>IF(ISBLANK(C535),"",VLOOKUP(C535,configuration!$G$7:$H$10,2,FALSE))</f>
        <v/>
      </c>
      <c r="E535" s="2"/>
      <c r="F535" s="2"/>
      <c r="G535" s="2"/>
      <c r="H535" s="2" t="str">
        <f>IF(ISBLANK(G535),"",VLOOKUP(G535,configuration!$J$7:$K$10,2,FALSE))</f>
        <v/>
      </c>
      <c r="I535" s="30"/>
      <c r="J535" s="2"/>
      <c r="K535" s="31"/>
      <c r="L535" s="35"/>
      <c r="M535" s="2" t="str">
        <f>IF(ISBLANK(L535),"",VLOOKUP(L535,configuration!$M$7:$N$10,2,FALSE))</f>
        <v/>
      </c>
      <c r="N535" s="30"/>
      <c r="O535" s="2"/>
      <c r="P535" s="31"/>
      <c r="Q535" s="54"/>
      <c r="R535" s="55" t="str">
        <f>IF(ISBLANK(Q535),"",VLOOKUP(Q535,configuration!$P$7:$Q$10,2,FALSE))</f>
        <v/>
      </c>
      <c r="S535" s="56"/>
      <c r="T535" s="55"/>
      <c r="U535" s="78"/>
      <c r="V535" s="76" t="str">
        <f t="shared" si="36"/>
        <v/>
      </c>
      <c r="W535" s="48" t="str">
        <f t="shared" si="36"/>
        <v/>
      </c>
      <c r="X535" s="48" t="str">
        <f t="shared" si="36"/>
        <v/>
      </c>
      <c r="Y535" s="48" t="str">
        <f t="shared" si="36"/>
        <v/>
      </c>
      <c r="Z535" s="49" t="str">
        <f t="shared" si="34"/>
        <v/>
      </c>
      <c r="AA535" s="50" t="str">
        <f t="shared" si="37"/>
        <v/>
      </c>
      <c r="AB535" s="48" t="str">
        <f t="shared" si="37"/>
        <v/>
      </c>
      <c r="AC535" s="48" t="str">
        <f t="shared" si="37"/>
        <v/>
      </c>
      <c r="AD535" s="48" t="str">
        <f t="shared" si="37"/>
        <v/>
      </c>
      <c r="AE535" s="48" t="str">
        <f t="shared" si="35"/>
        <v/>
      </c>
    </row>
    <row r="536" spans="1:31" x14ac:dyDescent="0.25">
      <c r="A536" s="2"/>
      <c r="B536" s="2"/>
      <c r="C536" s="2"/>
      <c r="D536" s="2" t="str">
        <f>IF(ISBLANK(C536),"",VLOOKUP(C536,configuration!$G$7:$H$10,2,FALSE))</f>
        <v/>
      </c>
      <c r="E536" s="2"/>
      <c r="F536" s="2"/>
      <c r="G536" s="2"/>
      <c r="H536" s="2" t="str">
        <f>IF(ISBLANK(G536),"",VLOOKUP(G536,configuration!$J$7:$K$10,2,FALSE))</f>
        <v/>
      </c>
      <c r="I536" s="30"/>
      <c r="J536" s="2"/>
      <c r="K536" s="31"/>
      <c r="L536" s="35"/>
      <c r="M536" s="2" t="str">
        <f>IF(ISBLANK(L536),"",VLOOKUP(L536,configuration!$M$7:$N$10,2,FALSE))</f>
        <v/>
      </c>
      <c r="N536" s="30"/>
      <c r="O536" s="2"/>
      <c r="P536" s="31"/>
      <c r="Q536" s="54"/>
      <c r="R536" s="55" t="str">
        <f>IF(ISBLANK(Q536),"",VLOOKUP(Q536,configuration!$P$7:$Q$10,2,FALSE))</f>
        <v/>
      </c>
      <c r="S536" s="56"/>
      <c r="T536" s="55"/>
      <c r="U536" s="78"/>
      <c r="V536" s="76" t="str">
        <f t="shared" si="36"/>
        <v/>
      </c>
      <c r="W536" s="48" t="str">
        <f t="shared" si="36"/>
        <v/>
      </c>
      <c r="X536" s="48" t="str">
        <f t="shared" si="36"/>
        <v/>
      </c>
      <c r="Y536" s="48" t="str">
        <f t="shared" si="36"/>
        <v/>
      </c>
      <c r="Z536" s="49" t="str">
        <f t="shared" si="34"/>
        <v/>
      </c>
      <c r="AA536" s="50" t="str">
        <f t="shared" si="37"/>
        <v/>
      </c>
      <c r="AB536" s="48" t="str">
        <f t="shared" si="37"/>
        <v/>
      </c>
      <c r="AC536" s="48" t="str">
        <f t="shared" si="37"/>
        <v/>
      </c>
      <c r="AD536" s="48" t="str">
        <f t="shared" si="37"/>
        <v/>
      </c>
      <c r="AE536" s="48" t="str">
        <f t="shared" si="35"/>
        <v/>
      </c>
    </row>
    <row r="537" spans="1:31" x14ac:dyDescent="0.25">
      <c r="A537" s="2"/>
      <c r="B537" s="2"/>
      <c r="C537" s="2"/>
      <c r="D537" s="2" t="str">
        <f>IF(ISBLANK(C537),"",VLOOKUP(C537,configuration!$G$7:$H$10,2,FALSE))</f>
        <v/>
      </c>
      <c r="E537" s="2"/>
      <c r="F537" s="2"/>
      <c r="G537" s="2"/>
      <c r="H537" s="2" t="str">
        <f>IF(ISBLANK(G537),"",VLOOKUP(G537,configuration!$J$7:$K$10,2,FALSE))</f>
        <v/>
      </c>
      <c r="I537" s="30"/>
      <c r="J537" s="2"/>
      <c r="K537" s="31"/>
      <c r="L537" s="35"/>
      <c r="M537" s="2" t="str">
        <f>IF(ISBLANK(L537),"",VLOOKUP(L537,configuration!$M$7:$N$10,2,FALSE))</f>
        <v/>
      </c>
      <c r="N537" s="30"/>
      <c r="O537" s="2"/>
      <c r="P537" s="31"/>
      <c r="Q537" s="54"/>
      <c r="R537" s="55" t="str">
        <f>IF(ISBLANK(Q537),"",VLOOKUP(Q537,configuration!$P$7:$Q$10,2,FALSE))</f>
        <v/>
      </c>
      <c r="S537" s="56"/>
      <c r="T537" s="55"/>
      <c r="U537" s="78"/>
      <c r="V537" s="76" t="str">
        <f t="shared" si="36"/>
        <v/>
      </c>
      <c r="W537" s="48" t="str">
        <f t="shared" si="36"/>
        <v/>
      </c>
      <c r="X537" s="48" t="str">
        <f t="shared" si="36"/>
        <v/>
      </c>
      <c r="Y537" s="48" t="str">
        <f t="shared" si="36"/>
        <v/>
      </c>
      <c r="Z537" s="49" t="str">
        <f t="shared" si="34"/>
        <v/>
      </c>
      <c r="AA537" s="50" t="str">
        <f t="shared" si="37"/>
        <v/>
      </c>
      <c r="AB537" s="48" t="str">
        <f t="shared" si="37"/>
        <v/>
      </c>
      <c r="AC537" s="48" t="str">
        <f t="shared" si="37"/>
        <v/>
      </c>
      <c r="AD537" s="48" t="str">
        <f t="shared" si="37"/>
        <v/>
      </c>
      <c r="AE537" s="48" t="str">
        <f t="shared" si="35"/>
        <v/>
      </c>
    </row>
    <row r="538" spans="1:31" x14ac:dyDescent="0.25">
      <c r="A538" s="2"/>
      <c r="B538" s="2"/>
      <c r="C538" s="2"/>
      <c r="D538" s="2" t="str">
        <f>IF(ISBLANK(C538),"",VLOOKUP(C538,configuration!$G$7:$H$10,2,FALSE))</f>
        <v/>
      </c>
      <c r="E538" s="2"/>
      <c r="F538" s="2"/>
      <c r="G538" s="2"/>
      <c r="H538" s="2" t="str">
        <f>IF(ISBLANK(G538),"",VLOOKUP(G538,configuration!$J$7:$K$10,2,FALSE))</f>
        <v/>
      </c>
      <c r="I538" s="30"/>
      <c r="J538" s="2"/>
      <c r="K538" s="31"/>
      <c r="L538" s="35"/>
      <c r="M538" s="2" t="str">
        <f>IF(ISBLANK(L538),"",VLOOKUP(L538,configuration!$M$7:$N$10,2,FALSE))</f>
        <v/>
      </c>
      <c r="N538" s="30"/>
      <c r="O538" s="2"/>
      <c r="P538" s="31"/>
      <c r="Q538" s="54"/>
      <c r="R538" s="55" t="str">
        <f>IF(ISBLANK(Q538),"",VLOOKUP(Q538,configuration!$P$7:$Q$10,2,FALSE))</f>
        <v/>
      </c>
      <c r="S538" s="56"/>
      <c r="T538" s="55"/>
      <c r="U538" s="78"/>
      <c r="V538" s="76" t="str">
        <f t="shared" si="36"/>
        <v/>
      </c>
      <c r="W538" s="48" t="str">
        <f t="shared" si="36"/>
        <v/>
      </c>
      <c r="X538" s="48" t="str">
        <f t="shared" si="36"/>
        <v/>
      </c>
      <c r="Y538" s="48" t="str">
        <f t="shared" si="36"/>
        <v/>
      </c>
      <c r="Z538" s="49" t="str">
        <f t="shared" si="34"/>
        <v/>
      </c>
      <c r="AA538" s="50" t="str">
        <f t="shared" si="37"/>
        <v/>
      </c>
      <c r="AB538" s="48" t="str">
        <f t="shared" si="37"/>
        <v/>
      </c>
      <c r="AC538" s="48" t="str">
        <f t="shared" si="37"/>
        <v/>
      </c>
      <c r="AD538" s="48" t="str">
        <f t="shared" si="37"/>
        <v/>
      </c>
      <c r="AE538" s="48" t="str">
        <f t="shared" si="35"/>
        <v/>
      </c>
    </row>
    <row r="539" spans="1:31" x14ac:dyDescent="0.25">
      <c r="A539" s="2"/>
      <c r="B539" s="2"/>
      <c r="C539" s="2"/>
      <c r="D539" s="2" t="str">
        <f>IF(ISBLANK(C539),"",VLOOKUP(C539,configuration!$G$7:$H$10,2,FALSE))</f>
        <v/>
      </c>
      <c r="E539" s="2"/>
      <c r="F539" s="2"/>
      <c r="G539" s="2"/>
      <c r="H539" s="2" t="str">
        <f>IF(ISBLANK(G539),"",VLOOKUP(G539,configuration!$J$7:$K$10,2,FALSE))</f>
        <v/>
      </c>
      <c r="I539" s="30"/>
      <c r="J539" s="2"/>
      <c r="K539" s="31"/>
      <c r="L539" s="35"/>
      <c r="M539" s="2" t="str">
        <f>IF(ISBLANK(L539),"",VLOOKUP(L539,configuration!$M$7:$N$10,2,FALSE))</f>
        <v/>
      </c>
      <c r="N539" s="30"/>
      <c r="O539" s="2"/>
      <c r="P539" s="31"/>
      <c r="Q539" s="54"/>
      <c r="R539" s="55" t="str">
        <f>IF(ISBLANK(Q539),"",VLOOKUP(Q539,configuration!$P$7:$Q$10,2,FALSE))</f>
        <v/>
      </c>
      <c r="S539" s="56"/>
      <c r="T539" s="55"/>
      <c r="U539" s="78"/>
      <c r="V539" s="76" t="str">
        <f t="shared" si="36"/>
        <v/>
      </c>
      <c r="W539" s="48" t="str">
        <f t="shared" si="36"/>
        <v/>
      </c>
      <c r="X539" s="48" t="str">
        <f t="shared" si="36"/>
        <v/>
      </c>
      <c r="Y539" s="48" t="str">
        <f t="shared" si="36"/>
        <v/>
      </c>
      <c r="Z539" s="49" t="str">
        <f t="shared" si="34"/>
        <v/>
      </c>
      <c r="AA539" s="50" t="str">
        <f t="shared" si="37"/>
        <v/>
      </c>
      <c r="AB539" s="48" t="str">
        <f t="shared" si="37"/>
        <v/>
      </c>
      <c r="AC539" s="48" t="str">
        <f t="shared" si="37"/>
        <v/>
      </c>
      <c r="AD539" s="48" t="str">
        <f t="shared" si="37"/>
        <v/>
      </c>
      <c r="AE539" s="48" t="str">
        <f t="shared" si="35"/>
        <v/>
      </c>
    </row>
    <row r="540" spans="1:31" x14ac:dyDescent="0.25">
      <c r="A540" s="2"/>
      <c r="B540" s="2"/>
      <c r="C540" s="2"/>
      <c r="D540" s="2" t="str">
        <f>IF(ISBLANK(C540),"",VLOOKUP(C540,configuration!$G$7:$H$10,2,FALSE))</f>
        <v/>
      </c>
      <c r="E540" s="2"/>
      <c r="F540" s="2"/>
      <c r="G540" s="2"/>
      <c r="H540" s="2" t="str">
        <f>IF(ISBLANK(G540),"",VLOOKUP(G540,configuration!$J$7:$K$10,2,FALSE))</f>
        <v/>
      </c>
      <c r="I540" s="30"/>
      <c r="J540" s="2"/>
      <c r="K540" s="31"/>
      <c r="L540" s="35"/>
      <c r="M540" s="2" t="str">
        <f>IF(ISBLANK(L540),"",VLOOKUP(L540,configuration!$M$7:$N$10,2,FALSE))</f>
        <v/>
      </c>
      <c r="N540" s="30"/>
      <c r="O540" s="2"/>
      <c r="P540" s="31"/>
      <c r="Q540" s="54"/>
      <c r="R540" s="55" t="str">
        <f>IF(ISBLANK(Q540),"",VLOOKUP(Q540,configuration!$P$7:$Q$10,2,FALSE))</f>
        <v/>
      </c>
      <c r="S540" s="56"/>
      <c r="T540" s="55"/>
      <c r="U540" s="78"/>
      <c r="V540" s="76" t="str">
        <f t="shared" si="36"/>
        <v/>
      </c>
      <c r="W540" s="48" t="str">
        <f t="shared" si="36"/>
        <v/>
      </c>
      <c r="X540" s="48" t="str">
        <f t="shared" si="36"/>
        <v/>
      </c>
      <c r="Y540" s="48" t="str">
        <f t="shared" si="36"/>
        <v/>
      </c>
      <c r="Z540" s="49" t="str">
        <f t="shared" si="34"/>
        <v/>
      </c>
      <c r="AA540" s="50" t="str">
        <f t="shared" si="37"/>
        <v/>
      </c>
      <c r="AB540" s="48" t="str">
        <f t="shared" si="37"/>
        <v/>
      </c>
      <c r="AC540" s="48" t="str">
        <f t="shared" si="37"/>
        <v/>
      </c>
      <c r="AD540" s="48" t="str">
        <f t="shared" si="37"/>
        <v/>
      </c>
      <c r="AE540" s="48" t="str">
        <f t="shared" si="35"/>
        <v/>
      </c>
    </row>
    <row r="541" spans="1:31" x14ac:dyDescent="0.25">
      <c r="A541" s="2"/>
      <c r="B541" s="2"/>
      <c r="C541" s="2"/>
      <c r="D541" s="2" t="str">
        <f>IF(ISBLANK(C541),"",VLOOKUP(C541,configuration!$G$7:$H$10,2,FALSE))</f>
        <v/>
      </c>
      <c r="E541" s="2"/>
      <c r="F541" s="2"/>
      <c r="G541" s="2"/>
      <c r="H541" s="2" t="str">
        <f>IF(ISBLANK(G541),"",VLOOKUP(G541,configuration!$J$7:$K$10,2,FALSE))</f>
        <v/>
      </c>
      <c r="I541" s="30"/>
      <c r="J541" s="2"/>
      <c r="K541" s="31"/>
      <c r="L541" s="35"/>
      <c r="M541" s="2" t="str">
        <f>IF(ISBLANK(L541),"",VLOOKUP(L541,configuration!$M$7:$N$10,2,FALSE))</f>
        <v/>
      </c>
      <c r="N541" s="30"/>
      <c r="O541" s="2"/>
      <c r="P541" s="31"/>
      <c r="Q541" s="54"/>
      <c r="R541" s="55" t="str">
        <f>IF(ISBLANK(Q541),"",VLOOKUP(Q541,configuration!$P$7:$Q$10,2,FALSE))</f>
        <v/>
      </c>
      <c r="S541" s="56"/>
      <c r="T541" s="55"/>
      <c r="U541" s="78"/>
      <c r="V541" s="76" t="str">
        <f t="shared" si="36"/>
        <v/>
      </c>
      <c r="W541" s="48" t="str">
        <f t="shared" si="36"/>
        <v/>
      </c>
      <c r="X541" s="48" t="str">
        <f t="shared" si="36"/>
        <v/>
      </c>
      <c r="Y541" s="48" t="str">
        <f t="shared" si="36"/>
        <v/>
      </c>
      <c r="Z541" s="49" t="str">
        <f t="shared" si="34"/>
        <v/>
      </c>
      <c r="AA541" s="50" t="str">
        <f t="shared" si="37"/>
        <v/>
      </c>
      <c r="AB541" s="48" t="str">
        <f t="shared" si="37"/>
        <v/>
      </c>
      <c r="AC541" s="48" t="str">
        <f t="shared" si="37"/>
        <v/>
      </c>
      <c r="AD541" s="48" t="str">
        <f t="shared" si="37"/>
        <v/>
      </c>
      <c r="AE541" s="48" t="str">
        <f t="shared" si="35"/>
        <v/>
      </c>
    </row>
    <row r="542" spans="1:31" x14ac:dyDescent="0.25">
      <c r="A542" s="2"/>
      <c r="B542" s="2"/>
      <c r="C542" s="2"/>
      <c r="D542" s="2" t="str">
        <f>IF(ISBLANK(C542),"",VLOOKUP(C542,configuration!$G$7:$H$10,2,FALSE))</f>
        <v/>
      </c>
      <c r="E542" s="2"/>
      <c r="F542" s="2"/>
      <c r="G542" s="2"/>
      <c r="H542" s="2" t="str">
        <f>IF(ISBLANK(G542),"",VLOOKUP(G542,configuration!$J$7:$K$10,2,FALSE))</f>
        <v/>
      </c>
      <c r="I542" s="30"/>
      <c r="J542" s="2"/>
      <c r="K542" s="31"/>
      <c r="L542" s="35"/>
      <c r="M542" s="2" t="str">
        <f>IF(ISBLANK(L542),"",VLOOKUP(L542,configuration!$M$7:$N$10,2,FALSE))</f>
        <v/>
      </c>
      <c r="N542" s="30"/>
      <c r="O542" s="2"/>
      <c r="P542" s="31"/>
      <c r="Q542" s="54"/>
      <c r="R542" s="55" t="str">
        <f>IF(ISBLANK(Q542),"",VLOOKUP(Q542,configuration!$P$7:$Q$10,2,FALSE))</f>
        <v/>
      </c>
      <c r="S542" s="56"/>
      <c r="T542" s="55"/>
      <c r="U542" s="78"/>
      <c r="V542" s="76" t="str">
        <f t="shared" si="36"/>
        <v/>
      </c>
      <c r="W542" s="48" t="str">
        <f t="shared" si="36"/>
        <v/>
      </c>
      <c r="X542" s="48" t="str">
        <f t="shared" si="36"/>
        <v/>
      </c>
      <c r="Y542" s="48" t="str">
        <f t="shared" si="36"/>
        <v/>
      </c>
      <c r="Z542" s="49" t="str">
        <f t="shared" si="34"/>
        <v/>
      </c>
      <c r="AA542" s="50" t="str">
        <f t="shared" si="37"/>
        <v/>
      </c>
      <c r="AB542" s="48" t="str">
        <f t="shared" si="37"/>
        <v/>
      </c>
      <c r="AC542" s="48" t="str">
        <f t="shared" si="37"/>
        <v/>
      </c>
      <c r="AD542" s="48" t="str">
        <f t="shared" si="37"/>
        <v/>
      </c>
      <c r="AE542" s="48" t="str">
        <f t="shared" si="35"/>
        <v/>
      </c>
    </row>
    <row r="543" spans="1:31" x14ac:dyDescent="0.25">
      <c r="A543" s="2"/>
      <c r="B543" s="2"/>
      <c r="C543" s="2"/>
      <c r="D543" s="2" t="str">
        <f>IF(ISBLANK(C543),"",VLOOKUP(C543,configuration!$G$7:$H$10,2,FALSE))</f>
        <v/>
      </c>
      <c r="E543" s="2"/>
      <c r="F543" s="2"/>
      <c r="G543" s="2"/>
      <c r="H543" s="2" t="str">
        <f>IF(ISBLANK(G543),"",VLOOKUP(G543,configuration!$J$7:$K$10,2,FALSE))</f>
        <v/>
      </c>
      <c r="I543" s="30"/>
      <c r="J543" s="2"/>
      <c r="K543" s="31"/>
      <c r="L543" s="35"/>
      <c r="M543" s="2" t="str">
        <f>IF(ISBLANK(L543),"",VLOOKUP(L543,configuration!$M$7:$N$10,2,FALSE))</f>
        <v/>
      </c>
      <c r="N543" s="30"/>
      <c r="O543" s="2"/>
      <c r="P543" s="31"/>
      <c r="Q543" s="54"/>
      <c r="R543" s="55" t="str">
        <f>IF(ISBLANK(Q543),"",VLOOKUP(Q543,configuration!$P$7:$Q$10,2,FALSE))</f>
        <v/>
      </c>
      <c r="S543" s="56"/>
      <c r="T543" s="55"/>
      <c r="U543" s="78"/>
      <c r="V543" s="76" t="str">
        <f t="shared" si="36"/>
        <v/>
      </c>
      <c r="W543" s="48" t="str">
        <f t="shared" si="36"/>
        <v/>
      </c>
      <c r="X543" s="48" t="str">
        <f t="shared" si="36"/>
        <v/>
      </c>
      <c r="Y543" s="48" t="str">
        <f t="shared" si="36"/>
        <v/>
      </c>
      <c r="Z543" s="49" t="str">
        <f t="shared" si="34"/>
        <v/>
      </c>
      <c r="AA543" s="50" t="str">
        <f t="shared" si="37"/>
        <v/>
      </c>
      <c r="AB543" s="48" t="str">
        <f t="shared" si="37"/>
        <v/>
      </c>
      <c r="AC543" s="48" t="str">
        <f t="shared" si="37"/>
        <v/>
      </c>
      <c r="AD543" s="48" t="str">
        <f t="shared" si="37"/>
        <v/>
      </c>
      <c r="AE543" s="48" t="str">
        <f t="shared" si="35"/>
        <v/>
      </c>
    </row>
    <row r="544" spans="1:31" x14ac:dyDescent="0.25">
      <c r="A544" s="2"/>
      <c r="B544" s="2"/>
      <c r="C544" s="2"/>
      <c r="D544" s="2" t="str">
        <f>IF(ISBLANK(C544),"",VLOOKUP(C544,configuration!$G$7:$H$10,2,FALSE))</f>
        <v/>
      </c>
      <c r="E544" s="2"/>
      <c r="F544" s="2"/>
      <c r="G544" s="2"/>
      <c r="H544" s="2" t="str">
        <f>IF(ISBLANK(G544),"",VLOOKUP(G544,configuration!$J$7:$K$10,2,FALSE))</f>
        <v/>
      </c>
      <c r="I544" s="30"/>
      <c r="J544" s="2"/>
      <c r="K544" s="31"/>
      <c r="L544" s="35"/>
      <c r="M544" s="2" t="str">
        <f>IF(ISBLANK(L544),"",VLOOKUP(L544,configuration!$M$7:$N$10,2,FALSE))</f>
        <v/>
      </c>
      <c r="N544" s="30"/>
      <c r="O544" s="2"/>
      <c r="P544" s="31"/>
      <c r="Q544" s="54"/>
      <c r="R544" s="55" t="str">
        <f>IF(ISBLANK(Q544),"",VLOOKUP(Q544,configuration!$P$7:$Q$10,2,FALSE))</f>
        <v/>
      </c>
      <c r="S544" s="56"/>
      <c r="T544" s="55"/>
      <c r="U544" s="78"/>
      <c r="V544" s="76" t="str">
        <f t="shared" si="36"/>
        <v/>
      </c>
      <c r="W544" s="48" t="str">
        <f t="shared" si="36"/>
        <v/>
      </c>
      <c r="X544" s="48" t="str">
        <f t="shared" si="36"/>
        <v/>
      </c>
      <c r="Y544" s="48" t="str">
        <f t="shared" si="36"/>
        <v/>
      </c>
      <c r="Z544" s="49" t="str">
        <f t="shared" si="34"/>
        <v/>
      </c>
      <c r="AA544" s="50" t="str">
        <f t="shared" si="37"/>
        <v/>
      </c>
      <c r="AB544" s="48" t="str">
        <f t="shared" si="37"/>
        <v/>
      </c>
      <c r="AC544" s="48" t="str">
        <f t="shared" si="37"/>
        <v/>
      </c>
      <c r="AD544" s="48" t="str">
        <f t="shared" si="37"/>
        <v/>
      </c>
      <c r="AE544" s="48" t="str">
        <f t="shared" si="35"/>
        <v/>
      </c>
    </row>
    <row r="545" spans="1:31" x14ac:dyDescent="0.25">
      <c r="A545" s="2"/>
      <c r="B545" s="2"/>
      <c r="C545" s="2"/>
      <c r="D545" s="2" t="str">
        <f>IF(ISBLANK(C545),"",VLOOKUP(C545,configuration!$G$7:$H$10,2,FALSE))</f>
        <v/>
      </c>
      <c r="E545" s="2"/>
      <c r="F545" s="2"/>
      <c r="G545" s="2"/>
      <c r="H545" s="2" t="str">
        <f>IF(ISBLANK(G545),"",VLOOKUP(G545,configuration!$J$7:$K$10,2,FALSE))</f>
        <v/>
      </c>
      <c r="I545" s="30"/>
      <c r="J545" s="2"/>
      <c r="K545" s="31"/>
      <c r="L545" s="35"/>
      <c r="M545" s="2" t="str">
        <f>IF(ISBLANK(L545),"",VLOOKUP(L545,configuration!$M$7:$N$10,2,FALSE))</f>
        <v/>
      </c>
      <c r="N545" s="30"/>
      <c r="O545" s="2"/>
      <c r="P545" s="31"/>
      <c r="Q545" s="54"/>
      <c r="R545" s="55" t="str">
        <f>IF(ISBLANK(Q545),"",VLOOKUP(Q545,configuration!$P$7:$Q$10,2,FALSE))</f>
        <v/>
      </c>
      <c r="S545" s="56"/>
      <c r="T545" s="55"/>
      <c r="U545" s="78"/>
      <c r="V545" s="76" t="str">
        <f t="shared" si="36"/>
        <v/>
      </c>
      <c r="W545" s="48" t="str">
        <f t="shared" si="36"/>
        <v/>
      </c>
      <c r="X545" s="48" t="str">
        <f t="shared" si="36"/>
        <v/>
      </c>
      <c r="Y545" s="48" t="str">
        <f t="shared" si="36"/>
        <v/>
      </c>
      <c r="Z545" s="49" t="str">
        <f t="shared" si="34"/>
        <v/>
      </c>
      <c r="AA545" s="50" t="str">
        <f t="shared" si="37"/>
        <v/>
      </c>
      <c r="AB545" s="48" t="str">
        <f t="shared" si="37"/>
        <v/>
      </c>
      <c r="AC545" s="48" t="str">
        <f t="shared" si="37"/>
        <v/>
      </c>
      <c r="AD545" s="48" t="str">
        <f t="shared" si="37"/>
        <v/>
      </c>
      <c r="AE545" s="48" t="str">
        <f t="shared" si="35"/>
        <v/>
      </c>
    </row>
    <row r="546" spans="1:31" x14ac:dyDescent="0.25">
      <c r="A546" s="2"/>
      <c r="B546" s="2"/>
      <c r="C546" s="2"/>
      <c r="D546" s="2" t="str">
        <f>IF(ISBLANK(C546),"",VLOOKUP(C546,configuration!$G$7:$H$10,2,FALSE))</f>
        <v/>
      </c>
      <c r="E546" s="2"/>
      <c r="F546" s="2"/>
      <c r="G546" s="2"/>
      <c r="H546" s="2" t="str">
        <f>IF(ISBLANK(G546),"",VLOOKUP(G546,configuration!$J$7:$K$10,2,FALSE))</f>
        <v/>
      </c>
      <c r="I546" s="30"/>
      <c r="J546" s="2"/>
      <c r="K546" s="31"/>
      <c r="L546" s="35"/>
      <c r="M546" s="2" t="str">
        <f>IF(ISBLANK(L546),"",VLOOKUP(L546,configuration!$M$7:$N$10,2,FALSE))</f>
        <v/>
      </c>
      <c r="N546" s="30"/>
      <c r="O546" s="2"/>
      <c r="P546" s="31"/>
      <c r="Q546" s="54"/>
      <c r="R546" s="55" t="str">
        <f>IF(ISBLANK(Q546),"",VLOOKUP(Q546,configuration!$P$7:$Q$10,2,FALSE))</f>
        <v/>
      </c>
      <c r="S546" s="56"/>
      <c r="T546" s="55"/>
      <c r="U546" s="78"/>
      <c r="V546" s="76" t="str">
        <f t="shared" si="36"/>
        <v/>
      </c>
      <c r="W546" s="48" t="str">
        <f t="shared" si="36"/>
        <v/>
      </c>
      <c r="X546" s="48" t="str">
        <f t="shared" si="36"/>
        <v/>
      </c>
      <c r="Y546" s="48" t="str">
        <f t="shared" si="36"/>
        <v/>
      </c>
      <c r="Z546" s="49" t="str">
        <f t="shared" si="34"/>
        <v/>
      </c>
      <c r="AA546" s="50" t="str">
        <f t="shared" si="37"/>
        <v/>
      </c>
      <c r="AB546" s="48" t="str">
        <f t="shared" si="37"/>
        <v/>
      </c>
      <c r="AC546" s="48" t="str">
        <f t="shared" si="37"/>
        <v/>
      </c>
      <c r="AD546" s="48" t="str">
        <f t="shared" si="37"/>
        <v/>
      </c>
      <c r="AE546" s="48" t="str">
        <f t="shared" si="35"/>
        <v/>
      </c>
    </row>
    <row r="547" spans="1:31" x14ac:dyDescent="0.25">
      <c r="A547" s="2"/>
      <c r="B547" s="2"/>
      <c r="C547" s="2"/>
      <c r="D547" s="2" t="str">
        <f>IF(ISBLANK(C547),"",VLOOKUP(C547,configuration!$G$7:$H$10,2,FALSE))</f>
        <v/>
      </c>
      <c r="E547" s="2"/>
      <c r="F547" s="2"/>
      <c r="G547" s="2"/>
      <c r="H547" s="2" t="str">
        <f>IF(ISBLANK(G547),"",VLOOKUP(G547,configuration!$J$7:$K$10,2,FALSE))</f>
        <v/>
      </c>
      <c r="I547" s="30"/>
      <c r="J547" s="2"/>
      <c r="K547" s="31"/>
      <c r="L547" s="35"/>
      <c r="M547" s="2" t="str">
        <f>IF(ISBLANK(L547),"",VLOOKUP(L547,configuration!$M$7:$N$10,2,FALSE))</f>
        <v/>
      </c>
      <c r="N547" s="30"/>
      <c r="O547" s="2"/>
      <c r="P547" s="31"/>
      <c r="Q547" s="54"/>
      <c r="R547" s="55" t="str">
        <f>IF(ISBLANK(Q547),"",VLOOKUP(Q547,configuration!$P$7:$Q$10,2,FALSE))</f>
        <v/>
      </c>
      <c r="S547" s="56"/>
      <c r="T547" s="55"/>
      <c r="U547" s="78"/>
      <c r="V547" s="76" t="str">
        <f t="shared" si="36"/>
        <v/>
      </c>
      <c r="W547" s="48" t="str">
        <f t="shared" si="36"/>
        <v/>
      </c>
      <c r="X547" s="48" t="str">
        <f t="shared" si="36"/>
        <v/>
      </c>
      <c r="Y547" s="48" t="str">
        <f t="shared" si="36"/>
        <v/>
      </c>
      <c r="Z547" s="49" t="str">
        <f t="shared" si="34"/>
        <v/>
      </c>
      <c r="AA547" s="50" t="str">
        <f t="shared" si="37"/>
        <v/>
      </c>
      <c r="AB547" s="48" t="str">
        <f t="shared" si="37"/>
        <v/>
      </c>
      <c r="AC547" s="48" t="str">
        <f t="shared" si="37"/>
        <v/>
      </c>
      <c r="AD547" s="48" t="str">
        <f t="shared" si="37"/>
        <v/>
      </c>
      <c r="AE547" s="48" t="str">
        <f t="shared" si="35"/>
        <v/>
      </c>
    </row>
    <row r="548" spans="1:31" x14ac:dyDescent="0.25">
      <c r="A548" s="2"/>
      <c r="B548" s="2"/>
      <c r="C548" s="2"/>
      <c r="D548" s="2" t="str">
        <f>IF(ISBLANK(C548),"",VLOOKUP(C548,configuration!$G$7:$H$10,2,FALSE))</f>
        <v/>
      </c>
      <c r="E548" s="2"/>
      <c r="F548" s="2"/>
      <c r="G548" s="2"/>
      <c r="H548" s="2" t="str">
        <f>IF(ISBLANK(G548),"",VLOOKUP(G548,configuration!$J$7:$K$10,2,FALSE))</f>
        <v/>
      </c>
      <c r="I548" s="30"/>
      <c r="J548" s="2"/>
      <c r="K548" s="31"/>
      <c r="L548" s="35"/>
      <c r="M548" s="2" t="str">
        <f>IF(ISBLANK(L548),"",VLOOKUP(L548,configuration!$M$7:$N$10,2,FALSE))</f>
        <v/>
      </c>
      <c r="N548" s="30"/>
      <c r="O548" s="2"/>
      <c r="P548" s="31"/>
      <c r="Q548" s="54"/>
      <c r="R548" s="55" t="str">
        <f>IF(ISBLANK(Q548),"",VLOOKUP(Q548,configuration!$P$7:$Q$10,2,FALSE))</f>
        <v/>
      </c>
      <c r="S548" s="56"/>
      <c r="T548" s="55"/>
      <c r="U548" s="78"/>
      <c r="V548" s="76" t="str">
        <f t="shared" si="36"/>
        <v/>
      </c>
      <c r="W548" s="48" t="str">
        <f t="shared" si="36"/>
        <v/>
      </c>
      <c r="X548" s="48" t="str">
        <f t="shared" si="36"/>
        <v/>
      </c>
      <c r="Y548" s="48" t="str">
        <f t="shared" si="36"/>
        <v/>
      </c>
      <c r="Z548" s="49" t="str">
        <f t="shared" si="34"/>
        <v/>
      </c>
      <c r="AA548" s="50" t="str">
        <f t="shared" si="37"/>
        <v/>
      </c>
      <c r="AB548" s="48" t="str">
        <f t="shared" si="37"/>
        <v/>
      </c>
      <c r="AC548" s="48" t="str">
        <f t="shared" si="37"/>
        <v/>
      </c>
      <c r="AD548" s="48" t="str">
        <f t="shared" si="37"/>
        <v/>
      </c>
      <c r="AE548" s="48" t="str">
        <f t="shared" si="35"/>
        <v/>
      </c>
    </row>
    <row r="549" spans="1:31" x14ac:dyDescent="0.25">
      <c r="A549" s="2"/>
      <c r="B549" s="2"/>
      <c r="C549" s="2"/>
      <c r="D549" s="2" t="str">
        <f>IF(ISBLANK(C549),"",VLOOKUP(C549,configuration!$G$7:$H$10,2,FALSE))</f>
        <v/>
      </c>
      <c r="E549" s="2"/>
      <c r="F549" s="2"/>
      <c r="G549" s="2"/>
      <c r="H549" s="2" t="str">
        <f>IF(ISBLANK(G549),"",VLOOKUP(G549,configuration!$J$7:$K$10,2,FALSE))</f>
        <v/>
      </c>
      <c r="I549" s="30"/>
      <c r="J549" s="2"/>
      <c r="K549" s="31"/>
      <c r="L549" s="35"/>
      <c r="M549" s="2" t="str">
        <f>IF(ISBLANK(L549),"",VLOOKUP(L549,configuration!$M$7:$N$10,2,FALSE))</f>
        <v/>
      </c>
      <c r="N549" s="30"/>
      <c r="O549" s="2"/>
      <c r="P549" s="31"/>
      <c r="Q549" s="54"/>
      <c r="R549" s="55" t="str">
        <f>IF(ISBLANK(Q549),"",VLOOKUP(Q549,configuration!$P$7:$Q$10,2,FALSE))</f>
        <v/>
      </c>
      <c r="S549" s="56"/>
      <c r="T549" s="55"/>
      <c r="U549" s="78"/>
      <c r="V549" s="76" t="str">
        <f t="shared" si="36"/>
        <v/>
      </c>
      <c r="W549" s="48" t="str">
        <f t="shared" si="36"/>
        <v/>
      </c>
      <c r="X549" s="48" t="str">
        <f t="shared" si="36"/>
        <v/>
      </c>
      <c r="Y549" s="48" t="str">
        <f t="shared" si="36"/>
        <v/>
      </c>
      <c r="Z549" s="49" t="str">
        <f t="shared" si="34"/>
        <v/>
      </c>
      <c r="AA549" s="50" t="str">
        <f t="shared" si="37"/>
        <v/>
      </c>
      <c r="AB549" s="48" t="str">
        <f t="shared" si="37"/>
        <v/>
      </c>
      <c r="AC549" s="48" t="str">
        <f t="shared" si="37"/>
        <v/>
      </c>
      <c r="AD549" s="48" t="str">
        <f t="shared" si="37"/>
        <v/>
      </c>
      <c r="AE549" s="48" t="str">
        <f t="shared" si="35"/>
        <v/>
      </c>
    </row>
    <row r="550" spans="1:31" x14ac:dyDescent="0.25">
      <c r="A550" s="2"/>
      <c r="B550" s="2"/>
      <c r="C550" s="2"/>
      <c r="D550" s="2" t="str">
        <f>IF(ISBLANK(C550),"",VLOOKUP(C550,configuration!$G$7:$H$10,2,FALSE))</f>
        <v/>
      </c>
      <c r="E550" s="2"/>
      <c r="F550" s="2"/>
      <c r="G550" s="2"/>
      <c r="H550" s="2" t="str">
        <f>IF(ISBLANK(G550),"",VLOOKUP(G550,configuration!$J$7:$K$10,2,FALSE))</f>
        <v/>
      </c>
      <c r="I550" s="30"/>
      <c r="J550" s="2"/>
      <c r="K550" s="31"/>
      <c r="L550" s="35"/>
      <c r="M550" s="2" t="str">
        <f>IF(ISBLANK(L550),"",VLOOKUP(L550,configuration!$M$7:$N$10,2,FALSE))</f>
        <v/>
      </c>
      <c r="N550" s="30"/>
      <c r="O550" s="2"/>
      <c r="P550" s="31"/>
      <c r="Q550" s="54"/>
      <c r="R550" s="55" t="str">
        <f>IF(ISBLANK(Q550),"",VLOOKUP(Q550,configuration!$P$7:$Q$10,2,FALSE))</f>
        <v/>
      </c>
      <c r="S550" s="56"/>
      <c r="T550" s="55"/>
      <c r="U550" s="78"/>
      <c r="V550" s="76" t="str">
        <f t="shared" si="36"/>
        <v/>
      </c>
      <c r="W550" s="48" t="str">
        <f t="shared" si="36"/>
        <v/>
      </c>
      <c r="X550" s="48" t="str">
        <f t="shared" si="36"/>
        <v/>
      </c>
      <c r="Y550" s="48" t="str">
        <f t="shared" si="36"/>
        <v/>
      </c>
      <c r="Z550" s="49" t="str">
        <f t="shared" si="34"/>
        <v/>
      </c>
      <c r="AA550" s="50" t="str">
        <f t="shared" si="37"/>
        <v/>
      </c>
      <c r="AB550" s="48" t="str">
        <f t="shared" si="37"/>
        <v/>
      </c>
      <c r="AC550" s="48" t="str">
        <f t="shared" si="37"/>
        <v/>
      </c>
      <c r="AD550" s="48" t="str">
        <f t="shared" si="37"/>
        <v/>
      </c>
      <c r="AE550" s="48" t="str">
        <f t="shared" si="35"/>
        <v/>
      </c>
    </row>
    <row r="551" spans="1:31" x14ac:dyDescent="0.25">
      <c r="A551" s="2"/>
      <c r="B551" s="2"/>
      <c r="C551" s="2"/>
      <c r="D551" s="2" t="str">
        <f>IF(ISBLANK(C551),"",VLOOKUP(C551,configuration!$G$7:$H$10,2,FALSE))</f>
        <v/>
      </c>
      <c r="E551" s="2"/>
      <c r="F551" s="2"/>
      <c r="G551" s="2"/>
      <c r="H551" s="2" t="str">
        <f>IF(ISBLANK(G551),"",VLOOKUP(G551,configuration!$J$7:$K$10,2,FALSE))</f>
        <v/>
      </c>
      <c r="I551" s="30"/>
      <c r="J551" s="2"/>
      <c r="K551" s="31"/>
      <c r="L551" s="35"/>
      <c r="M551" s="2" t="str">
        <f>IF(ISBLANK(L551),"",VLOOKUP(L551,configuration!$M$7:$N$10,2,FALSE))</f>
        <v/>
      </c>
      <c r="N551" s="30"/>
      <c r="O551" s="2"/>
      <c r="P551" s="31"/>
      <c r="Q551" s="54"/>
      <c r="R551" s="55" t="str">
        <f>IF(ISBLANK(Q551),"",VLOOKUP(Q551,configuration!$P$7:$Q$10,2,FALSE))</f>
        <v/>
      </c>
      <c r="S551" s="56"/>
      <c r="T551" s="55"/>
      <c r="U551" s="78"/>
      <c r="V551" s="76" t="str">
        <f t="shared" si="36"/>
        <v/>
      </c>
      <c r="W551" s="48" t="str">
        <f t="shared" si="36"/>
        <v/>
      </c>
      <c r="X551" s="48" t="str">
        <f t="shared" si="36"/>
        <v/>
      </c>
      <c r="Y551" s="48" t="str">
        <f t="shared" si="36"/>
        <v/>
      </c>
      <c r="Z551" s="49" t="str">
        <f t="shared" si="34"/>
        <v/>
      </c>
      <c r="AA551" s="50" t="str">
        <f t="shared" si="37"/>
        <v/>
      </c>
      <c r="AB551" s="48" t="str">
        <f t="shared" si="37"/>
        <v/>
      </c>
      <c r="AC551" s="48" t="str">
        <f t="shared" si="37"/>
        <v/>
      </c>
      <c r="AD551" s="48" t="str">
        <f t="shared" si="37"/>
        <v/>
      </c>
      <c r="AE551" s="48" t="str">
        <f t="shared" si="35"/>
        <v/>
      </c>
    </row>
    <row r="552" spans="1:31" x14ac:dyDescent="0.25">
      <c r="A552" s="2"/>
      <c r="B552" s="2"/>
      <c r="C552" s="2"/>
      <c r="D552" s="2" t="str">
        <f>IF(ISBLANK(C552),"",VLOOKUP(C552,configuration!$G$7:$H$10,2,FALSE))</f>
        <v/>
      </c>
      <c r="E552" s="2"/>
      <c r="F552" s="2"/>
      <c r="G552" s="2"/>
      <c r="H552" s="2" t="str">
        <f>IF(ISBLANK(G552),"",VLOOKUP(G552,configuration!$J$7:$K$10,2,FALSE))</f>
        <v/>
      </c>
      <c r="I552" s="30"/>
      <c r="J552" s="2"/>
      <c r="K552" s="31"/>
      <c r="L552" s="35"/>
      <c r="M552" s="2" t="str">
        <f>IF(ISBLANK(L552),"",VLOOKUP(L552,configuration!$M$7:$N$10,2,FALSE))</f>
        <v/>
      </c>
      <c r="N552" s="30"/>
      <c r="O552" s="2"/>
      <c r="P552" s="31"/>
      <c r="Q552" s="54"/>
      <c r="R552" s="55" t="str">
        <f>IF(ISBLANK(Q552),"",VLOOKUP(Q552,configuration!$P$7:$Q$10,2,FALSE))</f>
        <v/>
      </c>
      <c r="S552" s="56"/>
      <c r="T552" s="55"/>
      <c r="U552" s="78"/>
      <c r="V552" s="76" t="str">
        <f t="shared" si="36"/>
        <v/>
      </c>
      <c r="W552" s="48" t="str">
        <f t="shared" si="36"/>
        <v/>
      </c>
      <c r="X552" s="48" t="str">
        <f t="shared" si="36"/>
        <v/>
      </c>
      <c r="Y552" s="48" t="str">
        <f t="shared" si="36"/>
        <v/>
      </c>
      <c r="Z552" s="49" t="str">
        <f t="shared" si="34"/>
        <v/>
      </c>
      <c r="AA552" s="50" t="str">
        <f t="shared" si="37"/>
        <v/>
      </c>
      <c r="AB552" s="48" t="str">
        <f t="shared" si="37"/>
        <v/>
      </c>
      <c r="AC552" s="48" t="str">
        <f t="shared" si="37"/>
        <v/>
      </c>
      <c r="AD552" s="48" t="str">
        <f t="shared" si="37"/>
        <v/>
      </c>
      <c r="AE552" s="48" t="str">
        <f t="shared" si="35"/>
        <v/>
      </c>
    </row>
    <row r="553" spans="1:31" x14ac:dyDescent="0.25">
      <c r="A553" s="2"/>
      <c r="B553" s="2"/>
      <c r="C553" s="2"/>
      <c r="D553" s="2" t="str">
        <f>IF(ISBLANK(C553),"",VLOOKUP(C553,configuration!$G$7:$H$10,2,FALSE))</f>
        <v/>
      </c>
      <c r="E553" s="2"/>
      <c r="F553" s="2"/>
      <c r="G553" s="2"/>
      <c r="H553" s="2" t="str">
        <f>IF(ISBLANK(G553),"",VLOOKUP(G553,configuration!$J$7:$K$10,2,FALSE))</f>
        <v/>
      </c>
      <c r="I553" s="30"/>
      <c r="J553" s="2"/>
      <c r="K553" s="31"/>
      <c r="L553" s="35"/>
      <c r="M553" s="2" t="str">
        <f>IF(ISBLANK(L553),"",VLOOKUP(L553,configuration!$M$7:$N$10,2,FALSE))</f>
        <v/>
      </c>
      <c r="N553" s="30"/>
      <c r="O553" s="2"/>
      <c r="P553" s="31"/>
      <c r="Q553" s="54"/>
      <c r="R553" s="55" t="str">
        <f>IF(ISBLANK(Q553),"",VLOOKUP(Q553,configuration!$P$7:$Q$10,2,FALSE))</f>
        <v/>
      </c>
      <c r="S553" s="56"/>
      <c r="T553" s="55"/>
      <c r="U553" s="78"/>
      <c r="V553" s="76" t="str">
        <f t="shared" si="36"/>
        <v/>
      </c>
      <c r="W553" s="48" t="str">
        <f t="shared" si="36"/>
        <v/>
      </c>
      <c r="X553" s="48" t="str">
        <f t="shared" si="36"/>
        <v/>
      </c>
      <c r="Y553" s="48" t="str">
        <f t="shared" si="36"/>
        <v/>
      </c>
      <c r="Z553" s="49" t="str">
        <f t="shared" si="34"/>
        <v/>
      </c>
      <c r="AA553" s="50" t="str">
        <f t="shared" si="37"/>
        <v/>
      </c>
      <c r="AB553" s="48" t="str">
        <f t="shared" si="37"/>
        <v/>
      </c>
      <c r="AC553" s="48" t="str">
        <f t="shared" si="37"/>
        <v/>
      </c>
      <c r="AD553" s="48" t="str">
        <f t="shared" si="37"/>
        <v/>
      </c>
      <c r="AE553" s="48" t="str">
        <f t="shared" si="35"/>
        <v/>
      </c>
    </row>
    <row r="554" spans="1:31" x14ac:dyDescent="0.25">
      <c r="A554" s="2"/>
      <c r="B554" s="2"/>
      <c r="C554" s="2"/>
      <c r="D554" s="2" t="str">
        <f>IF(ISBLANK(C554),"",VLOOKUP(C554,configuration!$G$7:$H$10,2,FALSE))</f>
        <v/>
      </c>
      <c r="E554" s="2"/>
      <c r="F554" s="2"/>
      <c r="G554" s="2"/>
      <c r="H554" s="2" t="str">
        <f>IF(ISBLANK(G554),"",VLOOKUP(G554,configuration!$J$7:$K$10,2,FALSE))</f>
        <v/>
      </c>
      <c r="I554" s="30"/>
      <c r="J554" s="2"/>
      <c r="K554" s="31"/>
      <c r="L554" s="35"/>
      <c r="M554" s="2" t="str">
        <f>IF(ISBLANK(L554),"",VLOOKUP(L554,configuration!$M$7:$N$10,2,FALSE))</f>
        <v/>
      </c>
      <c r="N554" s="30"/>
      <c r="O554" s="2"/>
      <c r="P554" s="31"/>
      <c r="Q554" s="54"/>
      <c r="R554" s="55" t="str">
        <f>IF(ISBLANK(Q554),"",VLOOKUP(Q554,configuration!$P$7:$Q$10,2,FALSE))</f>
        <v/>
      </c>
      <c r="S554" s="56"/>
      <c r="T554" s="55"/>
      <c r="U554" s="78"/>
      <c r="V554" s="76" t="str">
        <f t="shared" si="36"/>
        <v/>
      </c>
      <c r="W554" s="48" t="str">
        <f t="shared" si="36"/>
        <v/>
      </c>
      <c r="X554" s="48" t="str">
        <f t="shared" si="36"/>
        <v/>
      </c>
      <c r="Y554" s="48" t="str">
        <f t="shared" si="36"/>
        <v/>
      </c>
      <c r="Z554" s="49" t="str">
        <f t="shared" si="34"/>
        <v/>
      </c>
      <c r="AA554" s="50" t="str">
        <f t="shared" si="37"/>
        <v/>
      </c>
      <c r="AB554" s="48" t="str">
        <f t="shared" si="37"/>
        <v/>
      </c>
      <c r="AC554" s="48" t="str">
        <f t="shared" si="37"/>
        <v/>
      </c>
      <c r="AD554" s="48" t="str">
        <f t="shared" si="37"/>
        <v/>
      </c>
      <c r="AE554" s="48" t="str">
        <f t="shared" si="35"/>
        <v/>
      </c>
    </row>
    <row r="555" spans="1:31" x14ac:dyDescent="0.25">
      <c r="A555" s="2"/>
      <c r="B555" s="2"/>
      <c r="C555" s="2"/>
      <c r="D555" s="2" t="str">
        <f>IF(ISBLANK(C555),"",VLOOKUP(C555,configuration!$G$7:$H$10,2,FALSE))</f>
        <v/>
      </c>
      <c r="E555" s="2"/>
      <c r="F555" s="2"/>
      <c r="G555" s="2"/>
      <c r="H555" s="2" t="str">
        <f>IF(ISBLANK(G555),"",VLOOKUP(G555,configuration!$J$7:$K$10,2,FALSE))</f>
        <v/>
      </c>
      <c r="I555" s="30"/>
      <c r="J555" s="2"/>
      <c r="K555" s="31"/>
      <c r="L555" s="35"/>
      <c r="M555" s="2" t="str">
        <f>IF(ISBLANK(L555),"",VLOOKUP(L555,configuration!$M$7:$N$10,2,FALSE))</f>
        <v/>
      </c>
      <c r="N555" s="30"/>
      <c r="O555" s="2"/>
      <c r="P555" s="31"/>
      <c r="Q555" s="54"/>
      <c r="R555" s="55" t="str">
        <f>IF(ISBLANK(Q555),"",VLOOKUP(Q555,configuration!$P$7:$Q$10,2,FALSE))</f>
        <v/>
      </c>
      <c r="S555" s="56"/>
      <c r="T555" s="55"/>
      <c r="U555" s="78"/>
      <c r="V555" s="76" t="str">
        <f t="shared" si="36"/>
        <v/>
      </c>
      <c r="W555" s="48" t="str">
        <f t="shared" si="36"/>
        <v/>
      </c>
      <c r="X555" s="48" t="str">
        <f t="shared" si="36"/>
        <v/>
      </c>
      <c r="Y555" s="48" t="str">
        <f t="shared" si="36"/>
        <v/>
      </c>
      <c r="Z555" s="49" t="str">
        <f t="shared" si="34"/>
        <v/>
      </c>
      <c r="AA555" s="50" t="str">
        <f t="shared" si="37"/>
        <v/>
      </c>
      <c r="AB555" s="48" t="str">
        <f t="shared" si="37"/>
        <v/>
      </c>
      <c r="AC555" s="48" t="str">
        <f t="shared" si="37"/>
        <v/>
      </c>
      <c r="AD555" s="48" t="str">
        <f t="shared" si="37"/>
        <v/>
      </c>
      <c r="AE555" s="48" t="str">
        <f t="shared" si="35"/>
        <v/>
      </c>
    </row>
    <row r="556" spans="1:31" x14ac:dyDescent="0.25">
      <c r="A556" s="2"/>
      <c r="B556" s="2"/>
      <c r="C556" s="2"/>
      <c r="D556" s="2" t="str">
        <f>IF(ISBLANK(C556),"",VLOOKUP(C556,configuration!$G$7:$H$10,2,FALSE))</f>
        <v/>
      </c>
      <c r="E556" s="2"/>
      <c r="F556" s="2"/>
      <c r="G556" s="2"/>
      <c r="H556" s="2" t="str">
        <f>IF(ISBLANK(G556),"",VLOOKUP(G556,configuration!$J$7:$K$10,2,FALSE))</f>
        <v/>
      </c>
      <c r="I556" s="30"/>
      <c r="J556" s="2"/>
      <c r="K556" s="31"/>
      <c r="L556" s="35"/>
      <c r="M556" s="2" t="str">
        <f>IF(ISBLANK(L556),"",VLOOKUP(L556,configuration!$M$7:$N$10,2,FALSE))</f>
        <v/>
      </c>
      <c r="N556" s="30"/>
      <c r="O556" s="2"/>
      <c r="P556" s="31"/>
      <c r="Q556" s="54"/>
      <c r="R556" s="55" t="str">
        <f>IF(ISBLANK(Q556),"",VLOOKUP(Q556,configuration!$P$7:$Q$10,2,FALSE))</f>
        <v/>
      </c>
      <c r="S556" s="56"/>
      <c r="T556" s="55"/>
      <c r="U556" s="78"/>
      <c r="V556" s="76" t="str">
        <f t="shared" si="36"/>
        <v/>
      </c>
      <c r="W556" s="48" t="str">
        <f t="shared" si="36"/>
        <v/>
      </c>
      <c r="X556" s="48" t="str">
        <f t="shared" si="36"/>
        <v/>
      </c>
      <c r="Y556" s="48" t="str">
        <f t="shared" si="36"/>
        <v/>
      </c>
      <c r="Z556" s="49" t="str">
        <f t="shared" si="34"/>
        <v/>
      </c>
      <c r="AA556" s="50" t="str">
        <f t="shared" si="37"/>
        <v/>
      </c>
      <c r="AB556" s="48" t="str">
        <f t="shared" si="37"/>
        <v/>
      </c>
      <c r="AC556" s="48" t="str">
        <f t="shared" si="37"/>
        <v/>
      </c>
      <c r="AD556" s="48" t="str">
        <f t="shared" si="37"/>
        <v/>
      </c>
      <c r="AE556" s="48" t="str">
        <f t="shared" si="35"/>
        <v/>
      </c>
    </row>
    <row r="557" spans="1:31" x14ac:dyDescent="0.25">
      <c r="A557" s="2"/>
      <c r="B557" s="2"/>
      <c r="C557" s="2"/>
      <c r="D557" s="2" t="str">
        <f>IF(ISBLANK(C557),"",VLOOKUP(C557,configuration!$G$7:$H$10,2,FALSE))</f>
        <v/>
      </c>
      <c r="E557" s="2"/>
      <c r="F557" s="2"/>
      <c r="G557" s="2"/>
      <c r="H557" s="2" t="str">
        <f>IF(ISBLANK(G557),"",VLOOKUP(G557,configuration!$J$7:$K$10,2,FALSE))</f>
        <v/>
      </c>
      <c r="I557" s="30"/>
      <c r="J557" s="2"/>
      <c r="K557" s="31"/>
      <c r="L557" s="35"/>
      <c r="M557" s="2" t="str">
        <f>IF(ISBLANK(L557),"",VLOOKUP(L557,configuration!$M$7:$N$10,2,FALSE))</f>
        <v/>
      </c>
      <c r="N557" s="30"/>
      <c r="O557" s="2"/>
      <c r="P557" s="31"/>
      <c r="Q557" s="54"/>
      <c r="R557" s="55" t="str">
        <f>IF(ISBLANK(Q557),"",VLOOKUP(Q557,configuration!$P$7:$Q$10,2,FALSE))</f>
        <v/>
      </c>
      <c r="S557" s="56"/>
      <c r="T557" s="55"/>
      <c r="U557" s="78"/>
      <c r="V557" s="76" t="str">
        <f t="shared" si="36"/>
        <v/>
      </c>
      <c r="W557" s="48" t="str">
        <f t="shared" si="36"/>
        <v/>
      </c>
      <c r="X557" s="48" t="str">
        <f t="shared" si="36"/>
        <v/>
      </c>
      <c r="Y557" s="48" t="str">
        <f t="shared" si="36"/>
        <v/>
      </c>
      <c r="Z557" s="49" t="str">
        <f t="shared" si="34"/>
        <v/>
      </c>
      <c r="AA557" s="50" t="str">
        <f t="shared" si="37"/>
        <v/>
      </c>
      <c r="AB557" s="48" t="str">
        <f t="shared" si="37"/>
        <v/>
      </c>
      <c r="AC557" s="48" t="str">
        <f t="shared" si="37"/>
        <v/>
      </c>
      <c r="AD557" s="48" t="str">
        <f t="shared" si="37"/>
        <v/>
      </c>
      <c r="AE557" s="48" t="str">
        <f t="shared" si="35"/>
        <v/>
      </c>
    </row>
    <row r="558" spans="1:31" x14ac:dyDescent="0.25">
      <c r="A558" s="2"/>
      <c r="B558" s="2"/>
      <c r="C558" s="2"/>
      <c r="D558" s="2" t="str">
        <f>IF(ISBLANK(C558),"",VLOOKUP(C558,configuration!$G$7:$H$10,2,FALSE))</f>
        <v/>
      </c>
      <c r="E558" s="2"/>
      <c r="F558" s="2"/>
      <c r="G558" s="2"/>
      <c r="H558" s="2" t="str">
        <f>IF(ISBLANK(G558),"",VLOOKUP(G558,configuration!$J$7:$K$10,2,FALSE))</f>
        <v/>
      </c>
      <c r="I558" s="30"/>
      <c r="J558" s="2"/>
      <c r="K558" s="31"/>
      <c r="L558" s="35"/>
      <c r="M558" s="2" t="str">
        <f>IF(ISBLANK(L558),"",VLOOKUP(L558,configuration!$M$7:$N$10,2,FALSE))</f>
        <v/>
      </c>
      <c r="N558" s="30"/>
      <c r="O558" s="2"/>
      <c r="P558" s="31"/>
      <c r="Q558" s="54"/>
      <c r="R558" s="55" t="str">
        <f>IF(ISBLANK(Q558),"",VLOOKUP(Q558,configuration!$P$7:$Q$10,2,FALSE))</f>
        <v/>
      </c>
      <c r="S558" s="56"/>
      <c r="T558" s="55"/>
      <c r="U558" s="78"/>
      <c r="V558" s="76" t="str">
        <f t="shared" si="36"/>
        <v/>
      </c>
      <c r="W558" s="48" t="str">
        <f t="shared" si="36"/>
        <v/>
      </c>
      <c r="X558" s="48" t="str">
        <f t="shared" si="36"/>
        <v/>
      </c>
      <c r="Y558" s="48" t="str">
        <f t="shared" si="36"/>
        <v/>
      </c>
      <c r="Z558" s="49" t="str">
        <f t="shared" si="34"/>
        <v/>
      </c>
      <c r="AA558" s="50" t="str">
        <f t="shared" si="37"/>
        <v/>
      </c>
      <c r="AB558" s="48" t="str">
        <f t="shared" si="37"/>
        <v/>
      </c>
      <c r="AC558" s="48" t="str">
        <f t="shared" si="37"/>
        <v/>
      </c>
      <c r="AD558" s="48" t="str">
        <f t="shared" si="37"/>
        <v/>
      </c>
      <c r="AE558" s="48" t="str">
        <f t="shared" si="35"/>
        <v/>
      </c>
    </row>
    <row r="559" spans="1:31" x14ac:dyDescent="0.25">
      <c r="A559" s="2"/>
      <c r="B559" s="2"/>
      <c r="C559" s="2"/>
      <c r="D559" s="2" t="str">
        <f>IF(ISBLANK(C559),"",VLOOKUP(C559,configuration!$G$7:$H$10,2,FALSE))</f>
        <v/>
      </c>
      <c r="E559" s="2"/>
      <c r="F559" s="2"/>
      <c r="G559" s="2"/>
      <c r="H559" s="2" t="str">
        <f>IF(ISBLANK(G559),"",VLOOKUP(G559,configuration!$J$7:$K$10,2,FALSE))</f>
        <v/>
      </c>
      <c r="I559" s="30"/>
      <c r="J559" s="2"/>
      <c r="K559" s="31"/>
      <c r="L559" s="35"/>
      <c r="M559" s="2" t="str">
        <f>IF(ISBLANK(L559),"",VLOOKUP(L559,configuration!$M$7:$N$10,2,FALSE))</f>
        <v/>
      </c>
      <c r="N559" s="30"/>
      <c r="O559" s="2"/>
      <c r="P559" s="31"/>
      <c r="Q559" s="54"/>
      <c r="R559" s="55" t="str">
        <f>IF(ISBLANK(Q559),"",VLOOKUP(Q559,configuration!$P$7:$Q$10,2,FALSE))</f>
        <v/>
      </c>
      <c r="S559" s="56"/>
      <c r="T559" s="55"/>
      <c r="U559" s="78"/>
      <c r="V559" s="76" t="str">
        <f t="shared" si="36"/>
        <v/>
      </c>
      <c r="W559" s="48" t="str">
        <f t="shared" si="36"/>
        <v/>
      </c>
      <c r="X559" s="48" t="str">
        <f t="shared" si="36"/>
        <v/>
      </c>
      <c r="Y559" s="48" t="str">
        <f t="shared" si="36"/>
        <v/>
      </c>
      <c r="Z559" s="49" t="str">
        <f t="shared" si="34"/>
        <v/>
      </c>
      <c r="AA559" s="50" t="str">
        <f t="shared" si="37"/>
        <v/>
      </c>
      <c r="AB559" s="48" t="str">
        <f t="shared" si="37"/>
        <v/>
      </c>
      <c r="AC559" s="48" t="str">
        <f t="shared" si="37"/>
        <v/>
      </c>
      <c r="AD559" s="48" t="str">
        <f t="shared" si="37"/>
        <v/>
      </c>
      <c r="AE559" s="48" t="str">
        <f t="shared" si="35"/>
        <v/>
      </c>
    </row>
    <row r="560" spans="1:31" x14ac:dyDescent="0.25">
      <c r="A560" s="2"/>
      <c r="B560" s="2"/>
      <c r="C560" s="2"/>
      <c r="D560" s="2" t="str">
        <f>IF(ISBLANK(C560),"",VLOOKUP(C560,configuration!$G$7:$H$10,2,FALSE))</f>
        <v/>
      </c>
      <c r="E560" s="2"/>
      <c r="F560" s="2"/>
      <c r="G560" s="2"/>
      <c r="H560" s="2" t="str">
        <f>IF(ISBLANK(G560),"",VLOOKUP(G560,configuration!$J$7:$K$10,2,FALSE))</f>
        <v/>
      </c>
      <c r="I560" s="30"/>
      <c r="J560" s="2"/>
      <c r="K560" s="31"/>
      <c r="L560" s="35"/>
      <c r="M560" s="2" t="str">
        <f>IF(ISBLANK(L560),"",VLOOKUP(L560,configuration!$M$7:$N$10,2,FALSE))</f>
        <v/>
      </c>
      <c r="N560" s="30"/>
      <c r="O560" s="2"/>
      <c r="P560" s="31"/>
      <c r="Q560" s="54"/>
      <c r="R560" s="55" t="str">
        <f>IF(ISBLANK(Q560),"",VLOOKUP(Q560,configuration!$P$7:$Q$10,2,FALSE))</f>
        <v/>
      </c>
      <c r="S560" s="56"/>
      <c r="T560" s="55"/>
      <c r="U560" s="78"/>
      <c r="V560" s="76" t="str">
        <f t="shared" si="36"/>
        <v/>
      </c>
      <c r="W560" s="48" t="str">
        <f t="shared" si="36"/>
        <v/>
      </c>
      <c r="X560" s="48" t="str">
        <f t="shared" si="36"/>
        <v/>
      </c>
      <c r="Y560" s="48" t="str">
        <f t="shared" si="36"/>
        <v/>
      </c>
      <c r="Z560" s="49" t="str">
        <f t="shared" si="34"/>
        <v/>
      </c>
      <c r="AA560" s="50" t="str">
        <f t="shared" si="37"/>
        <v/>
      </c>
      <c r="AB560" s="48" t="str">
        <f t="shared" si="37"/>
        <v/>
      </c>
      <c r="AC560" s="48" t="str">
        <f t="shared" si="37"/>
        <v/>
      </c>
      <c r="AD560" s="48" t="str">
        <f t="shared" si="37"/>
        <v/>
      </c>
      <c r="AE560" s="48" t="str">
        <f t="shared" si="35"/>
        <v/>
      </c>
    </row>
    <row r="561" spans="1:31" x14ac:dyDescent="0.25">
      <c r="A561" s="2"/>
      <c r="B561" s="2"/>
      <c r="C561" s="2"/>
      <c r="D561" s="2" t="str">
        <f>IF(ISBLANK(C561),"",VLOOKUP(C561,configuration!$G$7:$H$10,2,FALSE))</f>
        <v/>
      </c>
      <c r="E561" s="2"/>
      <c r="F561" s="2"/>
      <c r="G561" s="2"/>
      <c r="H561" s="2" t="str">
        <f>IF(ISBLANK(G561),"",VLOOKUP(G561,configuration!$J$7:$K$10,2,FALSE))</f>
        <v/>
      </c>
      <c r="I561" s="30"/>
      <c r="J561" s="2"/>
      <c r="K561" s="31"/>
      <c r="L561" s="35"/>
      <c r="M561" s="2" t="str">
        <f>IF(ISBLANK(L561),"",VLOOKUP(L561,configuration!$M$7:$N$10,2,FALSE))</f>
        <v/>
      </c>
      <c r="N561" s="30"/>
      <c r="O561" s="2"/>
      <c r="P561" s="31"/>
      <c r="Q561" s="54"/>
      <c r="R561" s="55" t="str">
        <f>IF(ISBLANK(Q561),"",VLOOKUP(Q561,configuration!$P$7:$Q$10,2,FALSE))</f>
        <v/>
      </c>
      <c r="S561" s="56"/>
      <c r="T561" s="55"/>
      <c r="U561" s="78"/>
      <c r="V561" s="76" t="str">
        <f t="shared" si="36"/>
        <v/>
      </c>
      <c r="W561" s="48" t="str">
        <f t="shared" si="36"/>
        <v/>
      </c>
      <c r="X561" s="48" t="str">
        <f t="shared" si="36"/>
        <v/>
      </c>
      <c r="Y561" s="48" t="str">
        <f t="shared" si="36"/>
        <v/>
      </c>
      <c r="Z561" s="49" t="str">
        <f t="shared" si="34"/>
        <v/>
      </c>
      <c r="AA561" s="50" t="str">
        <f t="shared" si="37"/>
        <v/>
      </c>
      <c r="AB561" s="48" t="str">
        <f t="shared" si="37"/>
        <v/>
      </c>
      <c r="AC561" s="48" t="str">
        <f t="shared" si="37"/>
        <v/>
      </c>
      <c r="AD561" s="48" t="str">
        <f t="shared" si="37"/>
        <v/>
      </c>
      <c r="AE561" s="48" t="str">
        <f t="shared" si="35"/>
        <v/>
      </c>
    </row>
    <row r="562" spans="1:31" x14ac:dyDescent="0.25">
      <c r="A562" s="2"/>
      <c r="B562" s="2"/>
      <c r="C562" s="2"/>
      <c r="D562" s="2" t="str">
        <f>IF(ISBLANK(C562),"",VLOOKUP(C562,configuration!$G$7:$H$10,2,FALSE))</f>
        <v/>
      </c>
      <c r="E562" s="2"/>
      <c r="F562" s="2"/>
      <c r="G562" s="2"/>
      <c r="H562" s="2" t="str">
        <f>IF(ISBLANK(G562),"",VLOOKUP(G562,configuration!$J$7:$K$10,2,FALSE))</f>
        <v/>
      </c>
      <c r="I562" s="30"/>
      <c r="J562" s="2"/>
      <c r="K562" s="31"/>
      <c r="L562" s="35"/>
      <c r="M562" s="2" t="str">
        <f>IF(ISBLANK(L562),"",VLOOKUP(L562,configuration!$M$7:$N$10,2,FALSE))</f>
        <v/>
      </c>
      <c r="N562" s="30"/>
      <c r="O562" s="2"/>
      <c r="P562" s="31"/>
      <c r="Q562" s="54"/>
      <c r="R562" s="55" t="str">
        <f>IF(ISBLANK(Q562),"",VLOOKUP(Q562,configuration!$P$7:$Q$10,2,FALSE))</f>
        <v/>
      </c>
      <c r="S562" s="56"/>
      <c r="T562" s="55"/>
      <c r="U562" s="78"/>
      <c r="V562" s="76" t="str">
        <f t="shared" si="36"/>
        <v/>
      </c>
      <c r="W562" s="48" t="str">
        <f t="shared" si="36"/>
        <v/>
      </c>
      <c r="X562" s="48" t="str">
        <f t="shared" si="36"/>
        <v/>
      </c>
      <c r="Y562" s="48" t="str">
        <f t="shared" si="36"/>
        <v/>
      </c>
      <c r="Z562" s="49" t="str">
        <f t="shared" si="34"/>
        <v/>
      </c>
      <c r="AA562" s="50" t="str">
        <f t="shared" si="37"/>
        <v/>
      </c>
      <c r="AB562" s="48" t="str">
        <f t="shared" si="37"/>
        <v/>
      </c>
      <c r="AC562" s="48" t="str">
        <f t="shared" si="37"/>
        <v/>
      </c>
      <c r="AD562" s="48" t="str">
        <f t="shared" si="37"/>
        <v/>
      </c>
      <c r="AE562" s="48" t="str">
        <f t="shared" si="35"/>
        <v/>
      </c>
    </row>
    <row r="563" spans="1:31" x14ac:dyDescent="0.25">
      <c r="A563" s="2"/>
      <c r="B563" s="2"/>
      <c r="C563" s="2"/>
      <c r="D563" s="2" t="str">
        <f>IF(ISBLANK(C563),"",VLOOKUP(C563,configuration!$G$7:$H$10,2,FALSE))</f>
        <v/>
      </c>
      <c r="E563" s="2"/>
      <c r="F563" s="2"/>
      <c r="G563" s="2"/>
      <c r="H563" s="2" t="str">
        <f>IF(ISBLANK(G563),"",VLOOKUP(G563,configuration!$J$7:$K$10,2,FALSE))</f>
        <v/>
      </c>
      <c r="I563" s="30"/>
      <c r="J563" s="2"/>
      <c r="K563" s="31"/>
      <c r="L563" s="35"/>
      <c r="M563" s="2" t="str">
        <f>IF(ISBLANK(L563),"",VLOOKUP(L563,configuration!$M$7:$N$10,2,FALSE))</f>
        <v/>
      </c>
      <c r="N563" s="30"/>
      <c r="O563" s="2"/>
      <c r="P563" s="31"/>
      <c r="Q563" s="54"/>
      <c r="R563" s="55" t="str">
        <f>IF(ISBLANK(Q563),"",VLOOKUP(Q563,configuration!$P$7:$Q$10,2,FALSE))</f>
        <v/>
      </c>
      <c r="S563" s="56"/>
      <c r="T563" s="55"/>
      <c r="U563" s="78"/>
      <c r="V563" s="76" t="str">
        <f t="shared" si="36"/>
        <v/>
      </c>
      <c r="W563" s="48" t="str">
        <f t="shared" si="36"/>
        <v/>
      </c>
      <c r="X563" s="48" t="str">
        <f t="shared" si="36"/>
        <v/>
      </c>
      <c r="Y563" s="48" t="str">
        <f t="shared" si="36"/>
        <v/>
      </c>
      <c r="Z563" s="49" t="str">
        <f t="shared" si="34"/>
        <v/>
      </c>
      <c r="AA563" s="50" t="str">
        <f t="shared" si="37"/>
        <v/>
      </c>
      <c r="AB563" s="48" t="str">
        <f t="shared" si="37"/>
        <v/>
      </c>
      <c r="AC563" s="48" t="str">
        <f t="shared" si="37"/>
        <v/>
      </c>
      <c r="AD563" s="48" t="str">
        <f t="shared" si="37"/>
        <v/>
      </c>
      <c r="AE563" s="48" t="str">
        <f t="shared" si="35"/>
        <v/>
      </c>
    </row>
    <row r="564" spans="1:31" x14ac:dyDescent="0.25">
      <c r="A564" s="2"/>
      <c r="B564" s="2"/>
      <c r="C564" s="2"/>
      <c r="D564" s="2" t="str">
        <f>IF(ISBLANK(C564),"",VLOOKUP(C564,configuration!$G$7:$H$10,2,FALSE))</f>
        <v/>
      </c>
      <c r="E564" s="2"/>
      <c r="F564" s="2"/>
      <c r="G564" s="2"/>
      <c r="H564" s="2" t="str">
        <f>IF(ISBLANK(G564),"",VLOOKUP(G564,configuration!$J$7:$K$10,2,FALSE))</f>
        <v/>
      </c>
      <c r="I564" s="30"/>
      <c r="J564" s="2"/>
      <c r="K564" s="31"/>
      <c r="L564" s="35"/>
      <c r="M564" s="2" t="str">
        <f>IF(ISBLANK(L564),"",VLOOKUP(L564,configuration!$M$7:$N$10,2,FALSE))</f>
        <v/>
      </c>
      <c r="N564" s="30"/>
      <c r="O564" s="2"/>
      <c r="P564" s="31"/>
      <c r="Q564" s="54"/>
      <c r="R564" s="55" t="str">
        <f>IF(ISBLANK(Q564),"",VLOOKUP(Q564,configuration!$P$7:$Q$10,2,FALSE))</f>
        <v/>
      </c>
      <c r="S564" s="56"/>
      <c r="T564" s="55"/>
      <c r="U564" s="78"/>
      <c r="V564" s="76" t="str">
        <f t="shared" si="36"/>
        <v/>
      </c>
      <c r="W564" s="48" t="str">
        <f t="shared" si="36"/>
        <v/>
      </c>
      <c r="X564" s="48" t="str">
        <f t="shared" si="36"/>
        <v/>
      </c>
      <c r="Y564" s="48" t="str">
        <f t="shared" si="36"/>
        <v/>
      </c>
      <c r="Z564" s="49" t="str">
        <f t="shared" si="34"/>
        <v/>
      </c>
      <c r="AA564" s="50" t="str">
        <f t="shared" si="37"/>
        <v/>
      </c>
      <c r="AB564" s="48" t="str">
        <f t="shared" si="37"/>
        <v/>
      </c>
      <c r="AC564" s="48" t="str">
        <f t="shared" si="37"/>
        <v/>
      </c>
      <c r="AD564" s="48" t="str">
        <f t="shared" si="37"/>
        <v/>
      </c>
      <c r="AE564" s="48" t="str">
        <f t="shared" si="35"/>
        <v/>
      </c>
    </row>
    <row r="565" spans="1:31" x14ac:dyDescent="0.25">
      <c r="A565" s="2"/>
      <c r="B565" s="2"/>
      <c r="C565" s="2"/>
      <c r="D565" s="2" t="str">
        <f>IF(ISBLANK(C565),"",VLOOKUP(C565,configuration!$G$7:$H$10,2,FALSE))</f>
        <v/>
      </c>
      <c r="E565" s="2"/>
      <c r="F565" s="2"/>
      <c r="G565" s="2"/>
      <c r="H565" s="2" t="str">
        <f>IF(ISBLANK(G565),"",VLOOKUP(G565,configuration!$J$7:$K$10,2,FALSE))</f>
        <v/>
      </c>
      <c r="I565" s="30"/>
      <c r="J565" s="2"/>
      <c r="K565" s="31"/>
      <c r="L565" s="35"/>
      <c r="M565" s="2" t="str">
        <f>IF(ISBLANK(L565),"",VLOOKUP(L565,configuration!$M$7:$N$10,2,FALSE))</f>
        <v/>
      </c>
      <c r="N565" s="30"/>
      <c r="O565" s="2"/>
      <c r="P565" s="31"/>
      <c r="Q565" s="54"/>
      <c r="R565" s="55" t="str">
        <f>IF(ISBLANK(Q565),"",VLOOKUP(Q565,configuration!$P$7:$Q$10,2,FALSE))</f>
        <v/>
      </c>
      <c r="S565" s="56"/>
      <c r="T565" s="55"/>
      <c r="U565" s="78"/>
      <c r="V565" s="76" t="str">
        <f t="shared" si="36"/>
        <v/>
      </c>
      <c r="W565" s="48" t="str">
        <f t="shared" si="36"/>
        <v/>
      </c>
      <c r="X565" s="48" t="str">
        <f t="shared" si="36"/>
        <v/>
      </c>
      <c r="Y565" s="48" t="str">
        <f t="shared" si="36"/>
        <v/>
      </c>
      <c r="Z565" s="49" t="str">
        <f t="shared" si="34"/>
        <v/>
      </c>
      <c r="AA565" s="50" t="str">
        <f t="shared" si="37"/>
        <v/>
      </c>
      <c r="AB565" s="48" t="str">
        <f t="shared" si="37"/>
        <v/>
      </c>
      <c r="AC565" s="48" t="str">
        <f t="shared" si="37"/>
        <v/>
      </c>
      <c r="AD565" s="48" t="str">
        <f t="shared" si="37"/>
        <v/>
      </c>
      <c r="AE565" s="48" t="str">
        <f t="shared" si="35"/>
        <v/>
      </c>
    </row>
    <row r="566" spans="1:31" x14ac:dyDescent="0.25">
      <c r="A566" s="2"/>
      <c r="B566" s="2"/>
      <c r="C566" s="2"/>
      <c r="D566" s="2" t="str">
        <f>IF(ISBLANK(C566),"",VLOOKUP(C566,configuration!$G$7:$H$10,2,FALSE))</f>
        <v/>
      </c>
      <c r="E566" s="2"/>
      <c r="F566" s="2"/>
      <c r="G566" s="2"/>
      <c r="H566" s="2" t="str">
        <f>IF(ISBLANK(G566),"",VLOOKUP(G566,configuration!$J$7:$K$10,2,FALSE))</f>
        <v/>
      </c>
      <c r="I566" s="30"/>
      <c r="J566" s="2"/>
      <c r="K566" s="31"/>
      <c r="L566" s="35"/>
      <c r="M566" s="2" t="str">
        <f>IF(ISBLANK(L566),"",VLOOKUP(L566,configuration!$M$7:$N$10,2,FALSE))</f>
        <v/>
      </c>
      <c r="N566" s="30"/>
      <c r="O566" s="2"/>
      <c r="P566" s="31"/>
      <c r="Q566" s="54"/>
      <c r="R566" s="55" t="str">
        <f>IF(ISBLANK(Q566),"",VLOOKUP(Q566,configuration!$P$7:$Q$10,2,FALSE))</f>
        <v/>
      </c>
      <c r="S566" s="56"/>
      <c r="T566" s="55"/>
      <c r="U566" s="78"/>
      <c r="V566" s="76" t="str">
        <f t="shared" si="36"/>
        <v/>
      </c>
      <c r="W566" s="48" t="str">
        <f t="shared" si="36"/>
        <v/>
      </c>
      <c r="X566" s="48" t="str">
        <f t="shared" si="36"/>
        <v/>
      </c>
      <c r="Y566" s="48" t="str">
        <f t="shared" si="36"/>
        <v/>
      </c>
      <c r="Z566" s="49" t="str">
        <f t="shared" si="34"/>
        <v/>
      </c>
      <c r="AA566" s="50" t="str">
        <f t="shared" si="37"/>
        <v/>
      </c>
      <c r="AB566" s="48" t="str">
        <f t="shared" si="37"/>
        <v/>
      </c>
      <c r="AC566" s="48" t="str">
        <f t="shared" si="37"/>
        <v/>
      </c>
      <c r="AD566" s="48" t="str">
        <f t="shared" si="37"/>
        <v/>
      </c>
      <c r="AE566" s="48" t="str">
        <f t="shared" si="35"/>
        <v/>
      </c>
    </row>
    <row r="567" spans="1:31" x14ac:dyDescent="0.25">
      <c r="A567" s="2"/>
      <c r="B567" s="2"/>
      <c r="C567" s="2"/>
      <c r="D567" s="2" t="str">
        <f>IF(ISBLANK(C567),"",VLOOKUP(C567,configuration!$G$7:$H$10,2,FALSE))</f>
        <v/>
      </c>
      <c r="E567" s="2"/>
      <c r="F567" s="2"/>
      <c r="G567" s="2"/>
      <c r="H567" s="2" t="str">
        <f>IF(ISBLANK(G567),"",VLOOKUP(G567,configuration!$J$7:$K$10,2,FALSE))</f>
        <v/>
      </c>
      <c r="I567" s="30"/>
      <c r="J567" s="2"/>
      <c r="K567" s="31"/>
      <c r="L567" s="35"/>
      <c r="M567" s="2" t="str">
        <f>IF(ISBLANK(L567),"",VLOOKUP(L567,configuration!$M$7:$N$10,2,FALSE))</f>
        <v/>
      </c>
      <c r="N567" s="30"/>
      <c r="O567" s="2"/>
      <c r="P567" s="31"/>
      <c r="Q567" s="54"/>
      <c r="R567" s="55" t="str">
        <f>IF(ISBLANK(Q567),"",VLOOKUP(Q567,configuration!$P$7:$Q$10,2,FALSE))</f>
        <v/>
      </c>
      <c r="S567" s="56"/>
      <c r="T567" s="55"/>
      <c r="U567" s="78"/>
      <c r="V567" s="76" t="str">
        <f t="shared" si="36"/>
        <v/>
      </c>
      <c r="W567" s="48" t="str">
        <f t="shared" si="36"/>
        <v/>
      </c>
      <c r="X567" s="48" t="str">
        <f t="shared" si="36"/>
        <v/>
      </c>
      <c r="Y567" s="48" t="str">
        <f t="shared" si="36"/>
        <v/>
      </c>
      <c r="Z567" s="49" t="str">
        <f t="shared" si="34"/>
        <v/>
      </c>
      <c r="AA567" s="50" t="str">
        <f t="shared" si="37"/>
        <v/>
      </c>
      <c r="AB567" s="48" t="str">
        <f t="shared" si="37"/>
        <v/>
      </c>
      <c r="AC567" s="48" t="str">
        <f t="shared" si="37"/>
        <v/>
      </c>
      <c r="AD567" s="48" t="str">
        <f t="shared" si="37"/>
        <v/>
      </c>
      <c r="AE567" s="48" t="str">
        <f t="shared" si="35"/>
        <v/>
      </c>
    </row>
    <row r="568" spans="1:31" x14ac:dyDescent="0.25">
      <c r="A568" s="2"/>
      <c r="B568" s="2"/>
      <c r="C568" s="2"/>
      <c r="D568" s="2" t="str">
        <f>IF(ISBLANK(C568),"",VLOOKUP(C568,configuration!$G$7:$H$10,2,FALSE))</f>
        <v/>
      </c>
      <c r="E568" s="2"/>
      <c r="F568" s="2"/>
      <c r="G568" s="2"/>
      <c r="H568" s="2" t="str">
        <f>IF(ISBLANK(G568),"",VLOOKUP(G568,configuration!$J$7:$K$10,2,FALSE))</f>
        <v/>
      </c>
      <c r="I568" s="30"/>
      <c r="J568" s="2"/>
      <c r="K568" s="31"/>
      <c r="L568" s="35"/>
      <c r="M568" s="2" t="str">
        <f>IF(ISBLANK(L568),"",VLOOKUP(L568,configuration!$M$7:$N$10,2,FALSE))</f>
        <v/>
      </c>
      <c r="N568" s="30"/>
      <c r="O568" s="2"/>
      <c r="P568" s="31"/>
      <c r="Q568" s="54"/>
      <c r="R568" s="55" t="str">
        <f>IF(ISBLANK(Q568),"",VLOOKUP(Q568,configuration!$P$7:$Q$10,2,FALSE))</f>
        <v/>
      </c>
      <c r="S568" s="56"/>
      <c r="T568" s="55"/>
      <c r="U568" s="78"/>
      <c r="V568" s="76" t="str">
        <f t="shared" si="36"/>
        <v/>
      </c>
      <c r="W568" s="48" t="str">
        <f t="shared" si="36"/>
        <v/>
      </c>
      <c r="X568" s="48" t="str">
        <f t="shared" si="36"/>
        <v/>
      </c>
      <c r="Y568" s="48" t="str">
        <f t="shared" si="36"/>
        <v/>
      </c>
      <c r="Z568" s="49" t="str">
        <f t="shared" si="34"/>
        <v/>
      </c>
      <c r="AA568" s="50" t="str">
        <f t="shared" si="37"/>
        <v/>
      </c>
      <c r="AB568" s="48" t="str">
        <f t="shared" si="37"/>
        <v/>
      </c>
      <c r="AC568" s="48" t="str">
        <f t="shared" si="37"/>
        <v/>
      </c>
      <c r="AD568" s="48" t="str">
        <f t="shared" si="37"/>
        <v/>
      </c>
      <c r="AE568" s="48" t="str">
        <f t="shared" si="35"/>
        <v/>
      </c>
    </row>
    <row r="569" spans="1:31" x14ac:dyDescent="0.25">
      <c r="A569" s="2"/>
      <c r="B569" s="2"/>
      <c r="C569" s="2"/>
      <c r="D569" s="2" t="str">
        <f>IF(ISBLANK(C569),"",VLOOKUP(C569,configuration!$G$7:$H$10,2,FALSE))</f>
        <v/>
      </c>
      <c r="E569" s="2"/>
      <c r="F569" s="2"/>
      <c r="G569" s="2"/>
      <c r="H569" s="2" t="str">
        <f>IF(ISBLANK(G569),"",VLOOKUP(G569,configuration!$J$7:$K$10,2,FALSE))</f>
        <v/>
      </c>
      <c r="I569" s="30"/>
      <c r="J569" s="2"/>
      <c r="K569" s="31"/>
      <c r="L569" s="35"/>
      <c r="M569" s="2" t="str">
        <f>IF(ISBLANK(L569),"",VLOOKUP(L569,configuration!$M$7:$N$10,2,FALSE))</f>
        <v/>
      </c>
      <c r="N569" s="30"/>
      <c r="O569" s="2"/>
      <c r="P569" s="31"/>
      <c r="Q569" s="54"/>
      <c r="R569" s="55" t="str">
        <f>IF(ISBLANK(Q569),"",VLOOKUP(Q569,configuration!$P$7:$Q$10,2,FALSE))</f>
        <v/>
      </c>
      <c r="S569" s="56"/>
      <c r="T569" s="55"/>
      <c r="U569" s="78"/>
      <c r="V569" s="76" t="str">
        <f t="shared" si="36"/>
        <v/>
      </c>
      <c r="W569" s="48" t="str">
        <f t="shared" si="36"/>
        <v/>
      </c>
      <c r="X569" s="48" t="str">
        <f t="shared" si="36"/>
        <v/>
      </c>
      <c r="Y569" s="48" t="str">
        <f t="shared" si="36"/>
        <v/>
      </c>
      <c r="Z569" s="49" t="str">
        <f t="shared" si="34"/>
        <v/>
      </c>
      <c r="AA569" s="50" t="str">
        <f t="shared" si="37"/>
        <v/>
      </c>
      <c r="AB569" s="48" t="str">
        <f t="shared" si="37"/>
        <v/>
      </c>
      <c r="AC569" s="48" t="str">
        <f t="shared" si="37"/>
        <v/>
      </c>
      <c r="AD569" s="48" t="str">
        <f t="shared" si="37"/>
        <v/>
      </c>
      <c r="AE569" s="48" t="str">
        <f t="shared" si="35"/>
        <v/>
      </c>
    </row>
    <row r="570" spans="1:31" x14ac:dyDescent="0.25">
      <c r="A570" s="2"/>
      <c r="B570" s="2"/>
      <c r="C570" s="2"/>
      <c r="D570" s="2" t="str">
        <f>IF(ISBLANK(C570),"",VLOOKUP(C570,configuration!$G$7:$H$10,2,FALSE))</f>
        <v/>
      </c>
      <c r="E570" s="2"/>
      <c r="F570" s="2"/>
      <c r="G570" s="2"/>
      <c r="H570" s="2" t="str">
        <f>IF(ISBLANK(G570),"",VLOOKUP(G570,configuration!$J$7:$K$10,2,FALSE))</f>
        <v/>
      </c>
      <c r="I570" s="30"/>
      <c r="J570" s="2"/>
      <c r="K570" s="31"/>
      <c r="L570" s="35"/>
      <c r="M570" s="2" t="str">
        <f>IF(ISBLANK(L570),"",VLOOKUP(L570,configuration!$M$7:$N$10,2,FALSE))</f>
        <v/>
      </c>
      <c r="N570" s="30"/>
      <c r="O570" s="2"/>
      <c r="P570" s="31"/>
      <c r="Q570" s="54"/>
      <c r="R570" s="55" t="str">
        <f>IF(ISBLANK(Q570),"",VLOOKUP(Q570,configuration!$P$7:$Q$10,2,FALSE))</f>
        <v/>
      </c>
      <c r="S570" s="56"/>
      <c r="T570" s="55"/>
      <c r="U570" s="78"/>
      <c r="V570" s="76" t="str">
        <f t="shared" si="36"/>
        <v/>
      </c>
      <c r="W570" s="48" t="str">
        <f t="shared" si="36"/>
        <v/>
      </c>
      <c r="X570" s="48" t="str">
        <f t="shared" si="36"/>
        <v/>
      </c>
      <c r="Y570" s="48" t="str">
        <f t="shared" si="36"/>
        <v/>
      </c>
      <c r="Z570" s="49" t="str">
        <f t="shared" si="34"/>
        <v/>
      </c>
      <c r="AA570" s="50" t="str">
        <f t="shared" si="37"/>
        <v/>
      </c>
      <c r="AB570" s="48" t="str">
        <f t="shared" si="37"/>
        <v/>
      </c>
      <c r="AC570" s="48" t="str">
        <f t="shared" si="37"/>
        <v/>
      </c>
      <c r="AD570" s="48" t="str">
        <f t="shared" si="37"/>
        <v/>
      </c>
      <c r="AE570" s="48" t="str">
        <f t="shared" si="35"/>
        <v/>
      </c>
    </row>
    <row r="571" spans="1:31" x14ac:dyDescent="0.25">
      <c r="A571" s="2"/>
      <c r="B571" s="2"/>
      <c r="C571" s="2"/>
      <c r="D571" s="2" t="str">
        <f>IF(ISBLANK(C571),"",VLOOKUP(C571,configuration!$G$7:$H$10,2,FALSE))</f>
        <v/>
      </c>
      <c r="E571" s="2"/>
      <c r="F571" s="2"/>
      <c r="G571" s="2"/>
      <c r="H571" s="2" t="str">
        <f>IF(ISBLANK(G571),"",VLOOKUP(G571,configuration!$J$7:$K$10,2,FALSE))</f>
        <v/>
      </c>
      <c r="I571" s="30"/>
      <c r="J571" s="2"/>
      <c r="K571" s="31"/>
      <c r="L571" s="35"/>
      <c r="M571" s="2" t="str">
        <f>IF(ISBLANK(L571),"",VLOOKUP(L571,configuration!$M$7:$N$10,2,FALSE))</f>
        <v/>
      </c>
      <c r="N571" s="30"/>
      <c r="O571" s="2"/>
      <c r="P571" s="31"/>
      <c r="Q571" s="54"/>
      <c r="R571" s="55" t="str">
        <f>IF(ISBLANK(Q571),"",VLOOKUP(Q571,configuration!$P$7:$Q$10,2,FALSE))</f>
        <v/>
      </c>
      <c r="S571" s="56"/>
      <c r="T571" s="55"/>
      <c r="U571" s="78"/>
      <c r="V571" s="76" t="str">
        <f t="shared" si="36"/>
        <v/>
      </c>
      <c r="W571" s="48" t="str">
        <f t="shared" si="36"/>
        <v/>
      </c>
      <c r="X571" s="48" t="str">
        <f t="shared" si="36"/>
        <v/>
      </c>
      <c r="Y571" s="48" t="str">
        <f t="shared" si="36"/>
        <v/>
      </c>
      <c r="Z571" s="49" t="str">
        <f t="shared" si="34"/>
        <v/>
      </c>
      <c r="AA571" s="50" t="str">
        <f t="shared" si="37"/>
        <v/>
      </c>
      <c r="AB571" s="48" t="str">
        <f t="shared" si="37"/>
        <v/>
      </c>
      <c r="AC571" s="48" t="str">
        <f t="shared" si="37"/>
        <v/>
      </c>
      <c r="AD571" s="48" t="str">
        <f t="shared" si="37"/>
        <v/>
      </c>
      <c r="AE571" s="48" t="str">
        <f t="shared" si="35"/>
        <v/>
      </c>
    </row>
    <row r="572" spans="1:31" x14ac:dyDescent="0.25">
      <c r="A572" s="2"/>
      <c r="B572" s="2"/>
      <c r="C572" s="2"/>
      <c r="D572" s="2" t="str">
        <f>IF(ISBLANK(C572),"",VLOOKUP(C572,configuration!$G$7:$H$10,2,FALSE))</f>
        <v/>
      </c>
      <c r="E572" s="2"/>
      <c r="F572" s="2"/>
      <c r="G572" s="2"/>
      <c r="H572" s="2" t="str">
        <f>IF(ISBLANK(G572),"",VLOOKUP(G572,configuration!$J$7:$K$10,2,FALSE))</f>
        <v/>
      </c>
      <c r="I572" s="30"/>
      <c r="J572" s="2"/>
      <c r="K572" s="31"/>
      <c r="L572" s="35"/>
      <c r="M572" s="2" t="str">
        <f>IF(ISBLANK(L572),"",VLOOKUP(L572,configuration!$M$7:$N$10,2,FALSE))</f>
        <v/>
      </c>
      <c r="N572" s="30"/>
      <c r="O572" s="2"/>
      <c r="P572" s="31"/>
      <c r="Q572" s="54"/>
      <c r="R572" s="55" t="str">
        <f>IF(ISBLANK(Q572),"",VLOOKUP(Q572,configuration!$P$7:$Q$10,2,FALSE))</f>
        <v/>
      </c>
      <c r="S572" s="56"/>
      <c r="T572" s="55"/>
      <c r="U572" s="78"/>
      <c r="V572" s="76" t="str">
        <f t="shared" si="36"/>
        <v/>
      </c>
      <c r="W572" s="48" t="str">
        <f t="shared" si="36"/>
        <v/>
      </c>
      <c r="X572" s="48" t="str">
        <f t="shared" si="36"/>
        <v/>
      </c>
      <c r="Y572" s="48" t="str">
        <f t="shared" si="36"/>
        <v/>
      </c>
      <c r="Z572" s="49" t="str">
        <f t="shared" si="34"/>
        <v/>
      </c>
      <c r="AA572" s="50" t="str">
        <f t="shared" si="37"/>
        <v/>
      </c>
      <c r="AB572" s="48" t="str">
        <f t="shared" si="37"/>
        <v/>
      </c>
      <c r="AC572" s="48" t="str">
        <f t="shared" si="37"/>
        <v/>
      </c>
      <c r="AD572" s="48" t="str">
        <f t="shared" si="37"/>
        <v/>
      </c>
      <c r="AE572" s="48" t="str">
        <f t="shared" si="35"/>
        <v/>
      </c>
    </row>
    <row r="573" spans="1:31" x14ac:dyDescent="0.25">
      <c r="A573" s="2"/>
      <c r="B573" s="2"/>
      <c r="C573" s="2"/>
      <c r="D573" s="2" t="str">
        <f>IF(ISBLANK(C573),"",VLOOKUP(C573,configuration!$G$7:$H$10,2,FALSE))</f>
        <v/>
      </c>
      <c r="E573" s="2"/>
      <c r="F573" s="2"/>
      <c r="G573" s="2"/>
      <c r="H573" s="2" t="str">
        <f>IF(ISBLANK(G573),"",VLOOKUP(G573,configuration!$J$7:$K$10,2,FALSE))</f>
        <v/>
      </c>
      <c r="I573" s="30"/>
      <c r="J573" s="2"/>
      <c r="K573" s="31"/>
      <c r="L573" s="35"/>
      <c r="M573" s="2" t="str">
        <f>IF(ISBLANK(L573),"",VLOOKUP(L573,configuration!$M$7:$N$10,2,FALSE))</f>
        <v/>
      </c>
      <c r="N573" s="30"/>
      <c r="O573" s="2"/>
      <c r="P573" s="31"/>
      <c r="Q573" s="54"/>
      <c r="R573" s="55" t="str">
        <f>IF(ISBLANK(Q573),"",VLOOKUP(Q573,configuration!$P$7:$Q$10,2,FALSE))</f>
        <v/>
      </c>
      <c r="S573" s="56"/>
      <c r="T573" s="55"/>
      <c r="U573" s="78"/>
      <c r="V573" s="76" t="str">
        <f t="shared" si="36"/>
        <v/>
      </c>
      <c r="W573" s="48" t="str">
        <f t="shared" si="36"/>
        <v/>
      </c>
      <c r="X573" s="48" t="str">
        <f t="shared" si="36"/>
        <v/>
      </c>
      <c r="Y573" s="48" t="str">
        <f t="shared" si="36"/>
        <v/>
      </c>
      <c r="Z573" s="49" t="str">
        <f t="shared" si="34"/>
        <v/>
      </c>
      <c r="AA573" s="50" t="str">
        <f t="shared" si="37"/>
        <v/>
      </c>
      <c r="AB573" s="48" t="str">
        <f t="shared" si="37"/>
        <v/>
      </c>
      <c r="AC573" s="48" t="str">
        <f t="shared" si="37"/>
        <v/>
      </c>
      <c r="AD573" s="48" t="str">
        <f t="shared" si="37"/>
        <v/>
      </c>
      <c r="AE573" s="48" t="str">
        <f t="shared" si="35"/>
        <v/>
      </c>
    </row>
    <row r="574" spans="1:31" x14ac:dyDescent="0.25">
      <c r="A574" s="2"/>
      <c r="B574" s="2"/>
      <c r="C574" s="2"/>
      <c r="D574" s="2" t="str">
        <f>IF(ISBLANK(C574),"",VLOOKUP(C574,configuration!$G$7:$H$10,2,FALSE))</f>
        <v/>
      </c>
      <c r="E574" s="2"/>
      <c r="F574" s="2"/>
      <c r="G574" s="2"/>
      <c r="H574" s="2" t="str">
        <f>IF(ISBLANK(G574),"",VLOOKUP(G574,configuration!$J$7:$K$10,2,FALSE))</f>
        <v/>
      </c>
      <c r="I574" s="30"/>
      <c r="J574" s="2"/>
      <c r="K574" s="31"/>
      <c r="L574" s="35"/>
      <c r="M574" s="2" t="str">
        <f>IF(ISBLANK(L574),"",VLOOKUP(L574,configuration!$M$7:$N$10,2,FALSE))</f>
        <v/>
      </c>
      <c r="N574" s="30"/>
      <c r="O574" s="2"/>
      <c r="P574" s="31"/>
      <c r="Q574" s="54"/>
      <c r="R574" s="55" t="str">
        <f>IF(ISBLANK(Q574),"",VLOOKUP(Q574,configuration!$P$7:$Q$10,2,FALSE))</f>
        <v/>
      </c>
      <c r="S574" s="56"/>
      <c r="T574" s="55"/>
      <c r="U574" s="78"/>
      <c r="V574" s="76" t="str">
        <f t="shared" si="36"/>
        <v/>
      </c>
      <c r="W574" s="48" t="str">
        <f t="shared" si="36"/>
        <v/>
      </c>
      <c r="X574" s="48" t="str">
        <f t="shared" si="36"/>
        <v/>
      </c>
      <c r="Y574" s="48" t="str">
        <f t="shared" si="36"/>
        <v/>
      </c>
      <c r="Z574" s="49" t="str">
        <f t="shared" si="34"/>
        <v/>
      </c>
      <c r="AA574" s="50" t="str">
        <f t="shared" si="37"/>
        <v/>
      </c>
      <c r="AB574" s="48" t="str">
        <f t="shared" si="37"/>
        <v/>
      </c>
      <c r="AC574" s="48" t="str">
        <f t="shared" si="37"/>
        <v/>
      </c>
      <c r="AD574" s="48" t="str">
        <f t="shared" si="37"/>
        <v/>
      </c>
      <c r="AE574" s="48" t="str">
        <f t="shared" si="35"/>
        <v/>
      </c>
    </row>
    <row r="575" spans="1:31" x14ac:dyDescent="0.25">
      <c r="A575" s="2"/>
      <c r="B575" s="2"/>
      <c r="C575" s="2"/>
      <c r="D575" s="2" t="str">
        <f>IF(ISBLANK(C575),"",VLOOKUP(C575,configuration!$G$7:$H$10,2,FALSE))</f>
        <v/>
      </c>
      <c r="E575" s="2"/>
      <c r="F575" s="2"/>
      <c r="G575" s="2"/>
      <c r="H575" s="2" t="str">
        <f>IF(ISBLANK(G575),"",VLOOKUP(G575,configuration!$J$7:$K$10,2,FALSE))</f>
        <v/>
      </c>
      <c r="I575" s="30"/>
      <c r="J575" s="2"/>
      <c r="K575" s="31"/>
      <c r="L575" s="35"/>
      <c r="M575" s="2" t="str">
        <f>IF(ISBLANK(L575),"",VLOOKUP(L575,configuration!$M$7:$N$10,2,FALSE))</f>
        <v/>
      </c>
      <c r="N575" s="30"/>
      <c r="O575" s="2"/>
      <c r="P575" s="31"/>
      <c r="Q575" s="54"/>
      <c r="R575" s="55" t="str">
        <f>IF(ISBLANK(Q575),"",VLOOKUP(Q575,configuration!$P$7:$Q$10,2,FALSE))</f>
        <v/>
      </c>
      <c r="S575" s="56"/>
      <c r="T575" s="55"/>
      <c r="U575" s="78"/>
      <c r="V575" s="76" t="str">
        <f t="shared" si="36"/>
        <v/>
      </c>
      <c r="W575" s="48" t="str">
        <f t="shared" si="36"/>
        <v/>
      </c>
      <c r="X575" s="48" t="str">
        <f t="shared" si="36"/>
        <v/>
      </c>
      <c r="Y575" s="48" t="str">
        <f t="shared" si="36"/>
        <v/>
      </c>
      <c r="Z575" s="49" t="str">
        <f t="shared" si="34"/>
        <v/>
      </c>
      <c r="AA575" s="50" t="str">
        <f t="shared" si="37"/>
        <v/>
      </c>
      <c r="AB575" s="48" t="str">
        <f t="shared" si="37"/>
        <v/>
      </c>
      <c r="AC575" s="48" t="str">
        <f t="shared" si="37"/>
        <v/>
      </c>
      <c r="AD575" s="48" t="str">
        <f t="shared" si="37"/>
        <v/>
      </c>
      <c r="AE575" s="48" t="str">
        <f t="shared" si="35"/>
        <v/>
      </c>
    </row>
    <row r="576" spans="1:31" x14ac:dyDescent="0.25">
      <c r="A576" s="2"/>
      <c r="B576" s="2"/>
      <c r="C576" s="2"/>
      <c r="D576" s="2" t="str">
        <f>IF(ISBLANK(C576),"",VLOOKUP(C576,configuration!$G$7:$H$10,2,FALSE))</f>
        <v/>
      </c>
      <c r="E576" s="2"/>
      <c r="F576" s="2"/>
      <c r="G576" s="2"/>
      <c r="H576" s="2" t="str">
        <f>IF(ISBLANK(G576),"",VLOOKUP(G576,configuration!$J$7:$K$10,2,FALSE))</f>
        <v/>
      </c>
      <c r="I576" s="30"/>
      <c r="J576" s="2"/>
      <c r="K576" s="31"/>
      <c r="L576" s="35"/>
      <c r="M576" s="2" t="str">
        <f>IF(ISBLANK(L576),"",VLOOKUP(L576,configuration!$M$7:$N$10,2,FALSE))</f>
        <v/>
      </c>
      <c r="N576" s="30"/>
      <c r="O576" s="2"/>
      <c r="P576" s="31"/>
      <c r="Q576" s="54"/>
      <c r="R576" s="55" t="str">
        <f>IF(ISBLANK(Q576),"",VLOOKUP(Q576,configuration!$P$7:$Q$10,2,FALSE))</f>
        <v/>
      </c>
      <c r="S576" s="56"/>
      <c r="T576" s="55"/>
      <c r="U576" s="78"/>
      <c r="V576" s="76" t="str">
        <f t="shared" si="36"/>
        <v/>
      </c>
      <c r="W576" s="48" t="str">
        <f t="shared" si="36"/>
        <v/>
      </c>
      <c r="X576" s="48" t="str">
        <f t="shared" si="36"/>
        <v/>
      </c>
      <c r="Y576" s="48" t="str">
        <f t="shared" si="36"/>
        <v/>
      </c>
      <c r="Z576" s="49" t="str">
        <f t="shared" si="34"/>
        <v/>
      </c>
      <c r="AA576" s="50" t="str">
        <f t="shared" si="37"/>
        <v/>
      </c>
      <c r="AB576" s="48" t="str">
        <f t="shared" si="37"/>
        <v/>
      </c>
      <c r="AC576" s="48" t="str">
        <f t="shared" si="37"/>
        <v/>
      </c>
      <c r="AD576" s="48" t="str">
        <f t="shared" si="37"/>
        <v/>
      </c>
      <c r="AE576" s="48" t="str">
        <f t="shared" si="35"/>
        <v/>
      </c>
    </row>
    <row r="577" spans="1:31" x14ac:dyDescent="0.25">
      <c r="A577" s="2"/>
      <c r="B577" s="2"/>
      <c r="C577" s="2"/>
      <c r="D577" s="2" t="str">
        <f>IF(ISBLANK(C577),"",VLOOKUP(C577,configuration!$G$7:$H$10,2,FALSE))</f>
        <v/>
      </c>
      <c r="E577" s="2"/>
      <c r="F577" s="2"/>
      <c r="G577" s="2"/>
      <c r="H577" s="2" t="str">
        <f>IF(ISBLANK(G577),"",VLOOKUP(G577,configuration!$J$7:$K$10,2,FALSE))</f>
        <v/>
      </c>
      <c r="I577" s="30"/>
      <c r="J577" s="2"/>
      <c r="K577" s="31"/>
      <c r="L577" s="35"/>
      <c r="M577" s="2" t="str">
        <f>IF(ISBLANK(L577),"",VLOOKUP(L577,configuration!$M$7:$N$10,2,FALSE))</f>
        <v/>
      </c>
      <c r="N577" s="30"/>
      <c r="O577" s="2"/>
      <c r="P577" s="31"/>
      <c r="Q577" s="54"/>
      <c r="R577" s="55" t="str">
        <f>IF(ISBLANK(Q577),"",VLOOKUP(Q577,configuration!$P$7:$Q$10,2,FALSE))</f>
        <v/>
      </c>
      <c r="S577" s="56"/>
      <c r="T577" s="55"/>
      <c r="U577" s="78"/>
      <c r="V577" s="76" t="str">
        <f t="shared" si="36"/>
        <v/>
      </c>
      <c r="W577" s="48" t="str">
        <f t="shared" si="36"/>
        <v/>
      </c>
      <c r="X577" s="48" t="str">
        <f t="shared" si="36"/>
        <v/>
      </c>
      <c r="Y577" s="48" t="str">
        <f t="shared" si="36"/>
        <v/>
      </c>
      <c r="Z577" s="49" t="str">
        <f t="shared" si="34"/>
        <v/>
      </c>
      <c r="AA577" s="50" t="str">
        <f t="shared" si="37"/>
        <v/>
      </c>
      <c r="AB577" s="48" t="str">
        <f t="shared" si="37"/>
        <v/>
      </c>
      <c r="AC577" s="48" t="str">
        <f t="shared" si="37"/>
        <v/>
      </c>
      <c r="AD577" s="48" t="str">
        <f t="shared" si="37"/>
        <v/>
      </c>
      <c r="AE577" s="48" t="str">
        <f t="shared" si="35"/>
        <v/>
      </c>
    </row>
    <row r="578" spans="1:31" x14ac:dyDescent="0.25">
      <c r="A578" s="2"/>
      <c r="B578" s="2"/>
      <c r="C578" s="2"/>
      <c r="D578" s="2" t="str">
        <f>IF(ISBLANK(C578),"",VLOOKUP(C578,configuration!$G$7:$H$10,2,FALSE))</f>
        <v/>
      </c>
      <c r="E578" s="2"/>
      <c r="F578" s="2"/>
      <c r="G578" s="2"/>
      <c r="H578" s="2" t="str">
        <f>IF(ISBLANK(G578),"",VLOOKUP(G578,configuration!$J$7:$K$10,2,FALSE))</f>
        <v/>
      </c>
      <c r="I578" s="30"/>
      <c r="J578" s="2"/>
      <c r="K578" s="31"/>
      <c r="L578" s="35"/>
      <c r="M578" s="2" t="str">
        <f>IF(ISBLANK(L578),"",VLOOKUP(L578,configuration!$M$7:$N$10,2,FALSE))</f>
        <v/>
      </c>
      <c r="N578" s="30"/>
      <c r="O578" s="2"/>
      <c r="P578" s="31"/>
      <c r="Q578" s="54"/>
      <c r="R578" s="55" t="str">
        <f>IF(ISBLANK(Q578),"",VLOOKUP(Q578,configuration!$P$7:$Q$10,2,FALSE))</f>
        <v/>
      </c>
      <c r="S578" s="56"/>
      <c r="T578" s="55"/>
      <c r="U578" s="78"/>
      <c r="V578" s="76" t="str">
        <f t="shared" si="36"/>
        <v/>
      </c>
      <c r="W578" s="48" t="str">
        <f t="shared" si="36"/>
        <v/>
      </c>
      <c r="X578" s="48" t="str">
        <f t="shared" si="36"/>
        <v/>
      </c>
      <c r="Y578" s="48" t="str">
        <f t="shared" si="36"/>
        <v/>
      </c>
      <c r="Z578" s="49" t="str">
        <f t="shared" si="34"/>
        <v/>
      </c>
      <c r="AA578" s="50" t="str">
        <f t="shared" si="37"/>
        <v/>
      </c>
      <c r="AB578" s="48" t="str">
        <f t="shared" si="37"/>
        <v/>
      </c>
      <c r="AC578" s="48" t="str">
        <f t="shared" si="37"/>
        <v/>
      </c>
      <c r="AD578" s="48" t="str">
        <f t="shared" si="37"/>
        <v/>
      </c>
      <c r="AE578" s="48" t="str">
        <f t="shared" si="35"/>
        <v/>
      </c>
    </row>
    <row r="579" spans="1:31" x14ac:dyDescent="0.25">
      <c r="A579" s="2"/>
      <c r="B579" s="2"/>
      <c r="C579" s="2"/>
      <c r="D579" s="2" t="str">
        <f>IF(ISBLANK(C579),"",VLOOKUP(C579,configuration!$G$7:$H$10,2,FALSE))</f>
        <v/>
      </c>
      <c r="E579" s="2"/>
      <c r="F579" s="2"/>
      <c r="G579" s="2"/>
      <c r="H579" s="2" t="str">
        <f>IF(ISBLANK(G579),"",VLOOKUP(G579,configuration!$J$7:$K$10,2,FALSE))</f>
        <v/>
      </c>
      <c r="I579" s="30"/>
      <c r="J579" s="2"/>
      <c r="K579" s="31"/>
      <c r="L579" s="35"/>
      <c r="M579" s="2" t="str">
        <f>IF(ISBLANK(L579),"",VLOOKUP(L579,configuration!$M$7:$N$10,2,FALSE))</f>
        <v/>
      </c>
      <c r="N579" s="30"/>
      <c r="O579" s="2"/>
      <c r="P579" s="31"/>
      <c r="Q579" s="54"/>
      <c r="R579" s="55" t="str">
        <f>IF(ISBLANK(Q579),"",VLOOKUP(Q579,configuration!$P$7:$Q$10,2,FALSE))</f>
        <v/>
      </c>
      <c r="S579" s="56"/>
      <c r="T579" s="55"/>
      <c r="U579" s="78"/>
      <c r="V579" s="76" t="str">
        <f t="shared" si="36"/>
        <v/>
      </c>
      <c r="W579" s="48" t="str">
        <f t="shared" si="36"/>
        <v/>
      </c>
      <c r="X579" s="48" t="str">
        <f t="shared" si="36"/>
        <v/>
      </c>
      <c r="Y579" s="48" t="str">
        <f t="shared" si="36"/>
        <v/>
      </c>
      <c r="Z579" s="49" t="str">
        <f t="shared" si="34"/>
        <v/>
      </c>
      <c r="AA579" s="50" t="str">
        <f t="shared" si="37"/>
        <v/>
      </c>
      <c r="AB579" s="48" t="str">
        <f t="shared" si="37"/>
        <v/>
      </c>
      <c r="AC579" s="48" t="str">
        <f t="shared" si="37"/>
        <v/>
      </c>
      <c r="AD579" s="48" t="str">
        <f t="shared" si="37"/>
        <v/>
      </c>
      <c r="AE579" s="48" t="str">
        <f t="shared" si="35"/>
        <v/>
      </c>
    </row>
    <row r="580" spans="1:31" x14ac:dyDescent="0.25">
      <c r="A580" s="2"/>
      <c r="B580" s="2"/>
      <c r="C580" s="2"/>
      <c r="D580" s="2" t="str">
        <f>IF(ISBLANK(C580),"",VLOOKUP(C580,configuration!$G$7:$H$10,2,FALSE))</f>
        <v/>
      </c>
      <c r="E580" s="2"/>
      <c r="F580" s="2"/>
      <c r="G580" s="2"/>
      <c r="H580" s="2" t="str">
        <f>IF(ISBLANK(G580),"",VLOOKUP(G580,configuration!$J$7:$K$10,2,FALSE))</f>
        <v/>
      </c>
      <c r="I580" s="30"/>
      <c r="J580" s="2"/>
      <c r="K580" s="31"/>
      <c r="L580" s="35"/>
      <c r="M580" s="2" t="str">
        <f>IF(ISBLANK(L580),"",VLOOKUP(L580,configuration!$M$7:$N$10,2,FALSE))</f>
        <v/>
      </c>
      <c r="N580" s="30"/>
      <c r="O580" s="2"/>
      <c r="P580" s="31"/>
      <c r="Q580" s="54"/>
      <c r="R580" s="55" t="str">
        <f>IF(ISBLANK(Q580),"",VLOOKUP(Q580,configuration!$P$7:$Q$10,2,FALSE))</f>
        <v/>
      </c>
      <c r="S580" s="56"/>
      <c r="T580" s="55"/>
      <c r="U580" s="78"/>
      <c r="V580" s="76" t="str">
        <f t="shared" si="36"/>
        <v/>
      </c>
      <c r="W580" s="48" t="str">
        <f t="shared" si="36"/>
        <v/>
      </c>
      <c r="X580" s="48" t="str">
        <f t="shared" si="36"/>
        <v/>
      </c>
      <c r="Y580" s="48" t="str">
        <f t="shared" si="36"/>
        <v/>
      </c>
      <c r="Z580" s="49" t="str">
        <f t="shared" si="34"/>
        <v/>
      </c>
      <c r="AA580" s="50" t="str">
        <f t="shared" si="37"/>
        <v/>
      </c>
      <c r="AB580" s="48" t="str">
        <f t="shared" si="37"/>
        <v/>
      </c>
      <c r="AC580" s="48" t="str">
        <f t="shared" si="37"/>
        <v/>
      </c>
      <c r="AD580" s="48" t="str">
        <f t="shared" si="37"/>
        <v/>
      </c>
      <c r="AE580" s="48" t="str">
        <f t="shared" si="35"/>
        <v/>
      </c>
    </row>
    <row r="581" spans="1:31" x14ac:dyDescent="0.25">
      <c r="A581" s="2"/>
      <c r="B581" s="2"/>
      <c r="C581" s="2"/>
      <c r="D581" s="2" t="str">
        <f>IF(ISBLANK(C581),"",VLOOKUP(C581,configuration!$G$7:$H$10,2,FALSE))</f>
        <v/>
      </c>
      <c r="E581" s="2"/>
      <c r="F581" s="2"/>
      <c r="G581" s="2"/>
      <c r="H581" s="2" t="str">
        <f>IF(ISBLANK(G581),"",VLOOKUP(G581,configuration!$J$7:$K$10,2,FALSE))</f>
        <v/>
      </c>
      <c r="I581" s="30"/>
      <c r="J581" s="2"/>
      <c r="K581" s="31"/>
      <c r="L581" s="35"/>
      <c r="M581" s="2" t="str">
        <f>IF(ISBLANK(L581),"",VLOOKUP(L581,configuration!$M$7:$N$10,2,FALSE))</f>
        <v/>
      </c>
      <c r="N581" s="30"/>
      <c r="O581" s="2"/>
      <c r="P581" s="31"/>
      <c r="Q581" s="54"/>
      <c r="R581" s="55" t="str">
        <f>IF(ISBLANK(Q581),"",VLOOKUP(Q581,configuration!$P$7:$Q$10,2,FALSE))</f>
        <v/>
      </c>
      <c r="S581" s="56"/>
      <c r="T581" s="55"/>
      <c r="U581" s="78"/>
      <c r="V581" s="76" t="str">
        <f t="shared" si="36"/>
        <v/>
      </c>
      <c r="W581" s="48" t="str">
        <f t="shared" si="36"/>
        <v/>
      </c>
      <c r="X581" s="48" t="str">
        <f t="shared" si="36"/>
        <v/>
      </c>
      <c r="Y581" s="48" t="str">
        <f t="shared" si="36"/>
        <v/>
      </c>
      <c r="Z581" s="49" t="str">
        <f t="shared" si="34"/>
        <v/>
      </c>
      <c r="AA581" s="50" t="str">
        <f t="shared" si="37"/>
        <v/>
      </c>
      <c r="AB581" s="48" t="str">
        <f t="shared" si="37"/>
        <v/>
      </c>
      <c r="AC581" s="48" t="str">
        <f t="shared" si="37"/>
        <v/>
      </c>
      <c r="AD581" s="48" t="str">
        <f t="shared" si="37"/>
        <v/>
      </c>
      <c r="AE581" s="48" t="str">
        <f t="shared" si="35"/>
        <v/>
      </c>
    </row>
    <row r="582" spans="1:31" x14ac:dyDescent="0.25">
      <c r="A582" s="2"/>
      <c r="B582" s="2"/>
      <c r="C582" s="2"/>
      <c r="D582" s="2" t="str">
        <f>IF(ISBLANK(C582),"",VLOOKUP(C582,configuration!$G$7:$H$10,2,FALSE))</f>
        <v/>
      </c>
      <c r="E582" s="2"/>
      <c r="F582" s="2"/>
      <c r="G582" s="2"/>
      <c r="H582" s="2" t="str">
        <f>IF(ISBLANK(G582),"",VLOOKUP(G582,configuration!$J$7:$K$10,2,FALSE))</f>
        <v/>
      </c>
      <c r="I582" s="30"/>
      <c r="J582" s="2"/>
      <c r="K582" s="31"/>
      <c r="L582" s="35"/>
      <c r="M582" s="2" t="str">
        <f>IF(ISBLANK(L582),"",VLOOKUP(L582,configuration!$M$7:$N$10,2,FALSE))</f>
        <v/>
      </c>
      <c r="N582" s="30"/>
      <c r="O582" s="2"/>
      <c r="P582" s="31"/>
      <c r="Q582" s="54"/>
      <c r="R582" s="55" t="str">
        <f>IF(ISBLANK(Q582),"",VLOOKUP(Q582,configuration!$P$7:$Q$10,2,FALSE))</f>
        <v/>
      </c>
      <c r="S582" s="56"/>
      <c r="T582" s="55"/>
      <c r="U582" s="78"/>
      <c r="V582" s="76" t="str">
        <f t="shared" si="36"/>
        <v/>
      </c>
      <c r="W582" s="48" t="str">
        <f t="shared" si="36"/>
        <v/>
      </c>
      <c r="X582" s="48" t="str">
        <f t="shared" si="36"/>
        <v/>
      </c>
      <c r="Y582" s="48" t="str">
        <f t="shared" si="36"/>
        <v/>
      </c>
      <c r="Z582" s="49" t="str">
        <f t="shared" ref="Z582:Z645" si="38">IF(AND($G582="",A582&lt;&gt;""),1,"")</f>
        <v/>
      </c>
      <c r="AA582" s="50" t="str">
        <f t="shared" si="37"/>
        <v/>
      </c>
      <c r="AB582" s="48" t="str">
        <f t="shared" si="37"/>
        <v/>
      </c>
      <c r="AC582" s="48" t="str">
        <f t="shared" si="37"/>
        <v/>
      </c>
      <c r="AD582" s="48" t="str">
        <f t="shared" si="37"/>
        <v/>
      </c>
      <c r="AE582" s="48" t="str">
        <f t="shared" ref="AE582:AE645" si="39">IF(AND($L582="",A582&lt;&gt;""),1,"")</f>
        <v/>
      </c>
    </row>
    <row r="583" spans="1:31" x14ac:dyDescent="0.25">
      <c r="A583" s="2"/>
      <c r="B583" s="2"/>
      <c r="C583" s="2"/>
      <c r="D583" s="2" t="str">
        <f>IF(ISBLANK(C583),"",VLOOKUP(C583,configuration!$G$7:$H$10,2,FALSE))</f>
        <v/>
      </c>
      <c r="E583" s="2"/>
      <c r="F583" s="2"/>
      <c r="G583" s="2"/>
      <c r="H583" s="2" t="str">
        <f>IF(ISBLANK(G583),"",VLOOKUP(G583,configuration!$J$7:$K$10,2,FALSE))</f>
        <v/>
      </c>
      <c r="I583" s="30"/>
      <c r="J583" s="2"/>
      <c r="K583" s="31"/>
      <c r="L583" s="35"/>
      <c r="M583" s="2" t="str">
        <f>IF(ISBLANK(L583),"",VLOOKUP(L583,configuration!$M$7:$N$10,2,FALSE))</f>
        <v/>
      </c>
      <c r="N583" s="30"/>
      <c r="O583" s="2"/>
      <c r="P583" s="31"/>
      <c r="Q583" s="54"/>
      <c r="R583" s="55" t="str">
        <f>IF(ISBLANK(Q583),"",VLOOKUP(Q583,configuration!$P$7:$Q$10,2,FALSE))</f>
        <v/>
      </c>
      <c r="S583" s="56"/>
      <c r="T583" s="55"/>
      <c r="U583" s="78"/>
      <c r="V583" s="76" t="str">
        <f t="shared" si="36"/>
        <v/>
      </c>
      <c r="W583" s="48" t="str">
        <f t="shared" si="36"/>
        <v/>
      </c>
      <c r="X583" s="48" t="str">
        <f t="shared" si="36"/>
        <v/>
      </c>
      <c r="Y583" s="48" t="str">
        <f t="shared" si="36"/>
        <v/>
      </c>
      <c r="Z583" s="49" t="str">
        <f t="shared" si="38"/>
        <v/>
      </c>
      <c r="AA583" s="50" t="str">
        <f t="shared" si="37"/>
        <v/>
      </c>
      <c r="AB583" s="48" t="str">
        <f t="shared" si="37"/>
        <v/>
      </c>
      <c r="AC583" s="48" t="str">
        <f t="shared" si="37"/>
        <v/>
      </c>
      <c r="AD583" s="48" t="str">
        <f t="shared" si="37"/>
        <v/>
      </c>
      <c r="AE583" s="48" t="str">
        <f t="shared" si="39"/>
        <v/>
      </c>
    </row>
    <row r="584" spans="1:31" x14ac:dyDescent="0.25">
      <c r="A584" s="2"/>
      <c r="B584" s="2"/>
      <c r="C584" s="2"/>
      <c r="D584" s="2" t="str">
        <f>IF(ISBLANK(C584),"",VLOOKUP(C584,configuration!$G$7:$H$10,2,FALSE))</f>
        <v/>
      </c>
      <c r="E584" s="2"/>
      <c r="F584" s="2"/>
      <c r="G584" s="2"/>
      <c r="H584" s="2" t="str">
        <f>IF(ISBLANK(G584),"",VLOOKUP(G584,configuration!$J$7:$K$10,2,FALSE))</f>
        <v/>
      </c>
      <c r="I584" s="30"/>
      <c r="J584" s="2"/>
      <c r="K584" s="31"/>
      <c r="L584" s="35"/>
      <c r="M584" s="2" t="str">
        <f>IF(ISBLANK(L584),"",VLOOKUP(L584,configuration!$M$7:$N$10,2,FALSE))</f>
        <v/>
      </c>
      <c r="N584" s="30"/>
      <c r="O584" s="2"/>
      <c r="P584" s="31"/>
      <c r="Q584" s="54"/>
      <c r="R584" s="55" t="str">
        <f>IF(ISBLANK(Q584),"",VLOOKUP(Q584,configuration!$P$7:$Q$10,2,FALSE))</f>
        <v/>
      </c>
      <c r="S584" s="56"/>
      <c r="T584" s="55"/>
      <c r="U584" s="78"/>
      <c r="V584" s="76" t="str">
        <f t="shared" si="36"/>
        <v/>
      </c>
      <c r="W584" s="48" t="str">
        <f t="shared" si="36"/>
        <v/>
      </c>
      <c r="X584" s="48" t="str">
        <f t="shared" si="36"/>
        <v/>
      </c>
      <c r="Y584" s="48" t="str">
        <f t="shared" si="36"/>
        <v/>
      </c>
      <c r="Z584" s="49" t="str">
        <f t="shared" si="38"/>
        <v/>
      </c>
      <c r="AA584" s="50" t="str">
        <f t="shared" si="37"/>
        <v/>
      </c>
      <c r="AB584" s="48" t="str">
        <f t="shared" si="37"/>
        <v/>
      </c>
      <c r="AC584" s="48" t="str">
        <f t="shared" si="37"/>
        <v/>
      </c>
      <c r="AD584" s="48" t="str">
        <f t="shared" si="37"/>
        <v/>
      </c>
      <c r="AE584" s="48" t="str">
        <f t="shared" si="39"/>
        <v/>
      </c>
    </row>
    <row r="585" spans="1:31" x14ac:dyDescent="0.25">
      <c r="A585" s="2"/>
      <c r="B585" s="2"/>
      <c r="C585" s="2"/>
      <c r="D585" s="2" t="str">
        <f>IF(ISBLANK(C585),"",VLOOKUP(C585,configuration!$G$7:$H$10,2,FALSE))</f>
        <v/>
      </c>
      <c r="E585" s="2"/>
      <c r="F585" s="2"/>
      <c r="G585" s="2"/>
      <c r="H585" s="2" t="str">
        <f>IF(ISBLANK(G585),"",VLOOKUP(G585,configuration!$J$7:$K$10,2,FALSE))</f>
        <v/>
      </c>
      <c r="I585" s="30"/>
      <c r="J585" s="2"/>
      <c r="K585" s="31"/>
      <c r="L585" s="35"/>
      <c r="M585" s="2" t="str">
        <f>IF(ISBLANK(L585),"",VLOOKUP(L585,configuration!$M$7:$N$10,2,FALSE))</f>
        <v/>
      </c>
      <c r="N585" s="30"/>
      <c r="O585" s="2"/>
      <c r="P585" s="31"/>
      <c r="Q585" s="54"/>
      <c r="R585" s="55" t="str">
        <f>IF(ISBLANK(Q585),"",VLOOKUP(Q585,configuration!$P$7:$Q$10,2,FALSE))</f>
        <v/>
      </c>
      <c r="S585" s="56"/>
      <c r="T585" s="55"/>
      <c r="U585" s="78"/>
      <c r="V585" s="76" t="str">
        <f t="shared" si="36"/>
        <v/>
      </c>
      <c r="W585" s="48" t="str">
        <f t="shared" si="36"/>
        <v/>
      </c>
      <c r="X585" s="48" t="str">
        <f t="shared" si="36"/>
        <v/>
      </c>
      <c r="Y585" s="48" t="str">
        <f t="shared" si="36"/>
        <v/>
      </c>
      <c r="Z585" s="49" t="str">
        <f t="shared" si="38"/>
        <v/>
      </c>
      <c r="AA585" s="50" t="str">
        <f t="shared" si="37"/>
        <v/>
      </c>
      <c r="AB585" s="48" t="str">
        <f t="shared" si="37"/>
        <v/>
      </c>
      <c r="AC585" s="48" t="str">
        <f t="shared" si="37"/>
        <v/>
      </c>
      <c r="AD585" s="48" t="str">
        <f t="shared" si="37"/>
        <v/>
      </c>
      <c r="AE585" s="48" t="str">
        <f t="shared" si="39"/>
        <v/>
      </c>
    </row>
    <row r="586" spans="1:31" x14ac:dyDescent="0.25">
      <c r="A586" s="2"/>
      <c r="B586" s="2"/>
      <c r="C586" s="2"/>
      <c r="D586" s="2" t="str">
        <f>IF(ISBLANK(C586),"",VLOOKUP(C586,configuration!$G$7:$H$10,2,FALSE))</f>
        <v/>
      </c>
      <c r="E586" s="2"/>
      <c r="F586" s="2"/>
      <c r="G586" s="2"/>
      <c r="H586" s="2" t="str">
        <f>IF(ISBLANK(G586),"",VLOOKUP(G586,configuration!$J$7:$K$10,2,FALSE))</f>
        <v/>
      </c>
      <c r="I586" s="30"/>
      <c r="J586" s="2"/>
      <c r="K586" s="31"/>
      <c r="L586" s="35"/>
      <c r="M586" s="2" t="str">
        <f>IF(ISBLANK(L586),"",VLOOKUP(L586,configuration!$M$7:$N$10,2,FALSE))</f>
        <v/>
      </c>
      <c r="N586" s="30"/>
      <c r="O586" s="2"/>
      <c r="P586" s="31"/>
      <c r="Q586" s="54"/>
      <c r="R586" s="55" t="str">
        <f>IF(ISBLANK(Q586),"",VLOOKUP(Q586,configuration!$P$7:$Q$10,2,FALSE))</f>
        <v/>
      </c>
      <c r="S586" s="56"/>
      <c r="T586" s="55"/>
      <c r="U586" s="78"/>
      <c r="V586" s="76" t="str">
        <f t="shared" si="36"/>
        <v/>
      </c>
      <c r="W586" s="48" t="str">
        <f t="shared" si="36"/>
        <v/>
      </c>
      <c r="X586" s="48" t="str">
        <f t="shared" si="36"/>
        <v/>
      </c>
      <c r="Y586" s="48" t="str">
        <f t="shared" si="36"/>
        <v/>
      </c>
      <c r="Z586" s="49" t="str">
        <f t="shared" si="38"/>
        <v/>
      </c>
      <c r="AA586" s="50" t="str">
        <f t="shared" si="37"/>
        <v/>
      </c>
      <c r="AB586" s="48" t="str">
        <f t="shared" si="37"/>
        <v/>
      </c>
      <c r="AC586" s="48" t="str">
        <f t="shared" si="37"/>
        <v/>
      </c>
      <c r="AD586" s="48" t="str">
        <f t="shared" si="37"/>
        <v/>
      </c>
      <c r="AE586" s="48" t="str">
        <f t="shared" si="39"/>
        <v/>
      </c>
    </row>
    <row r="587" spans="1:31" x14ac:dyDescent="0.25">
      <c r="A587" s="2"/>
      <c r="B587" s="2"/>
      <c r="C587" s="2"/>
      <c r="D587" s="2" t="str">
        <f>IF(ISBLANK(C587),"",VLOOKUP(C587,configuration!$G$7:$H$10,2,FALSE))</f>
        <v/>
      </c>
      <c r="E587" s="2"/>
      <c r="F587" s="2"/>
      <c r="G587" s="2"/>
      <c r="H587" s="2" t="str">
        <f>IF(ISBLANK(G587),"",VLOOKUP(G587,configuration!$J$7:$K$10,2,FALSE))</f>
        <v/>
      </c>
      <c r="I587" s="30"/>
      <c r="J587" s="2"/>
      <c r="K587" s="31"/>
      <c r="L587" s="35"/>
      <c r="M587" s="2" t="str">
        <f>IF(ISBLANK(L587),"",VLOOKUP(L587,configuration!$M$7:$N$10,2,FALSE))</f>
        <v/>
      </c>
      <c r="N587" s="30"/>
      <c r="O587" s="2"/>
      <c r="P587" s="31"/>
      <c r="Q587" s="54"/>
      <c r="R587" s="55" t="str">
        <f>IF(ISBLANK(Q587),"",VLOOKUP(Q587,configuration!$P$7:$Q$10,2,FALSE))</f>
        <v/>
      </c>
      <c r="S587" s="56"/>
      <c r="T587" s="55"/>
      <c r="U587" s="78"/>
      <c r="V587" s="76" t="str">
        <f t="shared" si="36"/>
        <v/>
      </c>
      <c r="W587" s="48" t="str">
        <f t="shared" si="36"/>
        <v/>
      </c>
      <c r="X587" s="48" t="str">
        <f t="shared" si="36"/>
        <v/>
      </c>
      <c r="Y587" s="48" t="str">
        <f t="shared" si="36"/>
        <v/>
      </c>
      <c r="Z587" s="49" t="str">
        <f t="shared" si="38"/>
        <v/>
      </c>
      <c r="AA587" s="50" t="str">
        <f t="shared" si="37"/>
        <v/>
      </c>
      <c r="AB587" s="48" t="str">
        <f t="shared" si="37"/>
        <v/>
      </c>
      <c r="AC587" s="48" t="str">
        <f t="shared" si="37"/>
        <v/>
      </c>
      <c r="AD587" s="48" t="str">
        <f t="shared" si="37"/>
        <v/>
      </c>
      <c r="AE587" s="48" t="str">
        <f t="shared" si="39"/>
        <v/>
      </c>
    </row>
    <row r="588" spans="1:31" x14ac:dyDescent="0.25">
      <c r="A588" s="2"/>
      <c r="B588" s="2"/>
      <c r="C588" s="2"/>
      <c r="D588" s="2" t="str">
        <f>IF(ISBLANK(C588),"",VLOOKUP(C588,configuration!$G$7:$H$10,2,FALSE))</f>
        <v/>
      </c>
      <c r="E588" s="2"/>
      <c r="F588" s="2"/>
      <c r="G588" s="2"/>
      <c r="H588" s="2" t="str">
        <f>IF(ISBLANK(G588),"",VLOOKUP(G588,configuration!$J$7:$K$10,2,FALSE))</f>
        <v/>
      </c>
      <c r="I588" s="30"/>
      <c r="J588" s="2"/>
      <c r="K588" s="31"/>
      <c r="L588" s="35"/>
      <c r="M588" s="2" t="str">
        <f>IF(ISBLANK(L588),"",VLOOKUP(L588,configuration!$M$7:$N$10,2,FALSE))</f>
        <v/>
      </c>
      <c r="N588" s="30"/>
      <c r="O588" s="2"/>
      <c r="P588" s="31"/>
      <c r="Q588" s="54"/>
      <c r="R588" s="55" t="str">
        <f>IF(ISBLANK(Q588),"",VLOOKUP(Q588,configuration!$P$7:$Q$10,2,FALSE))</f>
        <v/>
      </c>
      <c r="S588" s="56"/>
      <c r="T588" s="55"/>
      <c r="U588" s="78"/>
      <c r="V588" s="76" t="str">
        <f t="shared" si="36"/>
        <v/>
      </c>
      <c r="W588" s="48" t="str">
        <f t="shared" si="36"/>
        <v/>
      </c>
      <c r="X588" s="48" t="str">
        <f t="shared" si="36"/>
        <v/>
      </c>
      <c r="Y588" s="48" t="str">
        <f t="shared" si="36"/>
        <v/>
      </c>
      <c r="Z588" s="49" t="str">
        <f t="shared" si="38"/>
        <v/>
      </c>
      <c r="AA588" s="50" t="str">
        <f t="shared" si="37"/>
        <v/>
      </c>
      <c r="AB588" s="48" t="str">
        <f t="shared" si="37"/>
        <v/>
      </c>
      <c r="AC588" s="48" t="str">
        <f t="shared" si="37"/>
        <v/>
      </c>
      <c r="AD588" s="48" t="str">
        <f t="shared" si="37"/>
        <v/>
      </c>
      <c r="AE588" s="48" t="str">
        <f t="shared" si="39"/>
        <v/>
      </c>
    </row>
    <row r="589" spans="1:31" x14ac:dyDescent="0.25">
      <c r="A589" s="2"/>
      <c r="B589" s="2"/>
      <c r="C589" s="2"/>
      <c r="D589" s="2" t="str">
        <f>IF(ISBLANK(C589),"",VLOOKUP(C589,configuration!$G$7:$H$10,2,FALSE))</f>
        <v/>
      </c>
      <c r="E589" s="2"/>
      <c r="F589" s="2"/>
      <c r="G589" s="2"/>
      <c r="H589" s="2" t="str">
        <f>IF(ISBLANK(G589),"",VLOOKUP(G589,configuration!$J$7:$K$10,2,FALSE))</f>
        <v/>
      </c>
      <c r="I589" s="30"/>
      <c r="J589" s="2"/>
      <c r="K589" s="31"/>
      <c r="L589" s="35"/>
      <c r="M589" s="2" t="str">
        <f>IF(ISBLANK(L589),"",VLOOKUP(L589,configuration!$M$7:$N$10,2,FALSE))</f>
        <v/>
      </c>
      <c r="N589" s="30"/>
      <c r="O589" s="2"/>
      <c r="P589" s="31"/>
      <c r="Q589" s="54"/>
      <c r="R589" s="55" t="str">
        <f>IF(ISBLANK(Q589),"",VLOOKUP(Q589,configuration!$P$7:$Q$10,2,FALSE))</f>
        <v/>
      </c>
      <c r="S589" s="56"/>
      <c r="T589" s="55"/>
      <c r="U589" s="78"/>
      <c r="V589" s="76" t="str">
        <f t="shared" si="36"/>
        <v/>
      </c>
      <c r="W589" s="48" t="str">
        <f t="shared" si="36"/>
        <v/>
      </c>
      <c r="X589" s="48" t="str">
        <f t="shared" si="36"/>
        <v/>
      </c>
      <c r="Y589" s="48" t="str">
        <f t="shared" si="36"/>
        <v/>
      </c>
      <c r="Z589" s="49" t="str">
        <f t="shared" si="38"/>
        <v/>
      </c>
      <c r="AA589" s="50" t="str">
        <f t="shared" si="37"/>
        <v/>
      </c>
      <c r="AB589" s="48" t="str">
        <f t="shared" si="37"/>
        <v/>
      </c>
      <c r="AC589" s="48" t="str">
        <f t="shared" si="37"/>
        <v/>
      </c>
      <c r="AD589" s="48" t="str">
        <f t="shared" si="37"/>
        <v/>
      </c>
      <c r="AE589" s="48" t="str">
        <f t="shared" si="39"/>
        <v/>
      </c>
    </row>
    <row r="590" spans="1:31" x14ac:dyDescent="0.25">
      <c r="A590" s="2"/>
      <c r="B590" s="2"/>
      <c r="C590" s="2"/>
      <c r="D590" s="2" t="str">
        <f>IF(ISBLANK(C590),"",VLOOKUP(C590,configuration!$G$7:$H$10,2,FALSE))</f>
        <v/>
      </c>
      <c r="E590" s="2"/>
      <c r="F590" s="2"/>
      <c r="G590" s="2"/>
      <c r="H590" s="2" t="str">
        <f>IF(ISBLANK(G590),"",VLOOKUP(G590,configuration!$J$7:$K$10,2,FALSE))</f>
        <v/>
      </c>
      <c r="I590" s="30"/>
      <c r="J590" s="2"/>
      <c r="K590" s="31"/>
      <c r="L590" s="35"/>
      <c r="M590" s="2" t="str">
        <f>IF(ISBLANK(L590),"",VLOOKUP(L590,configuration!$M$7:$N$10,2,FALSE))</f>
        <v/>
      </c>
      <c r="N590" s="30"/>
      <c r="O590" s="2"/>
      <c r="P590" s="31"/>
      <c r="Q590" s="54"/>
      <c r="R590" s="55" t="str">
        <f>IF(ISBLANK(Q590),"",VLOOKUP(Q590,configuration!$P$7:$Q$10,2,FALSE))</f>
        <v/>
      </c>
      <c r="S590" s="56"/>
      <c r="T590" s="55"/>
      <c r="U590" s="78"/>
      <c r="V590" s="76" t="str">
        <f t="shared" si="36"/>
        <v/>
      </c>
      <c r="W590" s="48" t="str">
        <f t="shared" si="36"/>
        <v/>
      </c>
      <c r="X590" s="48" t="str">
        <f t="shared" si="36"/>
        <v/>
      </c>
      <c r="Y590" s="48" t="str">
        <f t="shared" si="36"/>
        <v/>
      </c>
      <c r="Z590" s="49" t="str">
        <f t="shared" si="38"/>
        <v/>
      </c>
      <c r="AA590" s="50" t="str">
        <f t="shared" si="37"/>
        <v/>
      </c>
      <c r="AB590" s="48" t="str">
        <f t="shared" si="37"/>
        <v/>
      </c>
      <c r="AC590" s="48" t="str">
        <f t="shared" si="37"/>
        <v/>
      </c>
      <c r="AD590" s="48" t="str">
        <f t="shared" si="37"/>
        <v/>
      </c>
      <c r="AE590" s="48" t="str">
        <f t="shared" si="39"/>
        <v/>
      </c>
    </row>
    <row r="591" spans="1:31" x14ac:dyDescent="0.25">
      <c r="A591" s="2"/>
      <c r="B591" s="2"/>
      <c r="C591" s="2"/>
      <c r="D591" s="2" t="str">
        <f>IF(ISBLANK(C591),"",VLOOKUP(C591,configuration!$G$7:$H$10,2,FALSE))</f>
        <v/>
      </c>
      <c r="E591" s="2"/>
      <c r="F591" s="2"/>
      <c r="G591" s="2"/>
      <c r="H591" s="2" t="str">
        <f>IF(ISBLANK(G591),"",VLOOKUP(G591,configuration!$J$7:$K$10,2,FALSE))</f>
        <v/>
      </c>
      <c r="I591" s="30"/>
      <c r="J591" s="2"/>
      <c r="K591" s="31"/>
      <c r="L591" s="35"/>
      <c r="M591" s="2" t="str">
        <f>IF(ISBLANK(L591),"",VLOOKUP(L591,configuration!$M$7:$N$10,2,FALSE))</f>
        <v/>
      </c>
      <c r="N591" s="30"/>
      <c r="O591" s="2"/>
      <c r="P591" s="31"/>
      <c r="Q591" s="54"/>
      <c r="R591" s="55" t="str">
        <f>IF(ISBLANK(Q591),"",VLOOKUP(Q591,configuration!$P$7:$Q$10,2,FALSE))</f>
        <v/>
      </c>
      <c r="S591" s="56"/>
      <c r="T591" s="55"/>
      <c r="U591" s="78"/>
      <c r="V591" s="76" t="str">
        <f t="shared" si="36"/>
        <v/>
      </c>
      <c r="W591" s="48" t="str">
        <f t="shared" si="36"/>
        <v/>
      </c>
      <c r="X591" s="48" t="str">
        <f t="shared" si="36"/>
        <v/>
      </c>
      <c r="Y591" s="48" t="str">
        <f t="shared" si="36"/>
        <v/>
      </c>
      <c r="Z591" s="49" t="str">
        <f t="shared" si="38"/>
        <v/>
      </c>
      <c r="AA591" s="50" t="str">
        <f t="shared" si="37"/>
        <v/>
      </c>
      <c r="AB591" s="48" t="str">
        <f t="shared" si="37"/>
        <v/>
      </c>
      <c r="AC591" s="48" t="str">
        <f t="shared" si="37"/>
        <v/>
      </c>
      <c r="AD591" s="48" t="str">
        <f t="shared" si="37"/>
        <v/>
      </c>
      <c r="AE591" s="48" t="str">
        <f t="shared" si="39"/>
        <v/>
      </c>
    </row>
    <row r="592" spans="1:31" x14ac:dyDescent="0.25">
      <c r="A592" s="2"/>
      <c r="B592" s="2"/>
      <c r="C592" s="2"/>
      <c r="D592" s="2" t="str">
        <f>IF(ISBLANK(C592),"",VLOOKUP(C592,configuration!$G$7:$H$10,2,FALSE))</f>
        <v/>
      </c>
      <c r="E592" s="2"/>
      <c r="F592" s="2"/>
      <c r="G592" s="2"/>
      <c r="H592" s="2" t="str">
        <f>IF(ISBLANK(G592),"",VLOOKUP(G592,configuration!$J$7:$K$10,2,FALSE))</f>
        <v/>
      </c>
      <c r="I592" s="30"/>
      <c r="J592" s="2"/>
      <c r="K592" s="31"/>
      <c r="L592" s="35"/>
      <c r="M592" s="2" t="str">
        <f>IF(ISBLANK(L592),"",VLOOKUP(L592,configuration!$M$7:$N$10,2,FALSE))</f>
        <v/>
      </c>
      <c r="N592" s="30"/>
      <c r="O592" s="2"/>
      <c r="P592" s="31"/>
      <c r="Q592" s="54"/>
      <c r="R592" s="55" t="str">
        <f>IF(ISBLANK(Q592),"",VLOOKUP(Q592,configuration!$P$7:$Q$10,2,FALSE))</f>
        <v/>
      </c>
      <c r="S592" s="56"/>
      <c r="T592" s="55"/>
      <c r="U592" s="78"/>
      <c r="V592" s="76" t="str">
        <f t="shared" si="36"/>
        <v/>
      </c>
      <c r="W592" s="48" t="str">
        <f t="shared" si="36"/>
        <v/>
      </c>
      <c r="X592" s="48" t="str">
        <f t="shared" si="36"/>
        <v/>
      </c>
      <c r="Y592" s="48" t="str">
        <f t="shared" si="36"/>
        <v/>
      </c>
      <c r="Z592" s="49" t="str">
        <f t="shared" si="38"/>
        <v/>
      </c>
      <c r="AA592" s="50" t="str">
        <f t="shared" si="37"/>
        <v/>
      </c>
      <c r="AB592" s="48" t="str">
        <f t="shared" si="37"/>
        <v/>
      </c>
      <c r="AC592" s="48" t="str">
        <f t="shared" si="37"/>
        <v/>
      </c>
      <c r="AD592" s="48" t="str">
        <f t="shared" si="37"/>
        <v/>
      </c>
      <c r="AE592" s="48" t="str">
        <f t="shared" si="39"/>
        <v/>
      </c>
    </row>
    <row r="593" spans="1:31" x14ac:dyDescent="0.25">
      <c r="A593" s="2"/>
      <c r="B593" s="2"/>
      <c r="C593" s="2"/>
      <c r="D593" s="2" t="str">
        <f>IF(ISBLANK(C593),"",VLOOKUP(C593,configuration!$G$7:$H$10,2,FALSE))</f>
        <v/>
      </c>
      <c r="E593" s="2"/>
      <c r="F593" s="2"/>
      <c r="G593" s="2"/>
      <c r="H593" s="2" t="str">
        <f>IF(ISBLANK(G593),"",VLOOKUP(G593,configuration!$J$7:$K$10,2,FALSE))</f>
        <v/>
      </c>
      <c r="I593" s="30"/>
      <c r="J593" s="2"/>
      <c r="K593" s="31"/>
      <c r="L593" s="35"/>
      <c r="M593" s="2" t="str">
        <f>IF(ISBLANK(L593),"",VLOOKUP(L593,configuration!$M$7:$N$10,2,FALSE))</f>
        <v/>
      </c>
      <c r="N593" s="30"/>
      <c r="O593" s="2"/>
      <c r="P593" s="31"/>
      <c r="Q593" s="54"/>
      <c r="R593" s="55" t="str">
        <f>IF(ISBLANK(Q593),"",VLOOKUP(Q593,configuration!$P$7:$Q$10,2,FALSE))</f>
        <v/>
      </c>
      <c r="S593" s="56"/>
      <c r="T593" s="55"/>
      <c r="U593" s="78"/>
      <c r="V593" s="76" t="str">
        <f t="shared" si="36"/>
        <v/>
      </c>
      <c r="W593" s="48" t="str">
        <f t="shared" si="36"/>
        <v/>
      </c>
      <c r="X593" s="48" t="str">
        <f t="shared" si="36"/>
        <v/>
      </c>
      <c r="Y593" s="48" t="str">
        <f t="shared" si="36"/>
        <v/>
      </c>
      <c r="Z593" s="49" t="str">
        <f t="shared" si="38"/>
        <v/>
      </c>
      <c r="AA593" s="50" t="str">
        <f t="shared" si="37"/>
        <v/>
      </c>
      <c r="AB593" s="48" t="str">
        <f t="shared" si="37"/>
        <v/>
      </c>
      <c r="AC593" s="48" t="str">
        <f t="shared" si="37"/>
        <v/>
      </c>
      <c r="AD593" s="48" t="str">
        <f t="shared" si="37"/>
        <v/>
      </c>
      <c r="AE593" s="48" t="str">
        <f t="shared" si="39"/>
        <v/>
      </c>
    </row>
    <row r="594" spans="1:31" x14ac:dyDescent="0.25">
      <c r="A594" s="2"/>
      <c r="B594" s="2"/>
      <c r="C594" s="2"/>
      <c r="D594" s="2" t="str">
        <f>IF(ISBLANK(C594),"",VLOOKUP(C594,configuration!$G$7:$H$10,2,FALSE))</f>
        <v/>
      </c>
      <c r="E594" s="2"/>
      <c r="F594" s="2"/>
      <c r="G594" s="2"/>
      <c r="H594" s="2" t="str">
        <f>IF(ISBLANK(G594),"",VLOOKUP(G594,configuration!$J$7:$K$10,2,FALSE))</f>
        <v/>
      </c>
      <c r="I594" s="30"/>
      <c r="J594" s="2"/>
      <c r="K594" s="31"/>
      <c r="L594" s="35"/>
      <c r="M594" s="2" t="str">
        <f>IF(ISBLANK(L594),"",VLOOKUP(L594,configuration!$M$7:$N$10,2,FALSE))</f>
        <v/>
      </c>
      <c r="N594" s="30"/>
      <c r="O594" s="2"/>
      <c r="P594" s="31"/>
      <c r="Q594" s="54"/>
      <c r="R594" s="55" t="str">
        <f>IF(ISBLANK(Q594),"",VLOOKUP(Q594,configuration!$P$7:$Q$10,2,FALSE))</f>
        <v/>
      </c>
      <c r="S594" s="56"/>
      <c r="T594" s="55"/>
      <c r="U594" s="78"/>
      <c r="V594" s="76" t="str">
        <f t="shared" ref="V594:Y657" si="40">IF($G594=V$4,1,"")</f>
        <v/>
      </c>
      <c r="W594" s="48" t="str">
        <f t="shared" si="40"/>
        <v/>
      </c>
      <c r="X594" s="48" t="str">
        <f t="shared" si="40"/>
        <v/>
      </c>
      <c r="Y594" s="48" t="str">
        <f t="shared" si="40"/>
        <v/>
      </c>
      <c r="Z594" s="49" t="str">
        <f t="shared" si="38"/>
        <v/>
      </c>
      <c r="AA594" s="50" t="str">
        <f t="shared" ref="AA594:AD657" si="41">IF($L594=AA$4,1,"")</f>
        <v/>
      </c>
      <c r="AB594" s="48" t="str">
        <f t="shared" si="41"/>
        <v/>
      </c>
      <c r="AC594" s="48" t="str">
        <f t="shared" si="41"/>
        <v/>
      </c>
      <c r="AD594" s="48" t="str">
        <f t="shared" si="41"/>
        <v/>
      </c>
      <c r="AE594" s="48" t="str">
        <f t="shared" si="39"/>
        <v/>
      </c>
    </row>
    <row r="595" spans="1:31" x14ac:dyDescent="0.25">
      <c r="A595" s="2"/>
      <c r="B595" s="2"/>
      <c r="C595" s="2"/>
      <c r="D595" s="2" t="str">
        <f>IF(ISBLANK(C595),"",VLOOKUP(C595,configuration!$G$7:$H$10,2,FALSE))</f>
        <v/>
      </c>
      <c r="E595" s="2"/>
      <c r="F595" s="2"/>
      <c r="G595" s="2"/>
      <c r="H595" s="2" t="str">
        <f>IF(ISBLANK(G595),"",VLOOKUP(G595,configuration!$J$7:$K$10,2,FALSE))</f>
        <v/>
      </c>
      <c r="I595" s="30"/>
      <c r="J595" s="2"/>
      <c r="K595" s="31"/>
      <c r="L595" s="35"/>
      <c r="M595" s="2" t="str">
        <f>IF(ISBLANK(L595),"",VLOOKUP(L595,configuration!$M$7:$N$10,2,FALSE))</f>
        <v/>
      </c>
      <c r="N595" s="30"/>
      <c r="O595" s="2"/>
      <c r="P595" s="31"/>
      <c r="Q595" s="54"/>
      <c r="R595" s="55" t="str">
        <f>IF(ISBLANK(Q595),"",VLOOKUP(Q595,configuration!$P$7:$Q$10,2,FALSE))</f>
        <v/>
      </c>
      <c r="S595" s="56"/>
      <c r="T595" s="55"/>
      <c r="U595" s="78"/>
      <c r="V595" s="76" t="str">
        <f t="shared" si="40"/>
        <v/>
      </c>
      <c r="W595" s="48" t="str">
        <f t="shared" si="40"/>
        <v/>
      </c>
      <c r="X595" s="48" t="str">
        <f t="shared" si="40"/>
        <v/>
      </c>
      <c r="Y595" s="48" t="str">
        <f t="shared" si="40"/>
        <v/>
      </c>
      <c r="Z595" s="49" t="str">
        <f t="shared" si="38"/>
        <v/>
      </c>
      <c r="AA595" s="50" t="str">
        <f t="shared" si="41"/>
        <v/>
      </c>
      <c r="AB595" s="48" t="str">
        <f t="shared" si="41"/>
        <v/>
      </c>
      <c r="AC595" s="48" t="str">
        <f t="shared" si="41"/>
        <v/>
      </c>
      <c r="AD595" s="48" t="str">
        <f t="shared" si="41"/>
        <v/>
      </c>
      <c r="AE595" s="48" t="str">
        <f t="shared" si="39"/>
        <v/>
      </c>
    </row>
    <row r="596" spans="1:31" x14ac:dyDescent="0.25">
      <c r="A596" s="2"/>
      <c r="B596" s="2"/>
      <c r="C596" s="2"/>
      <c r="D596" s="2" t="str">
        <f>IF(ISBLANK(C596),"",VLOOKUP(C596,configuration!$G$7:$H$10,2,FALSE))</f>
        <v/>
      </c>
      <c r="E596" s="2"/>
      <c r="F596" s="2"/>
      <c r="G596" s="2"/>
      <c r="H596" s="2" t="str">
        <f>IF(ISBLANK(G596),"",VLOOKUP(G596,configuration!$J$7:$K$10,2,FALSE))</f>
        <v/>
      </c>
      <c r="I596" s="30"/>
      <c r="J596" s="2"/>
      <c r="K596" s="31"/>
      <c r="L596" s="35"/>
      <c r="M596" s="2" t="str">
        <f>IF(ISBLANK(L596),"",VLOOKUP(L596,configuration!$M$7:$N$10,2,FALSE))</f>
        <v/>
      </c>
      <c r="N596" s="30"/>
      <c r="O596" s="2"/>
      <c r="P596" s="31"/>
      <c r="Q596" s="54"/>
      <c r="R596" s="55" t="str">
        <f>IF(ISBLANK(Q596),"",VLOOKUP(Q596,configuration!$P$7:$Q$10,2,FALSE))</f>
        <v/>
      </c>
      <c r="S596" s="56"/>
      <c r="T596" s="55"/>
      <c r="U596" s="78"/>
      <c r="V596" s="76" t="str">
        <f t="shared" si="40"/>
        <v/>
      </c>
      <c r="W596" s="48" t="str">
        <f t="shared" si="40"/>
        <v/>
      </c>
      <c r="X596" s="48" t="str">
        <f t="shared" si="40"/>
        <v/>
      </c>
      <c r="Y596" s="48" t="str">
        <f t="shared" si="40"/>
        <v/>
      </c>
      <c r="Z596" s="49" t="str">
        <f t="shared" si="38"/>
        <v/>
      </c>
      <c r="AA596" s="50" t="str">
        <f t="shared" si="41"/>
        <v/>
      </c>
      <c r="AB596" s="48" t="str">
        <f t="shared" si="41"/>
        <v/>
      </c>
      <c r="AC596" s="48" t="str">
        <f t="shared" si="41"/>
        <v/>
      </c>
      <c r="AD596" s="48" t="str">
        <f t="shared" si="41"/>
        <v/>
      </c>
      <c r="AE596" s="48" t="str">
        <f t="shared" si="39"/>
        <v/>
      </c>
    </row>
    <row r="597" spans="1:31" x14ac:dyDescent="0.25">
      <c r="A597" s="2"/>
      <c r="B597" s="2"/>
      <c r="C597" s="2"/>
      <c r="D597" s="2" t="str">
        <f>IF(ISBLANK(C597),"",VLOOKUP(C597,configuration!$G$7:$H$10,2,FALSE))</f>
        <v/>
      </c>
      <c r="E597" s="2"/>
      <c r="F597" s="2"/>
      <c r="G597" s="2"/>
      <c r="H597" s="2" t="str">
        <f>IF(ISBLANK(G597),"",VLOOKUP(G597,configuration!$J$7:$K$10,2,FALSE))</f>
        <v/>
      </c>
      <c r="I597" s="30"/>
      <c r="J597" s="2"/>
      <c r="K597" s="31"/>
      <c r="L597" s="35"/>
      <c r="M597" s="2" t="str">
        <f>IF(ISBLANK(L597),"",VLOOKUP(L597,configuration!$M$7:$N$10,2,FALSE))</f>
        <v/>
      </c>
      <c r="N597" s="30"/>
      <c r="O597" s="2"/>
      <c r="P597" s="31"/>
      <c r="Q597" s="54"/>
      <c r="R597" s="55" t="str">
        <f>IF(ISBLANK(Q597),"",VLOOKUP(Q597,configuration!$P$7:$Q$10,2,FALSE))</f>
        <v/>
      </c>
      <c r="S597" s="56"/>
      <c r="T597" s="55"/>
      <c r="U597" s="78"/>
      <c r="V597" s="76" t="str">
        <f t="shared" si="40"/>
        <v/>
      </c>
      <c r="W597" s="48" t="str">
        <f t="shared" si="40"/>
        <v/>
      </c>
      <c r="X597" s="48" t="str">
        <f t="shared" si="40"/>
        <v/>
      </c>
      <c r="Y597" s="48" t="str">
        <f t="shared" si="40"/>
        <v/>
      </c>
      <c r="Z597" s="49" t="str">
        <f t="shared" si="38"/>
        <v/>
      </c>
      <c r="AA597" s="50" t="str">
        <f t="shared" si="41"/>
        <v/>
      </c>
      <c r="AB597" s="48" t="str">
        <f t="shared" si="41"/>
        <v/>
      </c>
      <c r="AC597" s="48" t="str">
        <f t="shared" si="41"/>
        <v/>
      </c>
      <c r="AD597" s="48" t="str">
        <f t="shared" si="41"/>
        <v/>
      </c>
      <c r="AE597" s="48" t="str">
        <f t="shared" si="39"/>
        <v/>
      </c>
    </row>
    <row r="598" spans="1:31" x14ac:dyDescent="0.25">
      <c r="A598" s="2"/>
      <c r="B598" s="2"/>
      <c r="C598" s="2"/>
      <c r="D598" s="2" t="str">
        <f>IF(ISBLANK(C598),"",VLOOKUP(C598,configuration!$G$7:$H$10,2,FALSE))</f>
        <v/>
      </c>
      <c r="E598" s="2"/>
      <c r="F598" s="2"/>
      <c r="G598" s="2"/>
      <c r="H598" s="2" t="str">
        <f>IF(ISBLANK(G598),"",VLOOKUP(G598,configuration!$J$7:$K$10,2,FALSE))</f>
        <v/>
      </c>
      <c r="I598" s="30"/>
      <c r="J598" s="2"/>
      <c r="K598" s="31"/>
      <c r="L598" s="35"/>
      <c r="M598" s="2" t="str">
        <f>IF(ISBLANK(L598),"",VLOOKUP(L598,configuration!$M$7:$N$10,2,FALSE))</f>
        <v/>
      </c>
      <c r="N598" s="30"/>
      <c r="O598" s="2"/>
      <c r="P598" s="31"/>
      <c r="Q598" s="54"/>
      <c r="R598" s="55" t="str">
        <f>IF(ISBLANK(Q598),"",VLOOKUP(Q598,configuration!$P$7:$Q$10,2,FALSE))</f>
        <v/>
      </c>
      <c r="S598" s="56"/>
      <c r="T598" s="55"/>
      <c r="U598" s="78"/>
      <c r="V598" s="76" t="str">
        <f t="shared" si="40"/>
        <v/>
      </c>
      <c r="W598" s="48" t="str">
        <f t="shared" si="40"/>
        <v/>
      </c>
      <c r="X598" s="48" t="str">
        <f t="shared" si="40"/>
        <v/>
      </c>
      <c r="Y598" s="48" t="str">
        <f t="shared" si="40"/>
        <v/>
      </c>
      <c r="Z598" s="49" t="str">
        <f t="shared" si="38"/>
        <v/>
      </c>
      <c r="AA598" s="50" t="str">
        <f t="shared" si="41"/>
        <v/>
      </c>
      <c r="AB598" s="48" t="str">
        <f t="shared" si="41"/>
        <v/>
      </c>
      <c r="AC598" s="48" t="str">
        <f t="shared" si="41"/>
        <v/>
      </c>
      <c r="AD598" s="48" t="str">
        <f t="shared" si="41"/>
        <v/>
      </c>
      <c r="AE598" s="48" t="str">
        <f t="shared" si="39"/>
        <v/>
      </c>
    </row>
    <row r="599" spans="1:31" x14ac:dyDescent="0.25">
      <c r="A599" s="2"/>
      <c r="B599" s="2"/>
      <c r="C599" s="2"/>
      <c r="D599" s="2" t="str">
        <f>IF(ISBLANK(C599),"",VLOOKUP(C599,configuration!$G$7:$H$10,2,FALSE))</f>
        <v/>
      </c>
      <c r="E599" s="2"/>
      <c r="F599" s="2"/>
      <c r="G599" s="2"/>
      <c r="H599" s="2" t="str">
        <f>IF(ISBLANK(G599),"",VLOOKUP(G599,configuration!$J$7:$K$10,2,FALSE))</f>
        <v/>
      </c>
      <c r="I599" s="30"/>
      <c r="J599" s="2"/>
      <c r="K599" s="31"/>
      <c r="L599" s="35"/>
      <c r="M599" s="2" t="str">
        <f>IF(ISBLANK(L599),"",VLOOKUP(L599,configuration!$M$7:$N$10,2,FALSE))</f>
        <v/>
      </c>
      <c r="N599" s="30"/>
      <c r="O599" s="2"/>
      <c r="P599" s="31"/>
      <c r="Q599" s="54"/>
      <c r="R599" s="55" t="str">
        <f>IF(ISBLANK(Q599),"",VLOOKUP(Q599,configuration!$P$7:$Q$10,2,FALSE))</f>
        <v/>
      </c>
      <c r="S599" s="56"/>
      <c r="T599" s="55"/>
      <c r="U599" s="78"/>
      <c r="V599" s="76" t="str">
        <f t="shared" si="40"/>
        <v/>
      </c>
      <c r="W599" s="48" t="str">
        <f t="shared" si="40"/>
        <v/>
      </c>
      <c r="X599" s="48" t="str">
        <f t="shared" si="40"/>
        <v/>
      </c>
      <c r="Y599" s="48" t="str">
        <f t="shared" si="40"/>
        <v/>
      </c>
      <c r="Z599" s="49" t="str">
        <f t="shared" si="38"/>
        <v/>
      </c>
      <c r="AA599" s="50" t="str">
        <f t="shared" si="41"/>
        <v/>
      </c>
      <c r="AB599" s="48" t="str">
        <f t="shared" si="41"/>
        <v/>
      </c>
      <c r="AC599" s="48" t="str">
        <f t="shared" si="41"/>
        <v/>
      </c>
      <c r="AD599" s="48" t="str">
        <f t="shared" si="41"/>
        <v/>
      </c>
      <c r="AE599" s="48" t="str">
        <f t="shared" si="39"/>
        <v/>
      </c>
    </row>
    <row r="600" spans="1:31" x14ac:dyDescent="0.25">
      <c r="A600" s="2"/>
      <c r="B600" s="2"/>
      <c r="C600" s="2"/>
      <c r="D600" s="2" t="str">
        <f>IF(ISBLANK(C600),"",VLOOKUP(C600,configuration!$G$7:$H$10,2,FALSE))</f>
        <v/>
      </c>
      <c r="E600" s="2"/>
      <c r="F600" s="2"/>
      <c r="G600" s="2"/>
      <c r="H600" s="2" t="str">
        <f>IF(ISBLANK(G600),"",VLOOKUP(G600,configuration!$J$7:$K$10,2,FALSE))</f>
        <v/>
      </c>
      <c r="I600" s="30"/>
      <c r="J600" s="2"/>
      <c r="K600" s="31"/>
      <c r="L600" s="35"/>
      <c r="M600" s="2" t="str">
        <f>IF(ISBLANK(L600),"",VLOOKUP(L600,configuration!$M$7:$N$10,2,FALSE))</f>
        <v/>
      </c>
      <c r="N600" s="30"/>
      <c r="O600" s="2"/>
      <c r="P600" s="31"/>
      <c r="Q600" s="54"/>
      <c r="R600" s="55" t="str">
        <f>IF(ISBLANK(Q600),"",VLOOKUP(Q600,configuration!$P$7:$Q$10,2,FALSE))</f>
        <v/>
      </c>
      <c r="S600" s="56"/>
      <c r="T600" s="55"/>
      <c r="U600" s="78"/>
      <c r="V600" s="76" t="str">
        <f t="shared" si="40"/>
        <v/>
      </c>
      <c r="W600" s="48" t="str">
        <f t="shared" si="40"/>
        <v/>
      </c>
      <c r="X600" s="48" t="str">
        <f t="shared" si="40"/>
        <v/>
      </c>
      <c r="Y600" s="48" t="str">
        <f t="shared" si="40"/>
        <v/>
      </c>
      <c r="Z600" s="49" t="str">
        <f t="shared" si="38"/>
        <v/>
      </c>
      <c r="AA600" s="50" t="str">
        <f t="shared" si="41"/>
        <v/>
      </c>
      <c r="AB600" s="48" t="str">
        <f t="shared" si="41"/>
        <v/>
      </c>
      <c r="AC600" s="48" t="str">
        <f t="shared" si="41"/>
        <v/>
      </c>
      <c r="AD600" s="48" t="str">
        <f t="shared" si="41"/>
        <v/>
      </c>
      <c r="AE600" s="48" t="str">
        <f t="shared" si="39"/>
        <v/>
      </c>
    </row>
    <row r="601" spans="1:31" x14ac:dyDescent="0.25">
      <c r="A601" s="2"/>
      <c r="B601" s="2"/>
      <c r="C601" s="2"/>
      <c r="D601" s="2" t="str">
        <f>IF(ISBLANK(C601),"",VLOOKUP(C601,configuration!$G$7:$H$10,2,FALSE))</f>
        <v/>
      </c>
      <c r="E601" s="2"/>
      <c r="F601" s="2"/>
      <c r="G601" s="2"/>
      <c r="H601" s="2" t="str">
        <f>IF(ISBLANK(G601),"",VLOOKUP(G601,configuration!$J$7:$K$10,2,FALSE))</f>
        <v/>
      </c>
      <c r="I601" s="30"/>
      <c r="J601" s="2"/>
      <c r="K601" s="31"/>
      <c r="L601" s="35"/>
      <c r="M601" s="2" t="str">
        <f>IF(ISBLANK(L601),"",VLOOKUP(L601,configuration!$M$7:$N$10,2,FALSE))</f>
        <v/>
      </c>
      <c r="N601" s="30"/>
      <c r="O601" s="2"/>
      <c r="P601" s="31"/>
      <c r="Q601" s="54"/>
      <c r="R601" s="55" t="str">
        <f>IF(ISBLANK(Q601),"",VLOOKUP(Q601,configuration!$P$7:$Q$10,2,FALSE))</f>
        <v/>
      </c>
      <c r="S601" s="56"/>
      <c r="T601" s="55"/>
      <c r="U601" s="78"/>
      <c r="V601" s="76" t="str">
        <f t="shared" si="40"/>
        <v/>
      </c>
      <c r="W601" s="48" t="str">
        <f t="shared" si="40"/>
        <v/>
      </c>
      <c r="X601" s="48" t="str">
        <f t="shared" si="40"/>
        <v/>
      </c>
      <c r="Y601" s="48" t="str">
        <f t="shared" si="40"/>
        <v/>
      </c>
      <c r="Z601" s="49" t="str">
        <f t="shared" si="38"/>
        <v/>
      </c>
      <c r="AA601" s="50" t="str">
        <f t="shared" si="41"/>
        <v/>
      </c>
      <c r="AB601" s="48" t="str">
        <f t="shared" si="41"/>
        <v/>
      </c>
      <c r="AC601" s="48" t="str">
        <f t="shared" si="41"/>
        <v/>
      </c>
      <c r="AD601" s="48" t="str">
        <f t="shared" si="41"/>
        <v/>
      </c>
      <c r="AE601" s="48" t="str">
        <f t="shared" si="39"/>
        <v/>
      </c>
    </row>
    <row r="602" spans="1:31" x14ac:dyDescent="0.25">
      <c r="A602" s="2"/>
      <c r="B602" s="2"/>
      <c r="C602" s="2"/>
      <c r="D602" s="2" t="str">
        <f>IF(ISBLANK(C602),"",VLOOKUP(C602,configuration!$G$7:$H$10,2,FALSE))</f>
        <v/>
      </c>
      <c r="E602" s="2"/>
      <c r="F602" s="2"/>
      <c r="G602" s="2"/>
      <c r="H602" s="2" t="str">
        <f>IF(ISBLANK(G602),"",VLOOKUP(G602,configuration!$J$7:$K$10,2,FALSE))</f>
        <v/>
      </c>
      <c r="I602" s="30"/>
      <c r="J602" s="2"/>
      <c r="K602" s="31"/>
      <c r="L602" s="35"/>
      <c r="M602" s="2" t="str">
        <f>IF(ISBLANK(L602),"",VLOOKUP(L602,configuration!$M$7:$N$10,2,FALSE))</f>
        <v/>
      </c>
      <c r="N602" s="30"/>
      <c r="O602" s="2"/>
      <c r="P602" s="31"/>
      <c r="Q602" s="54"/>
      <c r="R602" s="55" t="str">
        <f>IF(ISBLANK(Q602),"",VLOOKUP(Q602,configuration!$P$7:$Q$10,2,FALSE))</f>
        <v/>
      </c>
      <c r="S602" s="56"/>
      <c r="T602" s="55"/>
      <c r="U602" s="78"/>
      <c r="V602" s="76" t="str">
        <f t="shared" si="40"/>
        <v/>
      </c>
      <c r="W602" s="48" t="str">
        <f t="shared" si="40"/>
        <v/>
      </c>
      <c r="X602" s="48" t="str">
        <f t="shared" si="40"/>
        <v/>
      </c>
      <c r="Y602" s="48" t="str">
        <f t="shared" si="40"/>
        <v/>
      </c>
      <c r="Z602" s="49" t="str">
        <f t="shared" si="38"/>
        <v/>
      </c>
      <c r="AA602" s="50" t="str">
        <f t="shared" si="41"/>
        <v/>
      </c>
      <c r="AB602" s="48" t="str">
        <f t="shared" si="41"/>
        <v/>
      </c>
      <c r="AC602" s="48" t="str">
        <f t="shared" si="41"/>
        <v/>
      </c>
      <c r="AD602" s="48" t="str">
        <f t="shared" si="41"/>
        <v/>
      </c>
      <c r="AE602" s="48" t="str">
        <f t="shared" si="39"/>
        <v/>
      </c>
    </row>
    <row r="603" spans="1:31" x14ac:dyDescent="0.25">
      <c r="A603" s="2"/>
      <c r="B603" s="2"/>
      <c r="C603" s="2"/>
      <c r="D603" s="2" t="str">
        <f>IF(ISBLANK(C603),"",VLOOKUP(C603,configuration!$G$7:$H$10,2,FALSE))</f>
        <v/>
      </c>
      <c r="E603" s="2"/>
      <c r="F603" s="2"/>
      <c r="G603" s="2"/>
      <c r="H603" s="2" t="str">
        <f>IF(ISBLANK(G603),"",VLOOKUP(G603,configuration!$J$7:$K$10,2,FALSE))</f>
        <v/>
      </c>
      <c r="I603" s="30"/>
      <c r="J603" s="2"/>
      <c r="K603" s="31"/>
      <c r="L603" s="35"/>
      <c r="M603" s="2" t="str">
        <f>IF(ISBLANK(L603),"",VLOOKUP(L603,configuration!$M$7:$N$10,2,FALSE))</f>
        <v/>
      </c>
      <c r="N603" s="30"/>
      <c r="O603" s="2"/>
      <c r="P603" s="31"/>
      <c r="Q603" s="54"/>
      <c r="R603" s="55" t="str">
        <f>IF(ISBLANK(Q603),"",VLOOKUP(Q603,configuration!$P$7:$Q$10,2,FALSE))</f>
        <v/>
      </c>
      <c r="S603" s="56"/>
      <c r="T603" s="55"/>
      <c r="U603" s="78"/>
      <c r="V603" s="76" t="str">
        <f t="shared" si="40"/>
        <v/>
      </c>
      <c r="W603" s="48" t="str">
        <f t="shared" si="40"/>
        <v/>
      </c>
      <c r="X603" s="48" t="str">
        <f t="shared" si="40"/>
        <v/>
      </c>
      <c r="Y603" s="48" t="str">
        <f t="shared" si="40"/>
        <v/>
      </c>
      <c r="Z603" s="49" t="str">
        <f t="shared" si="38"/>
        <v/>
      </c>
      <c r="AA603" s="50" t="str">
        <f t="shared" si="41"/>
        <v/>
      </c>
      <c r="AB603" s="48" t="str">
        <f t="shared" si="41"/>
        <v/>
      </c>
      <c r="AC603" s="48" t="str">
        <f t="shared" si="41"/>
        <v/>
      </c>
      <c r="AD603" s="48" t="str">
        <f t="shared" si="41"/>
        <v/>
      </c>
      <c r="AE603" s="48" t="str">
        <f t="shared" si="39"/>
        <v/>
      </c>
    </row>
    <row r="604" spans="1:31" x14ac:dyDescent="0.25">
      <c r="A604" s="2"/>
      <c r="B604" s="2"/>
      <c r="C604" s="2"/>
      <c r="D604" s="2" t="str">
        <f>IF(ISBLANK(C604),"",VLOOKUP(C604,configuration!$G$7:$H$10,2,FALSE))</f>
        <v/>
      </c>
      <c r="E604" s="2"/>
      <c r="F604" s="2"/>
      <c r="G604" s="2"/>
      <c r="H604" s="2" t="str">
        <f>IF(ISBLANK(G604),"",VLOOKUP(G604,configuration!$J$7:$K$10,2,FALSE))</f>
        <v/>
      </c>
      <c r="I604" s="30"/>
      <c r="J604" s="2"/>
      <c r="K604" s="31"/>
      <c r="L604" s="35"/>
      <c r="M604" s="2" t="str">
        <f>IF(ISBLANK(L604),"",VLOOKUP(L604,configuration!$M$7:$N$10,2,FALSE))</f>
        <v/>
      </c>
      <c r="N604" s="30"/>
      <c r="O604" s="2"/>
      <c r="P604" s="31"/>
      <c r="Q604" s="54"/>
      <c r="R604" s="55" t="str">
        <f>IF(ISBLANK(Q604),"",VLOOKUP(Q604,configuration!$P$7:$Q$10,2,FALSE))</f>
        <v/>
      </c>
      <c r="S604" s="56"/>
      <c r="T604" s="55"/>
      <c r="U604" s="78"/>
      <c r="V604" s="76" t="str">
        <f t="shared" si="40"/>
        <v/>
      </c>
      <c r="W604" s="48" t="str">
        <f t="shared" si="40"/>
        <v/>
      </c>
      <c r="X604" s="48" t="str">
        <f t="shared" si="40"/>
        <v/>
      </c>
      <c r="Y604" s="48" t="str">
        <f t="shared" si="40"/>
        <v/>
      </c>
      <c r="Z604" s="49" t="str">
        <f t="shared" si="38"/>
        <v/>
      </c>
      <c r="AA604" s="50" t="str">
        <f t="shared" si="41"/>
        <v/>
      </c>
      <c r="AB604" s="48" t="str">
        <f t="shared" si="41"/>
        <v/>
      </c>
      <c r="AC604" s="48" t="str">
        <f t="shared" si="41"/>
        <v/>
      </c>
      <c r="AD604" s="48" t="str">
        <f t="shared" si="41"/>
        <v/>
      </c>
      <c r="AE604" s="48" t="str">
        <f t="shared" si="39"/>
        <v/>
      </c>
    </row>
    <row r="605" spans="1:31" x14ac:dyDescent="0.25">
      <c r="A605" s="2"/>
      <c r="B605" s="2"/>
      <c r="C605" s="2"/>
      <c r="D605" s="2" t="str">
        <f>IF(ISBLANK(C605),"",VLOOKUP(C605,configuration!$G$7:$H$10,2,FALSE))</f>
        <v/>
      </c>
      <c r="E605" s="2"/>
      <c r="F605" s="2"/>
      <c r="G605" s="2"/>
      <c r="H605" s="2" t="str">
        <f>IF(ISBLANK(G605),"",VLOOKUP(G605,configuration!$J$7:$K$10,2,FALSE))</f>
        <v/>
      </c>
      <c r="I605" s="30"/>
      <c r="J605" s="2"/>
      <c r="K605" s="31"/>
      <c r="L605" s="35"/>
      <c r="M605" s="2" t="str">
        <f>IF(ISBLANK(L605),"",VLOOKUP(L605,configuration!$M$7:$N$10,2,FALSE))</f>
        <v/>
      </c>
      <c r="N605" s="30"/>
      <c r="O605" s="2"/>
      <c r="P605" s="31"/>
      <c r="Q605" s="54"/>
      <c r="R605" s="55" t="str">
        <f>IF(ISBLANK(Q605),"",VLOOKUP(Q605,configuration!$P$7:$Q$10,2,FALSE))</f>
        <v/>
      </c>
      <c r="S605" s="56"/>
      <c r="T605" s="55"/>
      <c r="U605" s="78"/>
      <c r="V605" s="76" t="str">
        <f t="shared" si="40"/>
        <v/>
      </c>
      <c r="W605" s="48" t="str">
        <f t="shared" si="40"/>
        <v/>
      </c>
      <c r="X605" s="48" t="str">
        <f t="shared" si="40"/>
        <v/>
      </c>
      <c r="Y605" s="48" t="str">
        <f t="shared" si="40"/>
        <v/>
      </c>
      <c r="Z605" s="49" t="str">
        <f t="shared" si="38"/>
        <v/>
      </c>
      <c r="AA605" s="50" t="str">
        <f t="shared" si="41"/>
        <v/>
      </c>
      <c r="AB605" s="48" t="str">
        <f t="shared" si="41"/>
        <v/>
      </c>
      <c r="AC605" s="48" t="str">
        <f t="shared" si="41"/>
        <v/>
      </c>
      <c r="AD605" s="48" t="str">
        <f t="shared" si="41"/>
        <v/>
      </c>
      <c r="AE605" s="48" t="str">
        <f t="shared" si="39"/>
        <v/>
      </c>
    </row>
    <row r="606" spans="1:31" x14ac:dyDescent="0.25">
      <c r="A606" s="2"/>
      <c r="B606" s="2"/>
      <c r="C606" s="2"/>
      <c r="D606" s="2" t="str">
        <f>IF(ISBLANK(C606),"",VLOOKUP(C606,configuration!$G$7:$H$10,2,FALSE))</f>
        <v/>
      </c>
      <c r="E606" s="2"/>
      <c r="F606" s="2"/>
      <c r="G606" s="2"/>
      <c r="H606" s="2" t="str">
        <f>IF(ISBLANK(G606),"",VLOOKUP(G606,configuration!$J$7:$K$10,2,FALSE))</f>
        <v/>
      </c>
      <c r="I606" s="30"/>
      <c r="J606" s="2"/>
      <c r="K606" s="31"/>
      <c r="L606" s="35"/>
      <c r="M606" s="2" t="str">
        <f>IF(ISBLANK(L606),"",VLOOKUP(L606,configuration!$M$7:$N$10,2,FALSE))</f>
        <v/>
      </c>
      <c r="N606" s="30"/>
      <c r="O606" s="2"/>
      <c r="P606" s="31"/>
      <c r="Q606" s="54"/>
      <c r="R606" s="55" t="str">
        <f>IF(ISBLANK(Q606),"",VLOOKUP(Q606,configuration!$P$7:$Q$10,2,FALSE))</f>
        <v/>
      </c>
      <c r="S606" s="56"/>
      <c r="T606" s="55"/>
      <c r="U606" s="78"/>
      <c r="V606" s="76" t="str">
        <f t="shared" si="40"/>
        <v/>
      </c>
      <c r="W606" s="48" t="str">
        <f t="shared" si="40"/>
        <v/>
      </c>
      <c r="X606" s="48" t="str">
        <f t="shared" si="40"/>
        <v/>
      </c>
      <c r="Y606" s="48" t="str">
        <f t="shared" si="40"/>
        <v/>
      </c>
      <c r="Z606" s="49" t="str">
        <f t="shared" si="38"/>
        <v/>
      </c>
      <c r="AA606" s="50" t="str">
        <f t="shared" si="41"/>
        <v/>
      </c>
      <c r="AB606" s="48" t="str">
        <f t="shared" si="41"/>
        <v/>
      </c>
      <c r="AC606" s="48" t="str">
        <f t="shared" si="41"/>
        <v/>
      </c>
      <c r="AD606" s="48" t="str">
        <f t="shared" si="41"/>
        <v/>
      </c>
      <c r="AE606" s="48" t="str">
        <f t="shared" si="39"/>
        <v/>
      </c>
    </row>
    <row r="607" spans="1:31" x14ac:dyDescent="0.25">
      <c r="A607" s="2"/>
      <c r="B607" s="2"/>
      <c r="C607" s="2"/>
      <c r="D607" s="2" t="str">
        <f>IF(ISBLANK(C607),"",VLOOKUP(C607,configuration!$G$7:$H$10,2,FALSE))</f>
        <v/>
      </c>
      <c r="E607" s="2"/>
      <c r="F607" s="2"/>
      <c r="G607" s="2"/>
      <c r="H607" s="2" t="str">
        <f>IF(ISBLANK(G607),"",VLOOKUP(G607,configuration!$J$7:$K$10,2,FALSE))</f>
        <v/>
      </c>
      <c r="I607" s="30"/>
      <c r="J607" s="2"/>
      <c r="K607" s="31"/>
      <c r="L607" s="35"/>
      <c r="M607" s="2" t="str">
        <f>IF(ISBLANK(L607),"",VLOOKUP(L607,configuration!$M$7:$N$10,2,FALSE))</f>
        <v/>
      </c>
      <c r="N607" s="30"/>
      <c r="O607" s="2"/>
      <c r="P607" s="31"/>
      <c r="Q607" s="54"/>
      <c r="R607" s="55" t="str">
        <f>IF(ISBLANK(Q607),"",VLOOKUP(Q607,configuration!$P$7:$Q$10,2,FALSE))</f>
        <v/>
      </c>
      <c r="S607" s="56"/>
      <c r="T607" s="55"/>
      <c r="U607" s="78"/>
      <c r="V607" s="76" t="str">
        <f t="shared" si="40"/>
        <v/>
      </c>
      <c r="W607" s="48" t="str">
        <f t="shared" si="40"/>
        <v/>
      </c>
      <c r="X607" s="48" t="str">
        <f t="shared" si="40"/>
        <v/>
      </c>
      <c r="Y607" s="48" t="str">
        <f t="shared" si="40"/>
        <v/>
      </c>
      <c r="Z607" s="49" t="str">
        <f t="shared" si="38"/>
        <v/>
      </c>
      <c r="AA607" s="50" t="str">
        <f t="shared" si="41"/>
        <v/>
      </c>
      <c r="AB607" s="48" t="str">
        <f t="shared" si="41"/>
        <v/>
      </c>
      <c r="AC607" s="48" t="str">
        <f t="shared" si="41"/>
        <v/>
      </c>
      <c r="AD607" s="48" t="str">
        <f t="shared" si="41"/>
        <v/>
      </c>
      <c r="AE607" s="48" t="str">
        <f t="shared" si="39"/>
        <v/>
      </c>
    </row>
    <row r="608" spans="1:31" x14ac:dyDescent="0.25">
      <c r="A608" s="2"/>
      <c r="B608" s="2"/>
      <c r="C608" s="2"/>
      <c r="D608" s="2" t="str">
        <f>IF(ISBLANK(C608),"",VLOOKUP(C608,configuration!$G$7:$H$10,2,FALSE))</f>
        <v/>
      </c>
      <c r="E608" s="2"/>
      <c r="F608" s="2"/>
      <c r="G608" s="2"/>
      <c r="H608" s="2" t="str">
        <f>IF(ISBLANK(G608),"",VLOOKUP(G608,configuration!$J$7:$K$10,2,FALSE))</f>
        <v/>
      </c>
      <c r="I608" s="30"/>
      <c r="J608" s="2"/>
      <c r="K608" s="31"/>
      <c r="L608" s="35"/>
      <c r="M608" s="2" t="str">
        <f>IF(ISBLANK(L608),"",VLOOKUP(L608,configuration!$M$7:$N$10,2,FALSE))</f>
        <v/>
      </c>
      <c r="N608" s="30"/>
      <c r="O608" s="2"/>
      <c r="P608" s="31"/>
      <c r="Q608" s="54"/>
      <c r="R608" s="55" t="str">
        <f>IF(ISBLANK(Q608),"",VLOOKUP(Q608,configuration!$P$7:$Q$10,2,FALSE))</f>
        <v/>
      </c>
      <c r="S608" s="56"/>
      <c r="T608" s="55"/>
      <c r="U608" s="78"/>
      <c r="V608" s="76" t="str">
        <f t="shared" si="40"/>
        <v/>
      </c>
      <c r="W608" s="48" t="str">
        <f t="shared" si="40"/>
        <v/>
      </c>
      <c r="X608" s="48" t="str">
        <f t="shared" si="40"/>
        <v/>
      </c>
      <c r="Y608" s="48" t="str">
        <f t="shared" si="40"/>
        <v/>
      </c>
      <c r="Z608" s="49" t="str">
        <f t="shared" si="38"/>
        <v/>
      </c>
      <c r="AA608" s="50" t="str">
        <f t="shared" si="41"/>
        <v/>
      </c>
      <c r="AB608" s="48" t="str">
        <f t="shared" si="41"/>
        <v/>
      </c>
      <c r="AC608" s="48" t="str">
        <f t="shared" si="41"/>
        <v/>
      </c>
      <c r="AD608" s="48" t="str">
        <f t="shared" si="41"/>
        <v/>
      </c>
      <c r="AE608" s="48" t="str">
        <f t="shared" si="39"/>
        <v/>
      </c>
    </row>
    <row r="609" spans="1:31" x14ac:dyDescent="0.25">
      <c r="A609" s="2"/>
      <c r="B609" s="2"/>
      <c r="C609" s="2"/>
      <c r="D609" s="2" t="str">
        <f>IF(ISBLANK(C609),"",VLOOKUP(C609,configuration!$G$7:$H$10,2,FALSE))</f>
        <v/>
      </c>
      <c r="E609" s="2"/>
      <c r="F609" s="2"/>
      <c r="G609" s="2"/>
      <c r="H609" s="2" t="str">
        <f>IF(ISBLANK(G609),"",VLOOKUP(G609,configuration!$J$7:$K$10,2,FALSE))</f>
        <v/>
      </c>
      <c r="I609" s="30"/>
      <c r="J609" s="2"/>
      <c r="K609" s="31"/>
      <c r="L609" s="35"/>
      <c r="M609" s="2" t="str">
        <f>IF(ISBLANK(L609),"",VLOOKUP(L609,configuration!$M$7:$N$10,2,FALSE))</f>
        <v/>
      </c>
      <c r="N609" s="30"/>
      <c r="O609" s="2"/>
      <c r="P609" s="31"/>
      <c r="Q609" s="54"/>
      <c r="R609" s="55" t="str">
        <f>IF(ISBLANK(Q609),"",VLOOKUP(Q609,configuration!$P$7:$Q$10,2,FALSE))</f>
        <v/>
      </c>
      <c r="S609" s="56"/>
      <c r="T609" s="55"/>
      <c r="U609" s="78"/>
      <c r="V609" s="76" t="str">
        <f t="shared" si="40"/>
        <v/>
      </c>
      <c r="W609" s="48" t="str">
        <f t="shared" si="40"/>
        <v/>
      </c>
      <c r="X609" s="48" t="str">
        <f t="shared" si="40"/>
        <v/>
      </c>
      <c r="Y609" s="48" t="str">
        <f t="shared" si="40"/>
        <v/>
      </c>
      <c r="Z609" s="49" t="str">
        <f t="shared" si="38"/>
        <v/>
      </c>
      <c r="AA609" s="50" t="str">
        <f t="shared" si="41"/>
        <v/>
      </c>
      <c r="AB609" s="48" t="str">
        <f t="shared" si="41"/>
        <v/>
      </c>
      <c r="AC609" s="48" t="str">
        <f t="shared" si="41"/>
        <v/>
      </c>
      <c r="AD609" s="48" t="str">
        <f t="shared" si="41"/>
        <v/>
      </c>
      <c r="AE609" s="48" t="str">
        <f t="shared" si="39"/>
        <v/>
      </c>
    </row>
    <row r="610" spans="1:31" x14ac:dyDescent="0.25">
      <c r="A610" s="2"/>
      <c r="B610" s="2"/>
      <c r="C610" s="2"/>
      <c r="D610" s="2" t="str">
        <f>IF(ISBLANK(C610),"",VLOOKUP(C610,configuration!$G$7:$H$10,2,FALSE))</f>
        <v/>
      </c>
      <c r="E610" s="2"/>
      <c r="F610" s="2"/>
      <c r="G610" s="2"/>
      <c r="H610" s="2" t="str">
        <f>IF(ISBLANK(G610),"",VLOOKUP(G610,configuration!$J$7:$K$10,2,FALSE))</f>
        <v/>
      </c>
      <c r="I610" s="30"/>
      <c r="J610" s="2"/>
      <c r="K610" s="31"/>
      <c r="L610" s="35"/>
      <c r="M610" s="2" t="str">
        <f>IF(ISBLANK(L610),"",VLOOKUP(L610,configuration!$M$7:$N$10,2,FALSE))</f>
        <v/>
      </c>
      <c r="N610" s="30"/>
      <c r="O610" s="2"/>
      <c r="P610" s="31"/>
      <c r="Q610" s="54"/>
      <c r="R610" s="55" t="str">
        <f>IF(ISBLANK(Q610),"",VLOOKUP(Q610,configuration!$P$7:$Q$10,2,FALSE))</f>
        <v/>
      </c>
      <c r="S610" s="56"/>
      <c r="T610" s="55"/>
      <c r="U610" s="78"/>
      <c r="V610" s="76" t="str">
        <f t="shared" si="40"/>
        <v/>
      </c>
      <c r="W610" s="48" t="str">
        <f t="shared" si="40"/>
        <v/>
      </c>
      <c r="X610" s="48" t="str">
        <f t="shared" si="40"/>
        <v/>
      </c>
      <c r="Y610" s="48" t="str">
        <f t="shared" si="40"/>
        <v/>
      </c>
      <c r="Z610" s="49" t="str">
        <f t="shared" si="38"/>
        <v/>
      </c>
      <c r="AA610" s="50" t="str">
        <f t="shared" si="41"/>
        <v/>
      </c>
      <c r="AB610" s="48" t="str">
        <f t="shared" si="41"/>
        <v/>
      </c>
      <c r="AC610" s="48" t="str">
        <f t="shared" si="41"/>
        <v/>
      </c>
      <c r="AD610" s="48" t="str">
        <f t="shared" si="41"/>
        <v/>
      </c>
      <c r="AE610" s="48" t="str">
        <f t="shared" si="39"/>
        <v/>
      </c>
    </row>
    <row r="611" spans="1:31" x14ac:dyDescent="0.25">
      <c r="A611" s="2"/>
      <c r="B611" s="2"/>
      <c r="C611" s="2"/>
      <c r="D611" s="2" t="str">
        <f>IF(ISBLANK(C611),"",VLOOKUP(C611,configuration!$G$7:$H$10,2,FALSE))</f>
        <v/>
      </c>
      <c r="E611" s="2"/>
      <c r="F611" s="2"/>
      <c r="G611" s="2"/>
      <c r="H611" s="2" t="str">
        <f>IF(ISBLANK(G611),"",VLOOKUP(G611,configuration!$J$7:$K$10,2,FALSE))</f>
        <v/>
      </c>
      <c r="I611" s="30"/>
      <c r="J611" s="2"/>
      <c r="K611" s="31"/>
      <c r="L611" s="35"/>
      <c r="M611" s="2" t="str">
        <f>IF(ISBLANK(L611),"",VLOOKUP(L611,configuration!$M$7:$N$10,2,FALSE))</f>
        <v/>
      </c>
      <c r="N611" s="30"/>
      <c r="O611" s="2"/>
      <c r="P611" s="31"/>
      <c r="Q611" s="54"/>
      <c r="R611" s="55" t="str">
        <f>IF(ISBLANK(Q611),"",VLOOKUP(Q611,configuration!$P$7:$Q$10,2,FALSE))</f>
        <v/>
      </c>
      <c r="S611" s="56"/>
      <c r="T611" s="55"/>
      <c r="U611" s="78"/>
      <c r="V611" s="76" t="str">
        <f t="shared" si="40"/>
        <v/>
      </c>
      <c r="W611" s="48" t="str">
        <f t="shared" si="40"/>
        <v/>
      </c>
      <c r="X611" s="48" t="str">
        <f t="shared" si="40"/>
        <v/>
      </c>
      <c r="Y611" s="48" t="str">
        <f t="shared" si="40"/>
        <v/>
      </c>
      <c r="Z611" s="49" t="str">
        <f t="shared" si="38"/>
        <v/>
      </c>
      <c r="AA611" s="50" t="str">
        <f t="shared" si="41"/>
        <v/>
      </c>
      <c r="AB611" s="48" t="str">
        <f t="shared" si="41"/>
        <v/>
      </c>
      <c r="AC611" s="48" t="str">
        <f t="shared" si="41"/>
        <v/>
      </c>
      <c r="AD611" s="48" t="str">
        <f t="shared" si="41"/>
        <v/>
      </c>
      <c r="AE611" s="48" t="str">
        <f t="shared" si="39"/>
        <v/>
      </c>
    </row>
    <row r="612" spans="1:31" x14ac:dyDescent="0.25">
      <c r="A612" s="2"/>
      <c r="B612" s="2"/>
      <c r="C612" s="2"/>
      <c r="D612" s="2" t="str">
        <f>IF(ISBLANK(C612),"",VLOOKUP(C612,configuration!$G$7:$H$10,2,FALSE))</f>
        <v/>
      </c>
      <c r="E612" s="2"/>
      <c r="F612" s="2"/>
      <c r="G612" s="2"/>
      <c r="H612" s="2" t="str">
        <f>IF(ISBLANK(G612),"",VLOOKUP(G612,configuration!$J$7:$K$10,2,FALSE))</f>
        <v/>
      </c>
      <c r="I612" s="30"/>
      <c r="J612" s="2"/>
      <c r="K612" s="31"/>
      <c r="L612" s="35"/>
      <c r="M612" s="2" t="str">
        <f>IF(ISBLANK(L612),"",VLOOKUP(L612,configuration!$M$7:$N$10,2,FALSE))</f>
        <v/>
      </c>
      <c r="N612" s="30"/>
      <c r="O612" s="2"/>
      <c r="P612" s="31"/>
      <c r="Q612" s="54"/>
      <c r="R612" s="55" t="str">
        <f>IF(ISBLANK(Q612),"",VLOOKUP(Q612,configuration!$P$7:$Q$10,2,FALSE))</f>
        <v/>
      </c>
      <c r="S612" s="56"/>
      <c r="T612" s="55"/>
      <c r="U612" s="78"/>
      <c r="V612" s="76" t="str">
        <f t="shared" si="40"/>
        <v/>
      </c>
      <c r="W612" s="48" t="str">
        <f t="shared" si="40"/>
        <v/>
      </c>
      <c r="X612" s="48" t="str">
        <f t="shared" si="40"/>
        <v/>
      </c>
      <c r="Y612" s="48" t="str">
        <f t="shared" si="40"/>
        <v/>
      </c>
      <c r="Z612" s="49" t="str">
        <f t="shared" si="38"/>
        <v/>
      </c>
      <c r="AA612" s="50" t="str">
        <f t="shared" si="41"/>
        <v/>
      </c>
      <c r="AB612" s="48" t="str">
        <f t="shared" si="41"/>
        <v/>
      </c>
      <c r="AC612" s="48" t="str">
        <f t="shared" si="41"/>
        <v/>
      </c>
      <c r="AD612" s="48" t="str">
        <f t="shared" si="41"/>
        <v/>
      </c>
      <c r="AE612" s="48" t="str">
        <f t="shared" si="39"/>
        <v/>
      </c>
    </row>
    <row r="613" spans="1:31" x14ac:dyDescent="0.25">
      <c r="A613" s="2"/>
      <c r="B613" s="2"/>
      <c r="C613" s="2"/>
      <c r="D613" s="2" t="str">
        <f>IF(ISBLANK(C613),"",VLOOKUP(C613,configuration!$G$7:$H$10,2,FALSE))</f>
        <v/>
      </c>
      <c r="E613" s="2"/>
      <c r="F613" s="2"/>
      <c r="G613" s="2"/>
      <c r="H613" s="2" t="str">
        <f>IF(ISBLANK(G613),"",VLOOKUP(G613,configuration!$J$7:$K$10,2,FALSE))</f>
        <v/>
      </c>
      <c r="I613" s="30"/>
      <c r="J613" s="2"/>
      <c r="K613" s="31"/>
      <c r="L613" s="35"/>
      <c r="M613" s="2" t="str">
        <f>IF(ISBLANK(L613),"",VLOOKUP(L613,configuration!$M$7:$N$10,2,FALSE))</f>
        <v/>
      </c>
      <c r="N613" s="30"/>
      <c r="O613" s="2"/>
      <c r="P613" s="31"/>
      <c r="Q613" s="54"/>
      <c r="R613" s="55" t="str">
        <f>IF(ISBLANK(Q613),"",VLOOKUP(Q613,configuration!$P$7:$Q$10,2,FALSE))</f>
        <v/>
      </c>
      <c r="S613" s="56"/>
      <c r="T613" s="55"/>
      <c r="U613" s="78"/>
      <c r="V613" s="76" t="str">
        <f t="shared" si="40"/>
        <v/>
      </c>
      <c r="W613" s="48" t="str">
        <f t="shared" si="40"/>
        <v/>
      </c>
      <c r="X613" s="48" t="str">
        <f t="shared" si="40"/>
        <v/>
      </c>
      <c r="Y613" s="48" t="str">
        <f t="shared" si="40"/>
        <v/>
      </c>
      <c r="Z613" s="49" t="str">
        <f t="shared" si="38"/>
        <v/>
      </c>
      <c r="AA613" s="50" t="str">
        <f t="shared" si="41"/>
        <v/>
      </c>
      <c r="AB613" s="48" t="str">
        <f t="shared" si="41"/>
        <v/>
      </c>
      <c r="AC613" s="48" t="str">
        <f t="shared" si="41"/>
        <v/>
      </c>
      <c r="AD613" s="48" t="str">
        <f t="shared" si="41"/>
        <v/>
      </c>
      <c r="AE613" s="48" t="str">
        <f t="shared" si="39"/>
        <v/>
      </c>
    </row>
    <row r="614" spans="1:31" x14ac:dyDescent="0.25">
      <c r="A614" s="2"/>
      <c r="B614" s="2"/>
      <c r="C614" s="2"/>
      <c r="D614" s="2" t="str">
        <f>IF(ISBLANK(C614),"",VLOOKUP(C614,configuration!$G$7:$H$10,2,FALSE))</f>
        <v/>
      </c>
      <c r="E614" s="2"/>
      <c r="F614" s="2"/>
      <c r="G614" s="2"/>
      <c r="H614" s="2" t="str">
        <f>IF(ISBLANK(G614),"",VLOOKUP(G614,configuration!$J$7:$K$10,2,FALSE))</f>
        <v/>
      </c>
      <c r="I614" s="30"/>
      <c r="J614" s="2"/>
      <c r="K614" s="31"/>
      <c r="L614" s="35"/>
      <c r="M614" s="2" t="str">
        <f>IF(ISBLANK(L614),"",VLOOKUP(L614,configuration!$M$7:$N$10,2,FALSE))</f>
        <v/>
      </c>
      <c r="N614" s="30"/>
      <c r="O614" s="2"/>
      <c r="P614" s="31"/>
      <c r="Q614" s="54"/>
      <c r="R614" s="55" t="str">
        <f>IF(ISBLANK(Q614),"",VLOOKUP(Q614,configuration!$P$7:$Q$10,2,FALSE))</f>
        <v/>
      </c>
      <c r="S614" s="56"/>
      <c r="T614" s="55"/>
      <c r="U614" s="78"/>
      <c r="V614" s="76" t="str">
        <f t="shared" si="40"/>
        <v/>
      </c>
      <c r="W614" s="48" t="str">
        <f t="shared" si="40"/>
        <v/>
      </c>
      <c r="X614" s="48" t="str">
        <f t="shared" si="40"/>
        <v/>
      </c>
      <c r="Y614" s="48" t="str">
        <f t="shared" si="40"/>
        <v/>
      </c>
      <c r="Z614" s="49" t="str">
        <f t="shared" si="38"/>
        <v/>
      </c>
      <c r="AA614" s="50" t="str">
        <f t="shared" si="41"/>
        <v/>
      </c>
      <c r="AB614" s="48" t="str">
        <f t="shared" si="41"/>
        <v/>
      </c>
      <c r="AC614" s="48" t="str">
        <f t="shared" si="41"/>
        <v/>
      </c>
      <c r="AD614" s="48" t="str">
        <f t="shared" si="41"/>
        <v/>
      </c>
      <c r="AE614" s="48" t="str">
        <f t="shared" si="39"/>
        <v/>
      </c>
    </row>
    <row r="615" spans="1:31" x14ac:dyDescent="0.25">
      <c r="A615" s="2"/>
      <c r="B615" s="2"/>
      <c r="C615" s="2"/>
      <c r="D615" s="2" t="str">
        <f>IF(ISBLANK(C615),"",VLOOKUP(C615,configuration!$G$7:$H$10,2,FALSE))</f>
        <v/>
      </c>
      <c r="E615" s="2"/>
      <c r="F615" s="2"/>
      <c r="G615" s="2"/>
      <c r="H615" s="2" t="str">
        <f>IF(ISBLANK(G615),"",VLOOKUP(G615,configuration!$J$7:$K$10,2,FALSE))</f>
        <v/>
      </c>
      <c r="I615" s="30"/>
      <c r="J615" s="2"/>
      <c r="K615" s="31"/>
      <c r="L615" s="35"/>
      <c r="M615" s="2" t="str">
        <f>IF(ISBLANK(L615),"",VLOOKUP(L615,configuration!$M$7:$N$10,2,FALSE))</f>
        <v/>
      </c>
      <c r="N615" s="30"/>
      <c r="O615" s="2"/>
      <c r="P615" s="31"/>
      <c r="Q615" s="54"/>
      <c r="R615" s="55" t="str">
        <f>IF(ISBLANK(Q615),"",VLOOKUP(Q615,configuration!$P$7:$Q$10,2,FALSE))</f>
        <v/>
      </c>
      <c r="S615" s="56"/>
      <c r="T615" s="55"/>
      <c r="U615" s="78"/>
      <c r="V615" s="76" t="str">
        <f t="shared" si="40"/>
        <v/>
      </c>
      <c r="W615" s="48" t="str">
        <f t="shared" si="40"/>
        <v/>
      </c>
      <c r="X615" s="48" t="str">
        <f t="shared" si="40"/>
        <v/>
      </c>
      <c r="Y615" s="48" t="str">
        <f t="shared" si="40"/>
        <v/>
      </c>
      <c r="Z615" s="49" t="str">
        <f t="shared" si="38"/>
        <v/>
      </c>
      <c r="AA615" s="50" t="str">
        <f t="shared" si="41"/>
        <v/>
      </c>
      <c r="AB615" s="48" t="str">
        <f t="shared" si="41"/>
        <v/>
      </c>
      <c r="AC615" s="48" t="str">
        <f t="shared" si="41"/>
        <v/>
      </c>
      <c r="AD615" s="48" t="str">
        <f t="shared" si="41"/>
        <v/>
      </c>
      <c r="AE615" s="48" t="str">
        <f t="shared" si="39"/>
        <v/>
      </c>
    </row>
    <row r="616" spans="1:31" x14ac:dyDescent="0.25">
      <c r="A616" s="2"/>
      <c r="B616" s="2"/>
      <c r="C616" s="2"/>
      <c r="D616" s="2" t="str">
        <f>IF(ISBLANK(C616),"",VLOOKUP(C616,configuration!$G$7:$H$10,2,FALSE))</f>
        <v/>
      </c>
      <c r="E616" s="2"/>
      <c r="F616" s="2"/>
      <c r="G616" s="2"/>
      <c r="H616" s="2" t="str">
        <f>IF(ISBLANK(G616),"",VLOOKUP(G616,configuration!$J$7:$K$10,2,FALSE))</f>
        <v/>
      </c>
      <c r="I616" s="30"/>
      <c r="J616" s="2"/>
      <c r="K616" s="31"/>
      <c r="L616" s="35"/>
      <c r="M616" s="2" t="str">
        <f>IF(ISBLANK(L616),"",VLOOKUP(L616,configuration!$M$7:$N$10,2,FALSE))</f>
        <v/>
      </c>
      <c r="N616" s="30"/>
      <c r="O616" s="2"/>
      <c r="P616" s="31"/>
      <c r="Q616" s="54"/>
      <c r="R616" s="55" t="str">
        <f>IF(ISBLANK(Q616),"",VLOOKUP(Q616,configuration!$P$7:$Q$10,2,FALSE))</f>
        <v/>
      </c>
      <c r="S616" s="56"/>
      <c r="T616" s="55"/>
      <c r="U616" s="78"/>
      <c r="V616" s="76" t="str">
        <f t="shared" si="40"/>
        <v/>
      </c>
      <c r="W616" s="48" t="str">
        <f t="shared" si="40"/>
        <v/>
      </c>
      <c r="X616" s="48" t="str">
        <f t="shared" si="40"/>
        <v/>
      </c>
      <c r="Y616" s="48" t="str">
        <f t="shared" si="40"/>
        <v/>
      </c>
      <c r="Z616" s="49" t="str">
        <f t="shared" si="38"/>
        <v/>
      </c>
      <c r="AA616" s="50" t="str">
        <f t="shared" si="41"/>
        <v/>
      </c>
      <c r="AB616" s="48" t="str">
        <f t="shared" si="41"/>
        <v/>
      </c>
      <c r="AC616" s="48" t="str">
        <f t="shared" si="41"/>
        <v/>
      </c>
      <c r="AD616" s="48" t="str">
        <f t="shared" si="41"/>
        <v/>
      </c>
      <c r="AE616" s="48" t="str">
        <f t="shared" si="39"/>
        <v/>
      </c>
    </row>
    <row r="617" spans="1:31" x14ac:dyDescent="0.25">
      <c r="A617" s="2"/>
      <c r="B617" s="2"/>
      <c r="C617" s="2"/>
      <c r="D617" s="2" t="str">
        <f>IF(ISBLANK(C617),"",VLOOKUP(C617,configuration!$G$7:$H$10,2,FALSE))</f>
        <v/>
      </c>
      <c r="E617" s="2"/>
      <c r="F617" s="2"/>
      <c r="G617" s="2"/>
      <c r="H617" s="2" t="str">
        <f>IF(ISBLANK(G617),"",VLOOKUP(G617,configuration!$J$7:$K$10,2,FALSE))</f>
        <v/>
      </c>
      <c r="I617" s="30"/>
      <c r="J617" s="2"/>
      <c r="K617" s="31"/>
      <c r="L617" s="35"/>
      <c r="M617" s="2" t="str">
        <f>IF(ISBLANK(L617),"",VLOOKUP(L617,configuration!$M$7:$N$10,2,FALSE))</f>
        <v/>
      </c>
      <c r="N617" s="30"/>
      <c r="O617" s="2"/>
      <c r="P617" s="31"/>
      <c r="Q617" s="54"/>
      <c r="R617" s="55" t="str">
        <f>IF(ISBLANK(Q617),"",VLOOKUP(Q617,configuration!$P$7:$Q$10,2,FALSE))</f>
        <v/>
      </c>
      <c r="S617" s="56"/>
      <c r="T617" s="55"/>
      <c r="U617" s="78"/>
      <c r="V617" s="76" t="str">
        <f t="shared" si="40"/>
        <v/>
      </c>
      <c r="W617" s="48" t="str">
        <f t="shared" si="40"/>
        <v/>
      </c>
      <c r="X617" s="48" t="str">
        <f t="shared" si="40"/>
        <v/>
      </c>
      <c r="Y617" s="48" t="str">
        <f t="shared" si="40"/>
        <v/>
      </c>
      <c r="Z617" s="49" t="str">
        <f t="shared" si="38"/>
        <v/>
      </c>
      <c r="AA617" s="50" t="str">
        <f t="shared" si="41"/>
        <v/>
      </c>
      <c r="AB617" s="48" t="str">
        <f t="shared" si="41"/>
        <v/>
      </c>
      <c r="AC617" s="48" t="str">
        <f t="shared" si="41"/>
        <v/>
      </c>
      <c r="AD617" s="48" t="str">
        <f t="shared" si="41"/>
        <v/>
      </c>
      <c r="AE617" s="48" t="str">
        <f t="shared" si="39"/>
        <v/>
      </c>
    </row>
    <row r="618" spans="1:31" x14ac:dyDescent="0.25">
      <c r="A618" s="2"/>
      <c r="B618" s="2"/>
      <c r="C618" s="2"/>
      <c r="D618" s="2" t="str">
        <f>IF(ISBLANK(C618),"",VLOOKUP(C618,configuration!$G$7:$H$10,2,FALSE))</f>
        <v/>
      </c>
      <c r="E618" s="2"/>
      <c r="F618" s="2"/>
      <c r="G618" s="2"/>
      <c r="H618" s="2" t="str">
        <f>IF(ISBLANK(G618),"",VLOOKUP(G618,configuration!$J$7:$K$10,2,FALSE))</f>
        <v/>
      </c>
      <c r="I618" s="30"/>
      <c r="J618" s="2"/>
      <c r="K618" s="31"/>
      <c r="L618" s="35"/>
      <c r="M618" s="2" t="str">
        <f>IF(ISBLANK(L618),"",VLOOKUP(L618,configuration!$M$7:$N$10,2,FALSE))</f>
        <v/>
      </c>
      <c r="N618" s="30"/>
      <c r="O618" s="2"/>
      <c r="P618" s="31"/>
      <c r="Q618" s="54"/>
      <c r="R618" s="55" t="str">
        <f>IF(ISBLANK(Q618),"",VLOOKUP(Q618,configuration!$P$7:$Q$10,2,FALSE))</f>
        <v/>
      </c>
      <c r="S618" s="56"/>
      <c r="T618" s="55"/>
      <c r="U618" s="78"/>
      <c r="V618" s="76" t="str">
        <f t="shared" si="40"/>
        <v/>
      </c>
      <c r="W618" s="48" t="str">
        <f t="shared" si="40"/>
        <v/>
      </c>
      <c r="X618" s="48" t="str">
        <f t="shared" si="40"/>
        <v/>
      </c>
      <c r="Y618" s="48" t="str">
        <f t="shared" si="40"/>
        <v/>
      </c>
      <c r="Z618" s="49" t="str">
        <f t="shared" si="38"/>
        <v/>
      </c>
      <c r="AA618" s="50" t="str">
        <f t="shared" si="41"/>
        <v/>
      </c>
      <c r="AB618" s="48" t="str">
        <f t="shared" si="41"/>
        <v/>
      </c>
      <c r="AC618" s="48" t="str">
        <f t="shared" si="41"/>
        <v/>
      </c>
      <c r="AD618" s="48" t="str">
        <f t="shared" si="41"/>
        <v/>
      </c>
      <c r="AE618" s="48" t="str">
        <f t="shared" si="39"/>
        <v/>
      </c>
    </row>
    <row r="619" spans="1:31" x14ac:dyDescent="0.25">
      <c r="A619" s="2"/>
      <c r="B619" s="2"/>
      <c r="C619" s="2"/>
      <c r="D619" s="2" t="str">
        <f>IF(ISBLANK(C619),"",VLOOKUP(C619,configuration!$G$7:$H$10,2,FALSE))</f>
        <v/>
      </c>
      <c r="E619" s="2"/>
      <c r="F619" s="2"/>
      <c r="G619" s="2"/>
      <c r="H619" s="2" t="str">
        <f>IF(ISBLANK(G619),"",VLOOKUP(G619,configuration!$J$7:$K$10,2,FALSE))</f>
        <v/>
      </c>
      <c r="I619" s="30"/>
      <c r="J619" s="2"/>
      <c r="K619" s="31"/>
      <c r="L619" s="35"/>
      <c r="M619" s="2" t="str">
        <f>IF(ISBLANK(L619),"",VLOOKUP(L619,configuration!$M$7:$N$10,2,FALSE))</f>
        <v/>
      </c>
      <c r="N619" s="30"/>
      <c r="O619" s="2"/>
      <c r="P619" s="31"/>
      <c r="Q619" s="54"/>
      <c r="R619" s="55" t="str">
        <f>IF(ISBLANK(Q619),"",VLOOKUP(Q619,configuration!$P$7:$Q$10,2,FALSE))</f>
        <v/>
      </c>
      <c r="S619" s="56"/>
      <c r="T619" s="55"/>
      <c r="U619" s="78"/>
      <c r="V619" s="76" t="str">
        <f t="shared" si="40"/>
        <v/>
      </c>
      <c r="W619" s="48" t="str">
        <f t="shared" si="40"/>
        <v/>
      </c>
      <c r="X619" s="48" t="str">
        <f t="shared" si="40"/>
        <v/>
      </c>
      <c r="Y619" s="48" t="str">
        <f t="shared" si="40"/>
        <v/>
      </c>
      <c r="Z619" s="49" t="str">
        <f t="shared" si="38"/>
        <v/>
      </c>
      <c r="AA619" s="50" t="str">
        <f t="shared" si="41"/>
        <v/>
      </c>
      <c r="AB619" s="48" t="str">
        <f t="shared" si="41"/>
        <v/>
      </c>
      <c r="AC619" s="48" t="str">
        <f t="shared" si="41"/>
        <v/>
      </c>
      <c r="AD619" s="48" t="str">
        <f t="shared" si="41"/>
        <v/>
      </c>
      <c r="AE619" s="48" t="str">
        <f t="shared" si="39"/>
        <v/>
      </c>
    </row>
    <row r="620" spans="1:31" x14ac:dyDescent="0.25">
      <c r="A620" s="2"/>
      <c r="B620" s="2"/>
      <c r="C620" s="2"/>
      <c r="D620" s="2" t="str">
        <f>IF(ISBLANK(C620),"",VLOOKUP(C620,configuration!$G$7:$H$10,2,FALSE))</f>
        <v/>
      </c>
      <c r="E620" s="2"/>
      <c r="F620" s="2"/>
      <c r="G620" s="2"/>
      <c r="H620" s="2" t="str">
        <f>IF(ISBLANK(G620),"",VLOOKUP(G620,configuration!$J$7:$K$10,2,FALSE))</f>
        <v/>
      </c>
      <c r="I620" s="30"/>
      <c r="J620" s="2"/>
      <c r="K620" s="31"/>
      <c r="L620" s="35"/>
      <c r="M620" s="2" t="str">
        <f>IF(ISBLANK(L620),"",VLOOKUP(L620,configuration!$M$7:$N$10,2,FALSE))</f>
        <v/>
      </c>
      <c r="N620" s="30"/>
      <c r="O620" s="2"/>
      <c r="P620" s="31"/>
      <c r="Q620" s="54"/>
      <c r="R620" s="55" t="str">
        <f>IF(ISBLANK(Q620),"",VLOOKUP(Q620,configuration!$P$7:$Q$10,2,FALSE))</f>
        <v/>
      </c>
      <c r="S620" s="56"/>
      <c r="T620" s="55"/>
      <c r="U620" s="78"/>
      <c r="V620" s="76" t="str">
        <f t="shared" si="40"/>
        <v/>
      </c>
      <c r="W620" s="48" t="str">
        <f t="shared" si="40"/>
        <v/>
      </c>
      <c r="X620" s="48" t="str">
        <f t="shared" si="40"/>
        <v/>
      </c>
      <c r="Y620" s="48" t="str">
        <f t="shared" si="40"/>
        <v/>
      </c>
      <c r="Z620" s="49" t="str">
        <f t="shared" si="38"/>
        <v/>
      </c>
      <c r="AA620" s="50" t="str">
        <f t="shared" si="41"/>
        <v/>
      </c>
      <c r="AB620" s="48" t="str">
        <f t="shared" si="41"/>
        <v/>
      </c>
      <c r="AC620" s="48" t="str">
        <f t="shared" si="41"/>
        <v/>
      </c>
      <c r="AD620" s="48" t="str">
        <f t="shared" si="41"/>
        <v/>
      </c>
      <c r="AE620" s="48" t="str">
        <f t="shared" si="39"/>
        <v/>
      </c>
    </row>
    <row r="621" spans="1:31" x14ac:dyDescent="0.25">
      <c r="A621" s="2"/>
      <c r="B621" s="2"/>
      <c r="C621" s="2"/>
      <c r="D621" s="2" t="str">
        <f>IF(ISBLANK(C621),"",VLOOKUP(C621,configuration!$G$7:$H$10,2,FALSE))</f>
        <v/>
      </c>
      <c r="E621" s="2"/>
      <c r="F621" s="2"/>
      <c r="G621" s="2"/>
      <c r="H621" s="2" t="str">
        <f>IF(ISBLANK(G621),"",VLOOKUP(G621,configuration!$J$7:$K$10,2,FALSE))</f>
        <v/>
      </c>
      <c r="I621" s="30"/>
      <c r="J621" s="2"/>
      <c r="K621" s="31"/>
      <c r="L621" s="35"/>
      <c r="M621" s="2" t="str">
        <f>IF(ISBLANK(L621),"",VLOOKUP(L621,configuration!$M$7:$N$10,2,FALSE))</f>
        <v/>
      </c>
      <c r="N621" s="30"/>
      <c r="O621" s="2"/>
      <c r="P621" s="31"/>
      <c r="Q621" s="54"/>
      <c r="R621" s="55" t="str">
        <f>IF(ISBLANK(Q621),"",VLOOKUP(Q621,configuration!$P$7:$Q$10,2,FALSE))</f>
        <v/>
      </c>
      <c r="S621" s="56"/>
      <c r="T621" s="55"/>
      <c r="U621" s="78"/>
      <c r="V621" s="76" t="str">
        <f t="shared" si="40"/>
        <v/>
      </c>
      <c r="W621" s="48" t="str">
        <f t="shared" si="40"/>
        <v/>
      </c>
      <c r="X621" s="48" t="str">
        <f t="shared" si="40"/>
        <v/>
      </c>
      <c r="Y621" s="48" t="str">
        <f t="shared" si="40"/>
        <v/>
      </c>
      <c r="Z621" s="49" t="str">
        <f t="shared" si="38"/>
        <v/>
      </c>
      <c r="AA621" s="50" t="str">
        <f t="shared" si="41"/>
        <v/>
      </c>
      <c r="AB621" s="48" t="str">
        <f t="shared" si="41"/>
        <v/>
      </c>
      <c r="AC621" s="48" t="str">
        <f t="shared" si="41"/>
        <v/>
      </c>
      <c r="AD621" s="48" t="str">
        <f t="shared" si="41"/>
        <v/>
      </c>
      <c r="AE621" s="48" t="str">
        <f t="shared" si="39"/>
        <v/>
      </c>
    </row>
    <row r="622" spans="1:31" x14ac:dyDescent="0.25">
      <c r="A622" s="2"/>
      <c r="B622" s="2"/>
      <c r="C622" s="2"/>
      <c r="D622" s="2" t="str">
        <f>IF(ISBLANK(C622),"",VLOOKUP(C622,configuration!$G$7:$H$10,2,FALSE))</f>
        <v/>
      </c>
      <c r="E622" s="2"/>
      <c r="F622" s="2"/>
      <c r="G622" s="2"/>
      <c r="H622" s="2" t="str">
        <f>IF(ISBLANK(G622),"",VLOOKUP(G622,configuration!$J$7:$K$10,2,FALSE))</f>
        <v/>
      </c>
      <c r="I622" s="30"/>
      <c r="J622" s="2"/>
      <c r="K622" s="31"/>
      <c r="L622" s="35"/>
      <c r="M622" s="2" t="str">
        <f>IF(ISBLANK(L622),"",VLOOKUP(L622,configuration!$M$7:$N$10,2,FALSE))</f>
        <v/>
      </c>
      <c r="N622" s="30"/>
      <c r="O622" s="2"/>
      <c r="P622" s="31"/>
      <c r="Q622" s="54"/>
      <c r="R622" s="55" t="str">
        <f>IF(ISBLANK(Q622),"",VLOOKUP(Q622,configuration!$P$7:$Q$10,2,FALSE))</f>
        <v/>
      </c>
      <c r="S622" s="56"/>
      <c r="T622" s="55"/>
      <c r="U622" s="78"/>
      <c r="V622" s="76" t="str">
        <f t="shared" si="40"/>
        <v/>
      </c>
      <c r="W622" s="48" t="str">
        <f t="shared" si="40"/>
        <v/>
      </c>
      <c r="X622" s="48" t="str">
        <f t="shared" si="40"/>
        <v/>
      </c>
      <c r="Y622" s="48" t="str">
        <f t="shared" si="40"/>
        <v/>
      </c>
      <c r="Z622" s="49" t="str">
        <f t="shared" si="38"/>
        <v/>
      </c>
      <c r="AA622" s="50" t="str">
        <f t="shared" si="41"/>
        <v/>
      </c>
      <c r="AB622" s="48" t="str">
        <f t="shared" si="41"/>
        <v/>
      </c>
      <c r="AC622" s="48" t="str">
        <f t="shared" si="41"/>
        <v/>
      </c>
      <c r="AD622" s="48" t="str">
        <f t="shared" si="41"/>
        <v/>
      </c>
      <c r="AE622" s="48" t="str">
        <f t="shared" si="39"/>
        <v/>
      </c>
    </row>
    <row r="623" spans="1:31" x14ac:dyDescent="0.25">
      <c r="A623" s="2"/>
      <c r="B623" s="2"/>
      <c r="C623" s="2"/>
      <c r="D623" s="2" t="str">
        <f>IF(ISBLANK(C623),"",VLOOKUP(C623,configuration!$G$7:$H$10,2,FALSE))</f>
        <v/>
      </c>
      <c r="E623" s="2"/>
      <c r="F623" s="2"/>
      <c r="G623" s="2"/>
      <c r="H623" s="2" t="str">
        <f>IF(ISBLANK(G623),"",VLOOKUP(G623,configuration!$J$7:$K$10,2,FALSE))</f>
        <v/>
      </c>
      <c r="I623" s="30"/>
      <c r="J623" s="2"/>
      <c r="K623" s="31"/>
      <c r="L623" s="35"/>
      <c r="M623" s="2" t="str">
        <f>IF(ISBLANK(L623),"",VLOOKUP(L623,configuration!$M$7:$N$10,2,FALSE))</f>
        <v/>
      </c>
      <c r="N623" s="30"/>
      <c r="O623" s="2"/>
      <c r="P623" s="31"/>
      <c r="Q623" s="54"/>
      <c r="R623" s="55" t="str">
        <f>IF(ISBLANK(Q623),"",VLOOKUP(Q623,configuration!$P$7:$Q$10,2,FALSE))</f>
        <v/>
      </c>
      <c r="S623" s="56"/>
      <c r="T623" s="55"/>
      <c r="U623" s="78"/>
      <c r="V623" s="76" t="str">
        <f t="shared" si="40"/>
        <v/>
      </c>
      <c r="W623" s="48" t="str">
        <f t="shared" si="40"/>
        <v/>
      </c>
      <c r="X623" s="48" t="str">
        <f t="shared" si="40"/>
        <v/>
      </c>
      <c r="Y623" s="48" t="str">
        <f t="shared" si="40"/>
        <v/>
      </c>
      <c r="Z623" s="49" t="str">
        <f t="shared" si="38"/>
        <v/>
      </c>
      <c r="AA623" s="50" t="str">
        <f t="shared" si="41"/>
        <v/>
      </c>
      <c r="AB623" s="48" t="str">
        <f t="shared" si="41"/>
        <v/>
      </c>
      <c r="AC623" s="48" t="str">
        <f t="shared" si="41"/>
        <v/>
      </c>
      <c r="AD623" s="48" t="str">
        <f t="shared" si="41"/>
        <v/>
      </c>
      <c r="AE623" s="48" t="str">
        <f t="shared" si="39"/>
        <v/>
      </c>
    </row>
    <row r="624" spans="1:31" x14ac:dyDescent="0.25">
      <c r="A624" s="2"/>
      <c r="B624" s="2"/>
      <c r="C624" s="2"/>
      <c r="D624" s="2" t="str">
        <f>IF(ISBLANK(C624),"",VLOOKUP(C624,configuration!$G$7:$H$10,2,FALSE))</f>
        <v/>
      </c>
      <c r="E624" s="2"/>
      <c r="F624" s="2"/>
      <c r="G624" s="2"/>
      <c r="H624" s="2" t="str">
        <f>IF(ISBLANK(G624),"",VLOOKUP(G624,configuration!$J$7:$K$10,2,FALSE))</f>
        <v/>
      </c>
      <c r="I624" s="30"/>
      <c r="J624" s="2"/>
      <c r="K624" s="31"/>
      <c r="L624" s="35"/>
      <c r="M624" s="2" t="str">
        <f>IF(ISBLANK(L624),"",VLOOKUP(L624,configuration!$M$7:$N$10,2,FALSE))</f>
        <v/>
      </c>
      <c r="N624" s="30"/>
      <c r="O624" s="2"/>
      <c r="P624" s="31"/>
      <c r="Q624" s="54"/>
      <c r="R624" s="55" t="str">
        <f>IF(ISBLANK(Q624),"",VLOOKUP(Q624,configuration!$P$7:$Q$10,2,FALSE))</f>
        <v/>
      </c>
      <c r="S624" s="56"/>
      <c r="T624" s="55"/>
      <c r="U624" s="78"/>
      <c r="V624" s="76" t="str">
        <f t="shared" si="40"/>
        <v/>
      </c>
      <c r="W624" s="48" t="str">
        <f t="shared" si="40"/>
        <v/>
      </c>
      <c r="X624" s="48" t="str">
        <f t="shared" si="40"/>
        <v/>
      </c>
      <c r="Y624" s="48" t="str">
        <f t="shared" si="40"/>
        <v/>
      </c>
      <c r="Z624" s="49" t="str">
        <f t="shared" si="38"/>
        <v/>
      </c>
      <c r="AA624" s="50" t="str">
        <f t="shared" si="41"/>
        <v/>
      </c>
      <c r="AB624" s="48" t="str">
        <f t="shared" si="41"/>
        <v/>
      </c>
      <c r="AC624" s="48" t="str">
        <f t="shared" si="41"/>
        <v/>
      </c>
      <c r="AD624" s="48" t="str">
        <f t="shared" si="41"/>
        <v/>
      </c>
      <c r="AE624" s="48" t="str">
        <f t="shared" si="39"/>
        <v/>
      </c>
    </row>
    <row r="625" spans="1:31" x14ac:dyDescent="0.25">
      <c r="A625" s="2"/>
      <c r="B625" s="2"/>
      <c r="C625" s="2"/>
      <c r="D625" s="2" t="str">
        <f>IF(ISBLANK(C625),"",VLOOKUP(C625,configuration!$G$7:$H$10,2,FALSE))</f>
        <v/>
      </c>
      <c r="E625" s="2"/>
      <c r="F625" s="2"/>
      <c r="G625" s="2"/>
      <c r="H625" s="2" t="str">
        <f>IF(ISBLANK(G625),"",VLOOKUP(G625,configuration!$J$7:$K$10,2,FALSE))</f>
        <v/>
      </c>
      <c r="I625" s="30"/>
      <c r="J625" s="2"/>
      <c r="K625" s="31"/>
      <c r="L625" s="35"/>
      <c r="M625" s="2" t="str">
        <f>IF(ISBLANK(L625),"",VLOOKUP(L625,configuration!$M$7:$N$10,2,FALSE))</f>
        <v/>
      </c>
      <c r="N625" s="30"/>
      <c r="O625" s="2"/>
      <c r="P625" s="31"/>
      <c r="Q625" s="54"/>
      <c r="R625" s="55" t="str">
        <f>IF(ISBLANK(Q625),"",VLOOKUP(Q625,configuration!$P$7:$Q$10,2,FALSE))</f>
        <v/>
      </c>
      <c r="S625" s="56"/>
      <c r="T625" s="55"/>
      <c r="U625" s="78"/>
      <c r="V625" s="76" t="str">
        <f t="shared" si="40"/>
        <v/>
      </c>
      <c r="W625" s="48" t="str">
        <f t="shared" si="40"/>
        <v/>
      </c>
      <c r="X625" s="48" t="str">
        <f t="shared" si="40"/>
        <v/>
      </c>
      <c r="Y625" s="48" t="str">
        <f t="shared" si="40"/>
        <v/>
      </c>
      <c r="Z625" s="49" t="str">
        <f t="shared" si="38"/>
        <v/>
      </c>
      <c r="AA625" s="50" t="str">
        <f t="shared" si="41"/>
        <v/>
      </c>
      <c r="AB625" s="48" t="str">
        <f t="shared" si="41"/>
        <v/>
      </c>
      <c r="AC625" s="48" t="str">
        <f t="shared" si="41"/>
        <v/>
      </c>
      <c r="AD625" s="48" t="str">
        <f t="shared" si="41"/>
        <v/>
      </c>
      <c r="AE625" s="48" t="str">
        <f t="shared" si="39"/>
        <v/>
      </c>
    </row>
    <row r="626" spans="1:31" x14ac:dyDescent="0.25">
      <c r="A626" s="2"/>
      <c r="B626" s="2"/>
      <c r="C626" s="2"/>
      <c r="D626" s="2" t="str">
        <f>IF(ISBLANK(C626),"",VLOOKUP(C626,configuration!$G$7:$H$10,2,FALSE))</f>
        <v/>
      </c>
      <c r="E626" s="2"/>
      <c r="F626" s="2"/>
      <c r="G626" s="2"/>
      <c r="H626" s="2" t="str">
        <f>IF(ISBLANK(G626),"",VLOOKUP(G626,configuration!$J$7:$K$10,2,FALSE))</f>
        <v/>
      </c>
      <c r="I626" s="30"/>
      <c r="J626" s="2"/>
      <c r="K626" s="31"/>
      <c r="L626" s="35"/>
      <c r="M626" s="2" t="str">
        <f>IF(ISBLANK(L626),"",VLOOKUP(L626,configuration!$M$7:$N$10,2,FALSE))</f>
        <v/>
      </c>
      <c r="N626" s="30"/>
      <c r="O626" s="2"/>
      <c r="P626" s="31"/>
      <c r="Q626" s="54"/>
      <c r="R626" s="55" t="str">
        <f>IF(ISBLANK(Q626),"",VLOOKUP(Q626,configuration!$P$7:$Q$10,2,FALSE))</f>
        <v/>
      </c>
      <c r="S626" s="56"/>
      <c r="T626" s="55"/>
      <c r="U626" s="78"/>
      <c r="V626" s="76" t="str">
        <f t="shared" si="40"/>
        <v/>
      </c>
      <c r="W626" s="48" t="str">
        <f t="shared" si="40"/>
        <v/>
      </c>
      <c r="X626" s="48" t="str">
        <f t="shared" si="40"/>
        <v/>
      </c>
      <c r="Y626" s="48" t="str">
        <f t="shared" si="40"/>
        <v/>
      </c>
      <c r="Z626" s="49" t="str">
        <f t="shared" si="38"/>
        <v/>
      </c>
      <c r="AA626" s="50" t="str">
        <f t="shared" si="41"/>
        <v/>
      </c>
      <c r="AB626" s="48" t="str">
        <f t="shared" si="41"/>
        <v/>
      </c>
      <c r="AC626" s="48" t="str">
        <f t="shared" si="41"/>
        <v/>
      </c>
      <c r="AD626" s="48" t="str">
        <f t="shared" si="41"/>
        <v/>
      </c>
      <c r="AE626" s="48" t="str">
        <f t="shared" si="39"/>
        <v/>
      </c>
    </row>
    <row r="627" spans="1:31" x14ac:dyDescent="0.25">
      <c r="A627" s="2"/>
      <c r="B627" s="2"/>
      <c r="C627" s="2"/>
      <c r="D627" s="2" t="str">
        <f>IF(ISBLANK(C627),"",VLOOKUP(C627,configuration!$G$7:$H$10,2,FALSE))</f>
        <v/>
      </c>
      <c r="E627" s="2"/>
      <c r="F627" s="2"/>
      <c r="G627" s="2"/>
      <c r="H627" s="2" t="str">
        <f>IF(ISBLANK(G627),"",VLOOKUP(G627,configuration!$J$7:$K$10,2,FALSE))</f>
        <v/>
      </c>
      <c r="I627" s="30"/>
      <c r="J627" s="2"/>
      <c r="K627" s="31"/>
      <c r="L627" s="35"/>
      <c r="M627" s="2" t="str">
        <f>IF(ISBLANK(L627),"",VLOOKUP(L627,configuration!$M$7:$N$10,2,FALSE))</f>
        <v/>
      </c>
      <c r="N627" s="30"/>
      <c r="O627" s="2"/>
      <c r="P627" s="31"/>
      <c r="Q627" s="54"/>
      <c r="R627" s="55" t="str">
        <f>IF(ISBLANK(Q627),"",VLOOKUP(Q627,configuration!$P$7:$Q$10,2,FALSE))</f>
        <v/>
      </c>
      <c r="S627" s="56"/>
      <c r="T627" s="55"/>
      <c r="U627" s="78"/>
      <c r="V627" s="76" t="str">
        <f t="shared" si="40"/>
        <v/>
      </c>
      <c r="W627" s="48" t="str">
        <f t="shared" si="40"/>
        <v/>
      </c>
      <c r="X627" s="48" t="str">
        <f t="shared" si="40"/>
        <v/>
      </c>
      <c r="Y627" s="48" t="str">
        <f t="shared" si="40"/>
        <v/>
      </c>
      <c r="Z627" s="49" t="str">
        <f t="shared" si="38"/>
        <v/>
      </c>
      <c r="AA627" s="50" t="str">
        <f t="shared" si="41"/>
        <v/>
      </c>
      <c r="AB627" s="48" t="str">
        <f t="shared" si="41"/>
        <v/>
      </c>
      <c r="AC627" s="48" t="str">
        <f t="shared" si="41"/>
        <v/>
      </c>
      <c r="AD627" s="48" t="str">
        <f t="shared" si="41"/>
        <v/>
      </c>
      <c r="AE627" s="48" t="str">
        <f t="shared" si="39"/>
        <v/>
      </c>
    </row>
    <row r="628" spans="1:31" x14ac:dyDescent="0.25">
      <c r="A628" s="2"/>
      <c r="B628" s="2"/>
      <c r="C628" s="2"/>
      <c r="D628" s="2" t="str">
        <f>IF(ISBLANK(C628),"",VLOOKUP(C628,configuration!$G$7:$H$10,2,FALSE))</f>
        <v/>
      </c>
      <c r="E628" s="2"/>
      <c r="F628" s="2"/>
      <c r="G628" s="2"/>
      <c r="H628" s="2" t="str">
        <f>IF(ISBLANK(G628),"",VLOOKUP(G628,configuration!$J$7:$K$10,2,FALSE))</f>
        <v/>
      </c>
      <c r="I628" s="30"/>
      <c r="J628" s="2"/>
      <c r="K628" s="31"/>
      <c r="L628" s="35"/>
      <c r="M628" s="2" t="str">
        <f>IF(ISBLANK(L628),"",VLOOKUP(L628,configuration!$M$7:$N$10,2,FALSE))</f>
        <v/>
      </c>
      <c r="N628" s="30"/>
      <c r="O628" s="2"/>
      <c r="P628" s="31"/>
      <c r="Q628" s="54"/>
      <c r="R628" s="55" t="str">
        <f>IF(ISBLANK(Q628),"",VLOOKUP(Q628,configuration!$P$7:$Q$10,2,FALSE))</f>
        <v/>
      </c>
      <c r="S628" s="56"/>
      <c r="T628" s="55"/>
      <c r="U628" s="78"/>
      <c r="V628" s="76" t="str">
        <f t="shared" si="40"/>
        <v/>
      </c>
      <c r="W628" s="48" t="str">
        <f t="shared" si="40"/>
        <v/>
      </c>
      <c r="X628" s="48" t="str">
        <f t="shared" si="40"/>
        <v/>
      </c>
      <c r="Y628" s="48" t="str">
        <f t="shared" si="40"/>
        <v/>
      </c>
      <c r="Z628" s="49" t="str">
        <f t="shared" si="38"/>
        <v/>
      </c>
      <c r="AA628" s="50" t="str">
        <f t="shared" si="41"/>
        <v/>
      </c>
      <c r="AB628" s="48" t="str">
        <f t="shared" si="41"/>
        <v/>
      </c>
      <c r="AC628" s="48" t="str">
        <f t="shared" si="41"/>
        <v/>
      </c>
      <c r="AD628" s="48" t="str">
        <f t="shared" si="41"/>
        <v/>
      </c>
      <c r="AE628" s="48" t="str">
        <f t="shared" si="39"/>
        <v/>
      </c>
    </row>
    <row r="629" spans="1:31" x14ac:dyDescent="0.25">
      <c r="A629" s="2"/>
      <c r="B629" s="2"/>
      <c r="C629" s="2"/>
      <c r="D629" s="2" t="str">
        <f>IF(ISBLANK(C629),"",VLOOKUP(C629,configuration!$G$7:$H$10,2,FALSE))</f>
        <v/>
      </c>
      <c r="E629" s="2"/>
      <c r="F629" s="2"/>
      <c r="G629" s="2"/>
      <c r="H629" s="2" t="str">
        <f>IF(ISBLANK(G629),"",VLOOKUP(G629,configuration!$J$7:$K$10,2,FALSE))</f>
        <v/>
      </c>
      <c r="I629" s="30"/>
      <c r="J629" s="2"/>
      <c r="K629" s="31"/>
      <c r="L629" s="35"/>
      <c r="M629" s="2" t="str">
        <f>IF(ISBLANK(L629),"",VLOOKUP(L629,configuration!$M$7:$N$10,2,FALSE))</f>
        <v/>
      </c>
      <c r="N629" s="30"/>
      <c r="O629" s="2"/>
      <c r="P629" s="31"/>
      <c r="Q629" s="54"/>
      <c r="R629" s="55" t="str">
        <f>IF(ISBLANK(Q629),"",VLOOKUP(Q629,configuration!$P$7:$Q$10,2,FALSE))</f>
        <v/>
      </c>
      <c r="S629" s="56"/>
      <c r="T629" s="55"/>
      <c r="U629" s="78"/>
      <c r="V629" s="76" t="str">
        <f t="shared" si="40"/>
        <v/>
      </c>
      <c r="W629" s="48" t="str">
        <f t="shared" si="40"/>
        <v/>
      </c>
      <c r="X629" s="48" t="str">
        <f t="shared" si="40"/>
        <v/>
      </c>
      <c r="Y629" s="48" t="str">
        <f t="shared" si="40"/>
        <v/>
      </c>
      <c r="Z629" s="49" t="str">
        <f t="shared" si="38"/>
        <v/>
      </c>
      <c r="AA629" s="50" t="str">
        <f t="shared" si="41"/>
        <v/>
      </c>
      <c r="AB629" s="48" t="str">
        <f t="shared" si="41"/>
        <v/>
      </c>
      <c r="AC629" s="48" t="str">
        <f t="shared" si="41"/>
        <v/>
      </c>
      <c r="AD629" s="48" t="str">
        <f t="shared" si="41"/>
        <v/>
      </c>
      <c r="AE629" s="48" t="str">
        <f t="shared" si="39"/>
        <v/>
      </c>
    </row>
    <row r="630" spans="1:31" x14ac:dyDescent="0.25">
      <c r="A630" s="2"/>
      <c r="B630" s="2"/>
      <c r="C630" s="2"/>
      <c r="D630" s="2" t="str">
        <f>IF(ISBLANK(C630),"",VLOOKUP(C630,configuration!$G$7:$H$10,2,FALSE))</f>
        <v/>
      </c>
      <c r="E630" s="2"/>
      <c r="F630" s="2"/>
      <c r="G630" s="2"/>
      <c r="H630" s="2" t="str">
        <f>IF(ISBLANK(G630),"",VLOOKUP(G630,configuration!$J$7:$K$10,2,FALSE))</f>
        <v/>
      </c>
      <c r="I630" s="30"/>
      <c r="J630" s="2"/>
      <c r="K630" s="31"/>
      <c r="L630" s="35"/>
      <c r="M630" s="2" t="str">
        <f>IF(ISBLANK(L630),"",VLOOKUP(L630,configuration!$M$7:$N$10,2,FALSE))</f>
        <v/>
      </c>
      <c r="N630" s="30"/>
      <c r="O630" s="2"/>
      <c r="P630" s="31"/>
      <c r="Q630" s="54"/>
      <c r="R630" s="55" t="str">
        <f>IF(ISBLANK(Q630),"",VLOOKUP(Q630,configuration!$P$7:$Q$10,2,FALSE))</f>
        <v/>
      </c>
      <c r="S630" s="56"/>
      <c r="T630" s="55"/>
      <c r="U630" s="78"/>
      <c r="V630" s="76" t="str">
        <f t="shared" si="40"/>
        <v/>
      </c>
      <c r="W630" s="48" t="str">
        <f t="shared" si="40"/>
        <v/>
      </c>
      <c r="X630" s="48" t="str">
        <f t="shared" si="40"/>
        <v/>
      </c>
      <c r="Y630" s="48" t="str">
        <f t="shared" si="40"/>
        <v/>
      </c>
      <c r="Z630" s="49" t="str">
        <f t="shared" si="38"/>
        <v/>
      </c>
      <c r="AA630" s="50" t="str">
        <f t="shared" si="41"/>
        <v/>
      </c>
      <c r="AB630" s="48" t="str">
        <f t="shared" si="41"/>
        <v/>
      </c>
      <c r="AC630" s="48" t="str">
        <f t="shared" si="41"/>
        <v/>
      </c>
      <c r="AD630" s="48" t="str">
        <f t="shared" si="41"/>
        <v/>
      </c>
      <c r="AE630" s="48" t="str">
        <f t="shared" si="39"/>
        <v/>
      </c>
    </row>
    <row r="631" spans="1:31" x14ac:dyDescent="0.25">
      <c r="A631" s="2"/>
      <c r="B631" s="2"/>
      <c r="C631" s="2"/>
      <c r="D631" s="2" t="str">
        <f>IF(ISBLANK(C631),"",VLOOKUP(C631,configuration!$G$7:$H$10,2,FALSE))</f>
        <v/>
      </c>
      <c r="E631" s="2"/>
      <c r="F631" s="2"/>
      <c r="G631" s="2"/>
      <c r="H631" s="2" t="str">
        <f>IF(ISBLANK(G631),"",VLOOKUP(G631,configuration!$J$7:$K$10,2,FALSE))</f>
        <v/>
      </c>
      <c r="I631" s="30"/>
      <c r="J631" s="2"/>
      <c r="K631" s="31"/>
      <c r="L631" s="35"/>
      <c r="M631" s="2" t="str">
        <f>IF(ISBLANK(L631),"",VLOOKUP(L631,configuration!$M$7:$N$10,2,FALSE))</f>
        <v/>
      </c>
      <c r="N631" s="30"/>
      <c r="O631" s="2"/>
      <c r="P631" s="31"/>
      <c r="Q631" s="54"/>
      <c r="R631" s="55" t="str">
        <f>IF(ISBLANK(Q631),"",VLOOKUP(Q631,configuration!$P$7:$Q$10,2,FALSE))</f>
        <v/>
      </c>
      <c r="S631" s="56"/>
      <c r="T631" s="55"/>
      <c r="U631" s="78"/>
      <c r="V631" s="76" t="str">
        <f t="shared" si="40"/>
        <v/>
      </c>
      <c r="W631" s="48" t="str">
        <f t="shared" si="40"/>
        <v/>
      </c>
      <c r="X631" s="48" t="str">
        <f t="shared" si="40"/>
        <v/>
      </c>
      <c r="Y631" s="48" t="str">
        <f t="shared" si="40"/>
        <v/>
      </c>
      <c r="Z631" s="49" t="str">
        <f t="shared" si="38"/>
        <v/>
      </c>
      <c r="AA631" s="50" t="str">
        <f t="shared" si="41"/>
        <v/>
      </c>
      <c r="AB631" s="48" t="str">
        <f t="shared" si="41"/>
        <v/>
      </c>
      <c r="AC631" s="48" t="str">
        <f t="shared" si="41"/>
        <v/>
      </c>
      <c r="AD631" s="48" t="str">
        <f t="shared" si="41"/>
        <v/>
      </c>
      <c r="AE631" s="48" t="str">
        <f t="shared" si="39"/>
        <v/>
      </c>
    </row>
    <row r="632" spans="1:31" x14ac:dyDescent="0.25">
      <c r="A632" s="2"/>
      <c r="B632" s="2"/>
      <c r="C632" s="2"/>
      <c r="D632" s="2" t="str">
        <f>IF(ISBLANK(C632),"",VLOOKUP(C632,configuration!$G$7:$H$10,2,FALSE))</f>
        <v/>
      </c>
      <c r="E632" s="2"/>
      <c r="F632" s="2"/>
      <c r="G632" s="2"/>
      <c r="H632" s="2" t="str">
        <f>IF(ISBLANK(G632),"",VLOOKUP(G632,configuration!$J$7:$K$10,2,FALSE))</f>
        <v/>
      </c>
      <c r="I632" s="30"/>
      <c r="J632" s="2"/>
      <c r="K632" s="31"/>
      <c r="L632" s="35"/>
      <c r="M632" s="2" t="str">
        <f>IF(ISBLANK(L632),"",VLOOKUP(L632,configuration!$M$7:$N$10,2,FALSE))</f>
        <v/>
      </c>
      <c r="N632" s="30"/>
      <c r="O632" s="2"/>
      <c r="P632" s="31"/>
      <c r="Q632" s="54"/>
      <c r="R632" s="55" t="str">
        <f>IF(ISBLANK(Q632),"",VLOOKUP(Q632,configuration!$P$7:$Q$10,2,FALSE))</f>
        <v/>
      </c>
      <c r="S632" s="56"/>
      <c r="T632" s="55"/>
      <c r="U632" s="78"/>
      <c r="V632" s="76" t="str">
        <f t="shared" si="40"/>
        <v/>
      </c>
      <c r="W632" s="48" t="str">
        <f t="shared" si="40"/>
        <v/>
      </c>
      <c r="X632" s="48" t="str">
        <f t="shared" si="40"/>
        <v/>
      </c>
      <c r="Y632" s="48" t="str">
        <f t="shared" si="40"/>
        <v/>
      </c>
      <c r="Z632" s="49" t="str">
        <f t="shared" si="38"/>
        <v/>
      </c>
      <c r="AA632" s="50" t="str">
        <f t="shared" si="41"/>
        <v/>
      </c>
      <c r="AB632" s="48" t="str">
        <f t="shared" si="41"/>
        <v/>
      </c>
      <c r="AC632" s="48" t="str">
        <f t="shared" si="41"/>
        <v/>
      </c>
      <c r="AD632" s="48" t="str">
        <f t="shared" si="41"/>
        <v/>
      </c>
      <c r="AE632" s="48" t="str">
        <f t="shared" si="39"/>
        <v/>
      </c>
    </row>
    <row r="633" spans="1:31" x14ac:dyDescent="0.25">
      <c r="A633" s="2"/>
      <c r="B633" s="2"/>
      <c r="C633" s="2"/>
      <c r="D633" s="2" t="str">
        <f>IF(ISBLANK(C633),"",VLOOKUP(C633,configuration!$G$7:$H$10,2,FALSE))</f>
        <v/>
      </c>
      <c r="E633" s="2"/>
      <c r="F633" s="2"/>
      <c r="G633" s="2"/>
      <c r="H633" s="2" t="str">
        <f>IF(ISBLANK(G633),"",VLOOKUP(G633,configuration!$J$7:$K$10,2,FALSE))</f>
        <v/>
      </c>
      <c r="I633" s="30"/>
      <c r="J633" s="2"/>
      <c r="K633" s="31"/>
      <c r="L633" s="35"/>
      <c r="M633" s="2" t="str">
        <f>IF(ISBLANK(L633),"",VLOOKUP(L633,configuration!$M$7:$N$10,2,FALSE))</f>
        <v/>
      </c>
      <c r="N633" s="30"/>
      <c r="O633" s="2"/>
      <c r="P633" s="31"/>
      <c r="Q633" s="54"/>
      <c r="R633" s="55" t="str">
        <f>IF(ISBLANK(Q633),"",VLOOKUP(Q633,configuration!$P$7:$Q$10,2,FALSE))</f>
        <v/>
      </c>
      <c r="S633" s="56"/>
      <c r="T633" s="55"/>
      <c r="U633" s="78"/>
      <c r="V633" s="76" t="str">
        <f t="shared" si="40"/>
        <v/>
      </c>
      <c r="W633" s="48" t="str">
        <f t="shared" si="40"/>
        <v/>
      </c>
      <c r="X633" s="48" t="str">
        <f t="shared" si="40"/>
        <v/>
      </c>
      <c r="Y633" s="48" t="str">
        <f t="shared" si="40"/>
        <v/>
      </c>
      <c r="Z633" s="49" t="str">
        <f t="shared" si="38"/>
        <v/>
      </c>
      <c r="AA633" s="50" t="str">
        <f t="shared" si="41"/>
        <v/>
      </c>
      <c r="AB633" s="48" t="str">
        <f t="shared" si="41"/>
        <v/>
      </c>
      <c r="AC633" s="48" t="str">
        <f t="shared" si="41"/>
        <v/>
      </c>
      <c r="AD633" s="48" t="str">
        <f t="shared" si="41"/>
        <v/>
      </c>
      <c r="AE633" s="48" t="str">
        <f t="shared" si="39"/>
        <v/>
      </c>
    </row>
    <row r="634" spans="1:31" x14ac:dyDescent="0.25">
      <c r="A634" s="2"/>
      <c r="B634" s="2"/>
      <c r="C634" s="2"/>
      <c r="D634" s="2" t="str">
        <f>IF(ISBLANK(C634),"",VLOOKUP(C634,configuration!$G$7:$H$10,2,FALSE))</f>
        <v/>
      </c>
      <c r="E634" s="2"/>
      <c r="F634" s="2"/>
      <c r="G634" s="2"/>
      <c r="H634" s="2" t="str">
        <f>IF(ISBLANK(G634),"",VLOOKUP(G634,configuration!$J$7:$K$10,2,FALSE))</f>
        <v/>
      </c>
      <c r="I634" s="30"/>
      <c r="J634" s="2"/>
      <c r="K634" s="31"/>
      <c r="L634" s="35"/>
      <c r="M634" s="2" t="str">
        <f>IF(ISBLANK(L634),"",VLOOKUP(L634,configuration!$M$7:$N$10,2,FALSE))</f>
        <v/>
      </c>
      <c r="N634" s="30"/>
      <c r="O634" s="2"/>
      <c r="P634" s="31"/>
      <c r="Q634" s="54"/>
      <c r="R634" s="55" t="str">
        <f>IF(ISBLANK(Q634),"",VLOOKUP(Q634,configuration!$P$7:$Q$10,2,FALSE))</f>
        <v/>
      </c>
      <c r="S634" s="56"/>
      <c r="T634" s="55"/>
      <c r="U634" s="78"/>
      <c r="V634" s="76" t="str">
        <f t="shared" si="40"/>
        <v/>
      </c>
      <c r="W634" s="48" t="str">
        <f t="shared" si="40"/>
        <v/>
      </c>
      <c r="X634" s="48" t="str">
        <f t="shared" si="40"/>
        <v/>
      </c>
      <c r="Y634" s="48" t="str">
        <f t="shared" si="40"/>
        <v/>
      </c>
      <c r="Z634" s="49" t="str">
        <f t="shared" si="38"/>
        <v/>
      </c>
      <c r="AA634" s="50" t="str">
        <f t="shared" si="41"/>
        <v/>
      </c>
      <c r="AB634" s="48" t="str">
        <f t="shared" si="41"/>
        <v/>
      </c>
      <c r="AC634" s="48" t="str">
        <f t="shared" si="41"/>
        <v/>
      </c>
      <c r="AD634" s="48" t="str">
        <f t="shared" si="41"/>
        <v/>
      </c>
      <c r="AE634" s="48" t="str">
        <f t="shared" si="39"/>
        <v/>
      </c>
    </row>
    <row r="635" spans="1:31" x14ac:dyDescent="0.25">
      <c r="A635" s="2"/>
      <c r="B635" s="2"/>
      <c r="C635" s="2"/>
      <c r="D635" s="2" t="str">
        <f>IF(ISBLANK(C635),"",VLOOKUP(C635,configuration!$G$7:$H$10,2,FALSE))</f>
        <v/>
      </c>
      <c r="E635" s="2"/>
      <c r="F635" s="2"/>
      <c r="G635" s="2"/>
      <c r="H635" s="2" t="str">
        <f>IF(ISBLANK(G635),"",VLOOKUP(G635,configuration!$J$7:$K$10,2,FALSE))</f>
        <v/>
      </c>
      <c r="I635" s="30"/>
      <c r="J635" s="2"/>
      <c r="K635" s="31"/>
      <c r="L635" s="35"/>
      <c r="M635" s="2" t="str">
        <f>IF(ISBLANK(L635),"",VLOOKUP(L635,configuration!$M$7:$N$10,2,FALSE))</f>
        <v/>
      </c>
      <c r="N635" s="30"/>
      <c r="O635" s="2"/>
      <c r="P635" s="31"/>
      <c r="Q635" s="54"/>
      <c r="R635" s="55" t="str">
        <f>IF(ISBLANK(Q635),"",VLOOKUP(Q635,configuration!$P$7:$Q$10,2,FALSE))</f>
        <v/>
      </c>
      <c r="S635" s="56"/>
      <c r="T635" s="55"/>
      <c r="U635" s="78"/>
      <c r="V635" s="76" t="str">
        <f t="shared" si="40"/>
        <v/>
      </c>
      <c r="W635" s="48" t="str">
        <f t="shared" si="40"/>
        <v/>
      </c>
      <c r="X635" s="48" t="str">
        <f t="shared" si="40"/>
        <v/>
      </c>
      <c r="Y635" s="48" t="str">
        <f t="shared" si="40"/>
        <v/>
      </c>
      <c r="Z635" s="49" t="str">
        <f t="shared" si="38"/>
        <v/>
      </c>
      <c r="AA635" s="50" t="str">
        <f t="shared" si="41"/>
        <v/>
      </c>
      <c r="AB635" s="48" t="str">
        <f t="shared" si="41"/>
        <v/>
      </c>
      <c r="AC635" s="48" t="str">
        <f t="shared" si="41"/>
        <v/>
      </c>
      <c r="AD635" s="48" t="str">
        <f t="shared" si="41"/>
        <v/>
      </c>
      <c r="AE635" s="48" t="str">
        <f t="shared" si="39"/>
        <v/>
      </c>
    </row>
    <row r="636" spans="1:31" x14ac:dyDescent="0.25">
      <c r="A636" s="2"/>
      <c r="B636" s="2"/>
      <c r="C636" s="2"/>
      <c r="D636" s="2" t="str">
        <f>IF(ISBLANK(C636),"",VLOOKUP(C636,configuration!$G$7:$H$10,2,FALSE))</f>
        <v/>
      </c>
      <c r="E636" s="2"/>
      <c r="F636" s="2"/>
      <c r="G636" s="2"/>
      <c r="H636" s="2" t="str">
        <f>IF(ISBLANK(G636),"",VLOOKUP(G636,configuration!$J$7:$K$10,2,FALSE))</f>
        <v/>
      </c>
      <c r="I636" s="30"/>
      <c r="J636" s="2"/>
      <c r="K636" s="31"/>
      <c r="L636" s="35"/>
      <c r="M636" s="2" t="str">
        <f>IF(ISBLANK(L636),"",VLOOKUP(L636,configuration!$M$7:$N$10,2,FALSE))</f>
        <v/>
      </c>
      <c r="N636" s="30"/>
      <c r="O636" s="2"/>
      <c r="P636" s="31"/>
      <c r="Q636" s="54"/>
      <c r="R636" s="55" t="str">
        <f>IF(ISBLANK(Q636),"",VLOOKUP(Q636,configuration!$P$7:$Q$10,2,FALSE))</f>
        <v/>
      </c>
      <c r="S636" s="56"/>
      <c r="T636" s="55"/>
      <c r="U636" s="78"/>
      <c r="V636" s="76" t="str">
        <f t="shared" si="40"/>
        <v/>
      </c>
      <c r="W636" s="48" t="str">
        <f t="shared" si="40"/>
        <v/>
      </c>
      <c r="X636" s="48" t="str">
        <f t="shared" si="40"/>
        <v/>
      </c>
      <c r="Y636" s="48" t="str">
        <f t="shared" si="40"/>
        <v/>
      </c>
      <c r="Z636" s="49" t="str">
        <f t="shared" si="38"/>
        <v/>
      </c>
      <c r="AA636" s="50" t="str">
        <f t="shared" si="41"/>
        <v/>
      </c>
      <c r="AB636" s="48" t="str">
        <f t="shared" si="41"/>
        <v/>
      </c>
      <c r="AC636" s="48" t="str">
        <f t="shared" si="41"/>
        <v/>
      </c>
      <c r="AD636" s="48" t="str">
        <f t="shared" si="41"/>
        <v/>
      </c>
      <c r="AE636" s="48" t="str">
        <f t="shared" si="39"/>
        <v/>
      </c>
    </row>
    <row r="637" spans="1:31" x14ac:dyDescent="0.25">
      <c r="A637" s="2"/>
      <c r="B637" s="2"/>
      <c r="C637" s="2"/>
      <c r="D637" s="2" t="str">
        <f>IF(ISBLANK(C637),"",VLOOKUP(C637,configuration!$G$7:$H$10,2,FALSE))</f>
        <v/>
      </c>
      <c r="E637" s="2"/>
      <c r="F637" s="2"/>
      <c r="G637" s="2"/>
      <c r="H637" s="2" t="str">
        <f>IF(ISBLANK(G637),"",VLOOKUP(G637,configuration!$J$7:$K$10,2,FALSE))</f>
        <v/>
      </c>
      <c r="I637" s="30"/>
      <c r="J637" s="2"/>
      <c r="K637" s="31"/>
      <c r="L637" s="35"/>
      <c r="M637" s="2" t="str">
        <f>IF(ISBLANK(L637),"",VLOOKUP(L637,configuration!$M$7:$N$10,2,FALSE))</f>
        <v/>
      </c>
      <c r="N637" s="30"/>
      <c r="O637" s="2"/>
      <c r="P637" s="31"/>
      <c r="Q637" s="54"/>
      <c r="R637" s="55" t="str">
        <f>IF(ISBLANK(Q637),"",VLOOKUP(Q637,configuration!$P$7:$Q$10,2,FALSE))</f>
        <v/>
      </c>
      <c r="S637" s="56"/>
      <c r="T637" s="55"/>
      <c r="U637" s="78"/>
      <c r="V637" s="76" t="str">
        <f t="shared" si="40"/>
        <v/>
      </c>
      <c r="W637" s="48" t="str">
        <f t="shared" si="40"/>
        <v/>
      </c>
      <c r="X637" s="48" t="str">
        <f t="shared" si="40"/>
        <v/>
      </c>
      <c r="Y637" s="48" t="str">
        <f t="shared" si="40"/>
        <v/>
      </c>
      <c r="Z637" s="49" t="str">
        <f t="shared" si="38"/>
        <v/>
      </c>
      <c r="AA637" s="50" t="str">
        <f t="shared" si="41"/>
        <v/>
      </c>
      <c r="AB637" s="48" t="str">
        <f t="shared" si="41"/>
        <v/>
      </c>
      <c r="AC637" s="48" t="str">
        <f t="shared" si="41"/>
        <v/>
      </c>
      <c r="AD637" s="48" t="str">
        <f t="shared" si="41"/>
        <v/>
      </c>
      <c r="AE637" s="48" t="str">
        <f t="shared" si="39"/>
        <v/>
      </c>
    </row>
    <row r="638" spans="1:31" x14ac:dyDescent="0.25">
      <c r="A638" s="2"/>
      <c r="B638" s="2"/>
      <c r="C638" s="2"/>
      <c r="D638" s="2" t="str">
        <f>IF(ISBLANK(C638),"",VLOOKUP(C638,configuration!$G$7:$H$10,2,FALSE))</f>
        <v/>
      </c>
      <c r="E638" s="2"/>
      <c r="F638" s="2"/>
      <c r="G638" s="2"/>
      <c r="H638" s="2" t="str">
        <f>IF(ISBLANK(G638),"",VLOOKUP(G638,configuration!$J$7:$K$10,2,FALSE))</f>
        <v/>
      </c>
      <c r="I638" s="30"/>
      <c r="J638" s="2"/>
      <c r="K638" s="31"/>
      <c r="L638" s="35"/>
      <c r="M638" s="2" t="str">
        <f>IF(ISBLANK(L638),"",VLOOKUP(L638,configuration!$M$7:$N$10,2,FALSE))</f>
        <v/>
      </c>
      <c r="N638" s="30"/>
      <c r="O638" s="2"/>
      <c r="P638" s="31"/>
      <c r="Q638" s="54"/>
      <c r="R638" s="55" t="str">
        <f>IF(ISBLANK(Q638),"",VLOOKUP(Q638,configuration!$P$7:$Q$10,2,FALSE))</f>
        <v/>
      </c>
      <c r="S638" s="56"/>
      <c r="T638" s="55"/>
      <c r="U638" s="78"/>
      <c r="V638" s="76" t="str">
        <f t="shared" si="40"/>
        <v/>
      </c>
      <c r="W638" s="48" t="str">
        <f t="shared" si="40"/>
        <v/>
      </c>
      <c r="X638" s="48" t="str">
        <f t="shared" si="40"/>
        <v/>
      </c>
      <c r="Y638" s="48" t="str">
        <f t="shared" si="40"/>
        <v/>
      </c>
      <c r="Z638" s="49" t="str">
        <f t="shared" si="38"/>
        <v/>
      </c>
      <c r="AA638" s="50" t="str">
        <f t="shared" si="41"/>
        <v/>
      </c>
      <c r="AB638" s="48" t="str">
        <f t="shared" si="41"/>
        <v/>
      </c>
      <c r="AC638" s="48" t="str">
        <f t="shared" si="41"/>
        <v/>
      </c>
      <c r="AD638" s="48" t="str">
        <f t="shared" si="41"/>
        <v/>
      </c>
      <c r="AE638" s="48" t="str">
        <f t="shared" si="39"/>
        <v/>
      </c>
    </row>
    <row r="639" spans="1:31" x14ac:dyDescent="0.25">
      <c r="A639" s="2"/>
      <c r="B639" s="2"/>
      <c r="C639" s="2"/>
      <c r="D639" s="2" t="str">
        <f>IF(ISBLANK(C639),"",VLOOKUP(C639,configuration!$G$7:$H$10,2,FALSE))</f>
        <v/>
      </c>
      <c r="E639" s="2"/>
      <c r="F639" s="2"/>
      <c r="G639" s="2"/>
      <c r="H639" s="2" t="str">
        <f>IF(ISBLANK(G639),"",VLOOKUP(G639,configuration!$J$7:$K$10,2,FALSE))</f>
        <v/>
      </c>
      <c r="I639" s="30"/>
      <c r="J639" s="2"/>
      <c r="K639" s="31"/>
      <c r="L639" s="35"/>
      <c r="M639" s="2" t="str">
        <f>IF(ISBLANK(L639),"",VLOOKUP(L639,configuration!$M$7:$N$10,2,FALSE))</f>
        <v/>
      </c>
      <c r="N639" s="30"/>
      <c r="O639" s="2"/>
      <c r="P639" s="31"/>
      <c r="Q639" s="54"/>
      <c r="R639" s="55" t="str">
        <f>IF(ISBLANK(Q639),"",VLOOKUP(Q639,configuration!$P$7:$Q$10,2,FALSE))</f>
        <v/>
      </c>
      <c r="S639" s="56"/>
      <c r="T639" s="55"/>
      <c r="U639" s="78"/>
      <c r="V639" s="76" t="str">
        <f t="shared" si="40"/>
        <v/>
      </c>
      <c r="W639" s="48" t="str">
        <f t="shared" si="40"/>
        <v/>
      </c>
      <c r="X639" s="48" t="str">
        <f t="shared" si="40"/>
        <v/>
      </c>
      <c r="Y639" s="48" t="str">
        <f t="shared" si="40"/>
        <v/>
      </c>
      <c r="Z639" s="49" t="str">
        <f t="shared" si="38"/>
        <v/>
      </c>
      <c r="AA639" s="50" t="str">
        <f t="shared" si="41"/>
        <v/>
      </c>
      <c r="AB639" s="48" t="str">
        <f t="shared" si="41"/>
        <v/>
      </c>
      <c r="AC639" s="48" t="str">
        <f t="shared" si="41"/>
        <v/>
      </c>
      <c r="AD639" s="48" t="str">
        <f t="shared" si="41"/>
        <v/>
      </c>
      <c r="AE639" s="48" t="str">
        <f t="shared" si="39"/>
        <v/>
      </c>
    </row>
    <row r="640" spans="1:31" x14ac:dyDescent="0.25">
      <c r="A640" s="2"/>
      <c r="B640" s="2"/>
      <c r="C640" s="2"/>
      <c r="D640" s="2" t="str">
        <f>IF(ISBLANK(C640),"",VLOOKUP(C640,configuration!$G$7:$H$10,2,FALSE))</f>
        <v/>
      </c>
      <c r="E640" s="2"/>
      <c r="F640" s="2"/>
      <c r="G640" s="2"/>
      <c r="H640" s="2" t="str">
        <f>IF(ISBLANK(G640),"",VLOOKUP(G640,configuration!$J$7:$K$10,2,FALSE))</f>
        <v/>
      </c>
      <c r="I640" s="30"/>
      <c r="J640" s="2"/>
      <c r="K640" s="31"/>
      <c r="L640" s="35"/>
      <c r="M640" s="2" t="str">
        <f>IF(ISBLANK(L640),"",VLOOKUP(L640,configuration!$M$7:$N$10,2,FALSE))</f>
        <v/>
      </c>
      <c r="N640" s="30"/>
      <c r="O640" s="2"/>
      <c r="P640" s="31"/>
      <c r="Q640" s="54"/>
      <c r="R640" s="55" t="str">
        <f>IF(ISBLANK(Q640),"",VLOOKUP(Q640,configuration!$P$7:$Q$10,2,FALSE))</f>
        <v/>
      </c>
      <c r="S640" s="56"/>
      <c r="T640" s="55"/>
      <c r="U640" s="78"/>
      <c r="V640" s="76" t="str">
        <f t="shared" si="40"/>
        <v/>
      </c>
      <c r="W640" s="48" t="str">
        <f t="shared" si="40"/>
        <v/>
      </c>
      <c r="X640" s="48" t="str">
        <f t="shared" si="40"/>
        <v/>
      </c>
      <c r="Y640" s="48" t="str">
        <f t="shared" si="40"/>
        <v/>
      </c>
      <c r="Z640" s="49" t="str">
        <f t="shared" si="38"/>
        <v/>
      </c>
      <c r="AA640" s="50" t="str">
        <f t="shared" si="41"/>
        <v/>
      </c>
      <c r="AB640" s="48" t="str">
        <f t="shared" si="41"/>
        <v/>
      </c>
      <c r="AC640" s="48" t="str">
        <f t="shared" si="41"/>
        <v/>
      </c>
      <c r="AD640" s="48" t="str">
        <f t="shared" si="41"/>
        <v/>
      </c>
      <c r="AE640" s="48" t="str">
        <f t="shared" si="39"/>
        <v/>
      </c>
    </row>
    <row r="641" spans="1:31" x14ac:dyDescent="0.25">
      <c r="A641" s="2"/>
      <c r="B641" s="2"/>
      <c r="C641" s="2"/>
      <c r="D641" s="2" t="str">
        <f>IF(ISBLANK(C641),"",VLOOKUP(C641,configuration!$G$7:$H$10,2,FALSE))</f>
        <v/>
      </c>
      <c r="E641" s="2"/>
      <c r="F641" s="2"/>
      <c r="G641" s="2"/>
      <c r="H641" s="2" t="str">
        <f>IF(ISBLANK(G641),"",VLOOKUP(G641,configuration!$J$7:$K$10,2,FALSE))</f>
        <v/>
      </c>
      <c r="I641" s="30"/>
      <c r="J641" s="2"/>
      <c r="K641" s="31"/>
      <c r="L641" s="35"/>
      <c r="M641" s="2" t="str">
        <f>IF(ISBLANK(L641),"",VLOOKUP(L641,configuration!$M$7:$N$10,2,FALSE))</f>
        <v/>
      </c>
      <c r="N641" s="30"/>
      <c r="O641" s="2"/>
      <c r="P641" s="31"/>
      <c r="Q641" s="54"/>
      <c r="R641" s="55" t="str">
        <f>IF(ISBLANK(Q641),"",VLOOKUP(Q641,configuration!$P$7:$Q$10,2,FALSE))</f>
        <v/>
      </c>
      <c r="S641" s="56"/>
      <c r="T641" s="55"/>
      <c r="U641" s="78"/>
      <c r="V641" s="76" t="str">
        <f t="shared" si="40"/>
        <v/>
      </c>
      <c r="W641" s="48" t="str">
        <f t="shared" si="40"/>
        <v/>
      </c>
      <c r="X641" s="48" t="str">
        <f t="shared" si="40"/>
        <v/>
      </c>
      <c r="Y641" s="48" t="str">
        <f t="shared" si="40"/>
        <v/>
      </c>
      <c r="Z641" s="49" t="str">
        <f t="shared" si="38"/>
        <v/>
      </c>
      <c r="AA641" s="50" t="str">
        <f t="shared" si="41"/>
        <v/>
      </c>
      <c r="AB641" s="48" t="str">
        <f t="shared" si="41"/>
        <v/>
      </c>
      <c r="AC641" s="48" t="str">
        <f t="shared" si="41"/>
        <v/>
      </c>
      <c r="AD641" s="48" t="str">
        <f t="shared" si="41"/>
        <v/>
      </c>
      <c r="AE641" s="48" t="str">
        <f t="shared" si="39"/>
        <v/>
      </c>
    </row>
    <row r="642" spans="1:31" x14ac:dyDescent="0.25">
      <c r="A642" s="2"/>
      <c r="B642" s="2"/>
      <c r="C642" s="2"/>
      <c r="D642" s="2" t="str">
        <f>IF(ISBLANK(C642),"",VLOOKUP(C642,configuration!$G$7:$H$10,2,FALSE))</f>
        <v/>
      </c>
      <c r="E642" s="2"/>
      <c r="F642" s="2"/>
      <c r="G642" s="2"/>
      <c r="H642" s="2" t="str">
        <f>IF(ISBLANK(G642),"",VLOOKUP(G642,configuration!$J$7:$K$10,2,FALSE))</f>
        <v/>
      </c>
      <c r="I642" s="30"/>
      <c r="J642" s="2"/>
      <c r="K642" s="31"/>
      <c r="L642" s="35"/>
      <c r="M642" s="2" t="str">
        <f>IF(ISBLANK(L642),"",VLOOKUP(L642,configuration!$M$7:$N$10,2,FALSE))</f>
        <v/>
      </c>
      <c r="N642" s="30"/>
      <c r="O642" s="2"/>
      <c r="P642" s="31"/>
      <c r="Q642" s="54"/>
      <c r="R642" s="55" t="str">
        <f>IF(ISBLANK(Q642),"",VLOOKUP(Q642,configuration!$P$7:$Q$10,2,FALSE))</f>
        <v/>
      </c>
      <c r="S642" s="56"/>
      <c r="T642" s="55"/>
      <c r="U642" s="78"/>
      <c r="V642" s="76" t="str">
        <f t="shared" si="40"/>
        <v/>
      </c>
      <c r="W642" s="48" t="str">
        <f t="shared" si="40"/>
        <v/>
      </c>
      <c r="X642" s="48" t="str">
        <f t="shared" si="40"/>
        <v/>
      </c>
      <c r="Y642" s="48" t="str">
        <f t="shared" si="40"/>
        <v/>
      </c>
      <c r="Z642" s="49" t="str">
        <f t="shared" si="38"/>
        <v/>
      </c>
      <c r="AA642" s="50" t="str">
        <f t="shared" si="41"/>
        <v/>
      </c>
      <c r="AB642" s="48" t="str">
        <f t="shared" si="41"/>
        <v/>
      </c>
      <c r="AC642" s="48" t="str">
        <f t="shared" si="41"/>
        <v/>
      </c>
      <c r="AD642" s="48" t="str">
        <f t="shared" si="41"/>
        <v/>
      </c>
      <c r="AE642" s="48" t="str">
        <f t="shared" si="39"/>
        <v/>
      </c>
    </row>
    <row r="643" spans="1:31" x14ac:dyDescent="0.25">
      <c r="A643" s="2"/>
      <c r="B643" s="2"/>
      <c r="C643" s="2"/>
      <c r="D643" s="2" t="str">
        <f>IF(ISBLANK(C643),"",VLOOKUP(C643,configuration!$G$7:$H$10,2,FALSE))</f>
        <v/>
      </c>
      <c r="E643" s="2"/>
      <c r="F643" s="2"/>
      <c r="G643" s="2"/>
      <c r="H643" s="2" t="str">
        <f>IF(ISBLANK(G643),"",VLOOKUP(G643,configuration!$J$7:$K$10,2,FALSE))</f>
        <v/>
      </c>
      <c r="I643" s="30"/>
      <c r="J643" s="2"/>
      <c r="K643" s="31"/>
      <c r="L643" s="35"/>
      <c r="M643" s="2" t="str">
        <f>IF(ISBLANK(L643),"",VLOOKUP(L643,configuration!$M$7:$N$10,2,FALSE))</f>
        <v/>
      </c>
      <c r="N643" s="30"/>
      <c r="O643" s="2"/>
      <c r="P643" s="31"/>
      <c r="Q643" s="54"/>
      <c r="R643" s="55" t="str">
        <f>IF(ISBLANK(Q643),"",VLOOKUP(Q643,configuration!$P$7:$Q$10,2,FALSE))</f>
        <v/>
      </c>
      <c r="S643" s="56"/>
      <c r="T643" s="55"/>
      <c r="U643" s="78"/>
      <c r="V643" s="76" t="str">
        <f t="shared" si="40"/>
        <v/>
      </c>
      <c r="W643" s="48" t="str">
        <f t="shared" si="40"/>
        <v/>
      </c>
      <c r="X643" s="48" t="str">
        <f t="shared" si="40"/>
        <v/>
      </c>
      <c r="Y643" s="48" t="str">
        <f t="shared" si="40"/>
        <v/>
      </c>
      <c r="Z643" s="49" t="str">
        <f t="shared" si="38"/>
        <v/>
      </c>
      <c r="AA643" s="50" t="str">
        <f t="shared" si="41"/>
        <v/>
      </c>
      <c r="AB643" s="48" t="str">
        <f t="shared" si="41"/>
        <v/>
      </c>
      <c r="AC643" s="48" t="str">
        <f t="shared" si="41"/>
        <v/>
      </c>
      <c r="AD643" s="48" t="str">
        <f t="shared" si="41"/>
        <v/>
      </c>
      <c r="AE643" s="48" t="str">
        <f t="shared" si="39"/>
        <v/>
      </c>
    </row>
    <row r="644" spans="1:31" x14ac:dyDescent="0.25">
      <c r="A644" s="2"/>
      <c r="B644" s="2"/>
      <c r="C644" s="2"/>
      <c r="D644" s="2" t="str">
        <f>IF(ISBLANK(C644),"",VLOOKUP(C644,configuration!$G$7:$H$10,2,FALSE))</f>
        <v/>
      </c>
      <c r="E644" s="2"/>
      <c r="F644" s="2"/>
      <c r="G644" s="2"/>
      <c r="H644" s="2" t="str">
        <f>IF(ISBLANK(G644),"",VLOOKUP(G644,configuration!$J$7:$K$10,2,FALSE))</f>
        <v/>
      </c>
      <c r="I644" s="30"/>
      <c r="J644" s="2"/>
      <c r="K644" s="31"/>
      <c r="L644" s="35"/>
      <c r="M644" s="2" t="str">
        <f>IF(ISBLANK(L644),"",VLOOKUP(L644,configuration!$M$7:$N$10,2,FALSE))</f>
        <v/>
      </c>
      <c r="N644" s="30"/>
      <c r="O644" s="2"/>
      <c r="P644" s="31"/>
      <c r="Q644" s="54"/>
      <c r="R644" s="55" t="str">
        <f>IF(ISBLANK(Q644),"",VLOOKUP(Q644,configuration!$P$7:$Q$10,2,FALSE))</f>
        <v/>
      </c>
      <c r="S644" s="56"/>
      <c r="T644" s="55"/>
      <c r="U644" s="78"/>
      <c r="V644" s="76" t="str">
        <f t="shared" si="40"/>
        <v/>
      </c>
      <c r="W644" s="48" t="str">
        <f t="shared" si="40"/>
        <v/>
      </c>
      <c r="X644" s="48" t="str">
        <f t="shared" si="40"/>
        <v/>
      </c>
      <c r="Y644" s="48" t="str">
        <f t="shared" si="40"/>
        <v/>
      </c>
      <c r="Z644" s="49" t="str">
        <f t="shared" si="38"/>
        <v/>
      </c>
      <c r="AA644" s="50" t="str">
        <f t="shared" si="41"/>
        <v/>
      </c>
      <c r="AB644" s="48" t="str">
        <f t="shared" si="41"/>
        <v/>
      </c>
      <c r="AC644" s="48" t="str">
        <f t="shared" si="41"/>
        <v/>
      </c>
      <c r="AD644" s="48" t="str">
        <f t="shared" si="41"/>
        <v/>
      </c>
      <c r="AE644" s="48" t="str">
        <f t="shared" si="39"/>
        <v/>
      </c>
    </row>
    <row r="645" spans="1:31" x14ac:dyDescent="0.25">
      <c r="A645" s="2"/>
      <c r="B645" s="2"/>
      <c r="C645" s="2"/>
      <c r="D645" s="2" t="str">
        <f>IF(ISBLANK(C645),"",VLOOKUP(C645,configuration!$G$7:$H$10,2,FALSE))</f>
        <v/>
      </c>
      <c r="E645" s="2"/>
      <c r="F645" s="2"/>
      <c r="G645" s="2"/>
      <c r="H645" s="2" t="str">
        <f>IF(ISBLANK(G645),"",VLOOKUP(G645,configuration!$J$7:$K$10,2,FALSE))</f>
        <v/>
      </c>
      <c r="I645" s="30"/>
      <c r="J645" s="2"/>
      <c r="K645" s="31"/>
      <c r="L645" s="35"/>
      <c r="M645" s="2" t="str">
        <f>IF(ISBLANK(L645),"",VLOOKUP(L645,configuration!$M$7:$N$10,2,FALSE))</f>
        <v/>
      </c>
      <c r="N645" s="30"/>
      <c r="O645" s="2"/>
      <c r="P645" s="31"/>
      <c r="Q645" s="54"/>
      <c r="R645" s="55" t="str">
        <f>IF(ISBLANK(Q645),"",VLOOKUP(Q645,configuration!$P$7:$Q$10,2,FALSE))</f>
        <v/>
      </c>
      <c r="S645" s="56"/>
      <c r="T645" s="55"/>
      <c r="U645" s="78"/>
      <c r="V645" s="76" t="str">
        <f t="shared" si="40"/>
        <v/>
      </c>
      <c r="W645" s="48" t="str">
        <f t="shared" si="40"/>
        <v/>
      </c>
      <c r="X645" s="48" t="str">
        <f t="shared" si="40"/>
        <v/>
      </c>
      <c r="Y645" s="48" t="str">
        <f t="shared" si="40"/>
        <v/>
      </c>
      <c r="Z645" s="49" t="str">
        <f t="shared" si="38"/>
        <v/>
      </c>
      <c r="AA645" s="50" t="str">
        <f t="shared" si="41"/>
        <v/>
      </c>
      <c r="AB645" s="48" t="str">
        <f t="shared" si="41"/>
        <v/>
      </c>
      <c r="AC645" s="48" t="str">
        <f t="shared" si="41"/>
        <v/>
      </c>
      <c r="AD645" s="48" t="str">
        <f t="shared" si="41"/>
        <v/>
      </c>
      <c r="AE645" s="48" t="str">
        <f t="shared" si="39"/>
        <v/>
      </c>
    </row>
    <row r="646" spans="1:31" x14ac:dyDescent="0.25">
      <c r="A646" s="2"/>
      <c r="B646" s="2"/>
      <c r="C646" s="2"/>
      <c r="D646" s="2" t="str">
        <f>IF(ISBLANK(C646),"",VLOOKUP(C646,configuration!$G$7:$H$10,2,FALSE))</f>
        <v/>
      </c>
      <c r="E646" s="2"/>
      <c r="F646" s="2"/>
      <c r="G646" s="2"/>
      <c r="H646" s="2" t="str">
        <f>IF(ISBLANK(G646),"",VLOOKUP(G646,configuration!$J$7:$K$10,2,FALSE))</f>
        <v/>
      </c>
      <c r="I646" s="30"/>
      <c r="J646" s="2"/>
      <c r="K646" s="31"/>
      <c r="L646" s="35"/>
      <c r="M646" s="2" t="str">
        <f>IF(ISBLANK(L646),"",VLOOKUP(L646,configuration!$M$7:$N$10,2,FALSE))</f>
        <v/>
      </c>
      <c r="N646" s="30"/>
      <c r="O646" s="2"/>
      <c r="P646" s="31"/>
      <c r="Q646" s="54"/>
      <c r="R646" s="55" t="str">
        <f>IF(ISBLANK(Q646),"",VLOOKUP(Q646,configuration!$P$7:$Q$10,2,FALSE))</f>
        <v/>
      </c>
      <c r="S646" s="56"/>
      <c r="T646" s="55"/>
      <c r="U646" s="78"/>
      <c r="V646" s="76" t="str">
        <f t="shared" si="40"/>
        <v/>
      </c>
      <c r="W646" s="48" t="str">
        <f t="shared" si="40"/>
        <v/>
      </c>
      <c r="X646" s="48" t="str">
        <f t="shared" si="40"/>
        <v/>
      </c>
      <c r="Y646" s="48" t="str">
        <f t="shared" si="40"/>
        <v/>
      </c>
      <c r="Z646" s="49" t="str">
        <f t="shared" ref="Z646:Z709" si="42">IF(AND($G646="",A646&lt;&gt;""),1,"")</f>
        <v/>
      </c>
      <c r="AA646" s="50" t="str">
        <f t="shared" si="41"/>
        <v/>
      </c>
      <c r="AB646" s="48" t="str">
        <f t="shared" si="41"/>
        <v/>
      </c>
      <c r="AC646" s="48" t="str">
        <f t="shared" si="41"/>
        <v/>
      </c>
      <c r="AD646" s="48" t="str">
        <f t="shared" si="41"/>
        <v/>
      </c>
      <c r="AE646" s="48" t="str">
        <f t="shared" ref="AE646:AE709" si="43">IF(AND($L646="",A646&lt;&gt;""),1,"")</f>
        <v/>
      </c>
    </row>
    <row r="647" spans="1:31" x14ac:dyDescent="0.25">
      <c r="A647" s="2"/>
      <c r="B647" s="2"/>
      <c r="C647" s="2"/>
      <c r="D647" s="2" t="str">
        <f>IF(ISBLANK(C647),"",VLOOKUP(C647,configuration!$G$7:$H$10,2,FALSE))</f>
        <v/>
      </c>
      <c r="E647" s="2"/>
      <c r="F647" s="2"/>
      <c r="G647" s="2"/>
      <c r="H647" s="2" t="str">
        <f>IF(ISBLANK(G647),"",VLOOKUP(G647,configuration!$J$7:$K$10,2,FALSE))</f>
        <v/>
      </c>
      <c r="I647" s="30"/>
      <c r="J647" s="2"/>
      <c r="K647" s="31"/>
      <c r="L647" s="35"/>
      <c r="M647" s="2" t="str">
        <f>IF(ISBLANK(L647),"",VLOOKUP(L647,configuration!$M$7:$N$10,2,FALSE))</f>
        <v/>
      </c>
      <c r="N647" s="30"/>
      <c r="O647" s="2"/>
      <c r="P647" s="31"/>
      <c r="Q647" s="54"/>
      <c r="R647" s="55" t="str">
        <f>IF(ISBLANK(Q647),"",VLOOKUP(Q647,configuration!$P$7:$Q$10,2,FALSE))</f>
        <v/>
      </c>
      <c r="S647" s="56"/>
      <c r="T647" s="55"/>
      <c r="U647" s="78"/>
      <c r="V647" s="76" t="str">
        <f t="shared" si="40"/>
        <v/>
      </c>
      <c r="W647" s="48" t="str">
        <f t="shared" si="40"/>
        <v/>
      </c>
      <c r="X647" s="48" t="str">
        <f t="shared" si="40"/>
        <v/>
      </c>
      <c r="Y647" s="48" t="str">
        <f t="shared" si="40"/>
        <v/>
      </c>
      <c r="Z647" s="49" t="str">
        <f t="shared" si="42"/>
        <v/>
      </c>
      <c r="AA647" s="50" t="str">
        <f t="shared" si="41"/>
        <v/>
      </c>
      <c r="AB647" s="48" t="str">
        <f t="shared" si="41"/>
        <v/>
      </c>
      <c r="AC647" s="48" t="str">
        <f t="shared" si="41"/>
        <v/>
      </c>
      <c r="AD647" s="48" t="str">
        <f t="shared" si="41"/>
        <v/>
      </c>
      <c r="AE647" s="48" t="str">
        <f t="shared" si="43"/>
        <v/>
      </c>
    </row>
    <row r="648" spans="1:31" x14ac:dyDescent="0.25">
      <c r="A648" s="2"/>
      <c r="B648" s="2"/>
      <c r="C648" s="2"/>
      <c r="D648" s="2" t="str">
        <f>IF(ISBLANK(C648),"",VLOOKUP(C648,configuration!$G$7:$H$10,2,FALSE))</f>
        <v/>
      </c>
      <c r="E648" s="2"/>
      <c r="F648" s="2"/>
      <c r="G648" s="2"/>
      <c r="H648" s="2" t="str">
        <f>IF(ISBLANK(G648),"",VLOOKUP(G648,configuration!$J$7:$K$10,2,FALSE))</f>
        <v/>
      </c>
      <c r="I648" s="30"/>
      <c r="J648" s="2"/>
      <c r="K648" s="31"/>
      <c r="L648" s="35"/>
      <c r="M648" s="2" t="str">
        <f>IF(ISBLANK(L648),"",VLOOKUP(L648,configuration!$M$7:$N$10,2,FALSE))</f>
        <v/>
      </c>
      <c r="N648" s="30"/>
      <c r="O648" s="2"/>
      <c r="P648" s="31"/>
      <c r="Q648" s="54"/>
      <c r="R648" s="55" t="str">
        <f>IF(ISBLANK(Q648),"",VLOOKUP(Q648,configuration!$P$7:$Q$10,2,FALSE))</f>
        <v/>
      </c>
      <c r="S648" s="56"/>
      <c r="T648" s="55"/>
      <c r="U648" s="78"/>
      <c r="V648" s="76" t="str">
        <f t="shared" si="40"/>
        <v/>
      </c>
      <c r="W648" s="48" t="str">
        <f t="shared" si="40"/>
        <v/>
      </c>
      <c r="X648" s="48" t="str">
        <f t="shared" si="40"/>
        <v/>
      </c>
      <c r="Y648" s="48" t="str">
        <f t="shared" si="40"/>
        <v/>
      </c>
      <c r="Z648" s="49" t="str">
        <f t="shared" si="42"/>
        <v/>
      </c>
      <c r="AA648" s="50" t="str">
        <f t="shared" si="41"/>
        <v/>
      </c>
      <c r="AB648" s="48" t="str">
        <f t="shared" si="41"/>
        <v/>
      </c>
      <c r="AC648" s="48" t="str">
        <f t="shared" si="41"/>
        <v/>
      </c>
      <c r="AD648" s="48" t="str">
        <f t="shared" si="41"/>
        <v/>
      </c>
      <c r="AE648" s="48" t="str">
        <f t="shared" si="43"/>
        <v/>
      </c>
    </row>
    <row r="649" spans="1:31" x14ac:dyDescent="0.25">
      <c r="A649" s="2"/>
      <c r="B649" s="2"/>
      <c r="C649" s="2"/>
      <c r="D649" s="2" t="str">
        <f>IF(ISBLANK(C649),"",VLOOKUP(C649,configuration!$G$7:$H$10,2,FALSE))</f>
        <v/>
      </c>
      <c r="E649" s="2"/>
      <c r="F649" s="2"/>
      <c r="G649" s="2"/>
      <c r="H649" s="2" t="str">
        <f>IF(ISBLANK(G649),"",VLOOKUP(G649,configuration!$J$7:$K$10,2,FALSE))</f>
        <v/>
      </c>
      <c r="I649" s="30"/>
      <c r="J649" s="2"/>
      <c r="K649" s="31"/>
      <c r="L649" s="35"/>
      <c r="M649" s="2" t="str">
        <f>IF(ISBLANK(L649),"",VLOOKUP(L649,configuration!$M$7:$N$10,2,FALSE))</f>
        <v/>
      </c>
      <c r="N649" s="30"/>
      <c r="O649" s="2"/>
      <c r="P649" s="31"/>
      <c r="Q649" s="54"/>
      <c r="R649" s="55" t="str">
        <f>IF(ISBLANK(Q649),"",VLOOKUP(Q649,configuration!$P$7:$Q$10,2,FALSE))</f>
        <v/>
      </c>
      <c r="S649" s="56"/>
      <c r="T649" s="55"/>
      <c r="U649" s="78"/>
      <c r="V649" s="76" t="str">
        <f t="shared" si="40"/>
        <v/>
      </c>
      <c r="W649" s="48" t="str">
        <f t="shared" si="40"/>
        <v/>
      </c>
      <c r="X649" s="48" t="str">
        <f t="shared" si="40"/>
        <v/>
      </c>
      <c r="Y649" s="48" t="str">
        <f t="shared" si="40"/>
        <v/>
      </c>
      <c r="Z649" s="49" t="str">
        <f t="shared" si="42"/>
        <v/>
      </c>
      <c r="AA649" s="50" t="str">
        <f t="shared" si="41"/>
        <v/>
      </c>
      <c r="AB649" s="48" t="str">
        <f t="shared" si="41"/>
        <v/>
      </c>
      <c r="AC649" s="48" t="str">
        <f t="shared" si="41"/>
        <v/>
      </c>
      <c r="AD649" s="48" t="str">
        <f t="shared" si="41"/>
        <v/>
      </c>
      <c r="AE649" s="48" t="str">
        <f t="shared" si="43"/>
        <v/>
      </c>
    </row>
    <row r="650" spans="1:31" x14ac:dyDescent="0.25">
      <c r="A650" s="2"/>
      <c r="B650" s="2"/>
      <c r="C650" s="2"/>
      <c r="D650" s="2" t="str">
        <f>IF(ISBLANK(C650),"",VLOOKUP(C650,configuration!$G$7:$H$10,2,FALSE))</f>
        <v/>
      </c>
      <c r="E650" s="2"/>
      <c r="F650" s="2"/>
      <c r="G650" s="2"/>
      <c r="H650" s="2" t="str">
        <f>IF(ISBLANK(G650),"",VLOOKUP(G650,configuration!$J$7:$K$10,2,FALSE))</f>
        <v/>
      </c>
      <c r="I650" s="30"/>
      <c r="J650" s="2"/>
      <c r="K650" s="31"/>
      <c r="L650" s="35"/>
      <c r="M650" s="2" t="str">
        <f>IF(ISBLANK(L650),"",VLOOKUP(L650,configuration!$M$7:$N$10,2,FALSE))</f>
        <v/>
      </c>
      <c r="N650" s="30"/>
      <c r="O650" s="2"/>
      <c r="P650" s="31"/>
      <c r="Q650" s="54"/>
      <c r="R650" s="55" t="str">
        <f>IF(ISBLANK(Q650),"",VLOOKUP(Q650,configuration!$P$7:$Q$10,2,FALSE))</f>
        <v/>
      </c>
      <c r="S650" s="56"/>
      <c r="T650" s="55"/>
      <c r="U650" s="78"/>
      <c r="V650" s="76" t="str">
        <f t="shared" si="40"/>
        <v/>
      </c>
      <c r="W650" s="48" t="str">
        <f t="shared" si="40"/>
        <v/>
      </c>
      <c r="X650" s="48" t="str">
        <f t="shared" si="40"/>
        <v/>
      </c>
      <c r="Y650" s="48" t="str">
        <f t="shared" si="40"/>
        <v/>
      </c>
      <c r="Z650" s="49" t="str">
        <f t="shared" si="42"/>
        <v/>
      </c>
      <c r="AA650" s="50" t="str">
        <f t="shared" si="41"/>
        <v/>
      </c>
      <c r="AB650" s="48" t="str">
        <f t="shared" si="41"/>
        <v/>
      </c>
      <c r="AC650" s="48" t="str">
        <f t="shared" si="41"/>
        <v/>
      </c>
      <c r="AD650" s="48" t="str">
        <f t="shared" si="41"/>
        <v/>
      </c>
      <c r="AE650" s="48" t="str">
        <f t="shared" si="43"/>
        <v/>
      </c>
    </row>
    <row r="651" spans="1:31" x14ac:dyDescent="0.25">
      <c r="A651" s="2"/>
      <c r="B651" s="2"/>
      <c r="C651" s="2"/>
      <c r="D651" s="2" t="str">
        <f>IF(ISBLANK(C651),"",VLOOKUP(C651,configuration!$G$7:$H$10,2,FALSE))</f>
        <v/>
      </c>
      <c r="E651" s="2"/>
      <c r="F651" s="2"/>
      <c r="G651" s="2"/>
      <c r="H651" s="2" t="str">
        <f>IF(ISBLANK(G651),"",VLOOKUP(G651,configuration!$J$7:$K$10,2,FALSE))</f>
        <v/>
      </c>
      <c r="I651" s="30"/>
      <c r="J651" s="2"/>
      <c r="K651" s="31"/>
      <c r="L651" s="35"/>
      <c r="M651" s="2" t="str">
        <f>IF(ISBLANK(L651),"",VLOOKUP(L651,configuration!$M$7:$N$10,2,FALSE))</f>
        <v/>
      </c>
      <c r="N651" s="30"/>
      <c r="O651" s="2"/>
      <c r="P651" s="31"/>
      <c r="Q651" s="54"/>
      <c r="R651" s="55" t="str">
        <f>IF(ISBLANK(Q651),"",VLOOKUP(Q651,configuration!$P$7:$Q$10,2,FALSE))</f>
        <v/>
      </c>
      <c r="S651" s="56"/>
      <c r="T651" s="55"/>
      <c r="U651" s="78"/>
      <c r="V651" s="76" t="str">
        <f t="shared" si="40"/>
        <v/>
      </c>
      <c r="W651" s="48" t="str">
        <f t="shared" si="40"/>
        <v/>
      </c>
      <c r="X651" s="48" t="str">
        <f t="shared" si="40"/>
        <v/>
      </c>
      <c r="Y651" s="48" t="str">
        <f t="shared" si="40"/>
        <v/>
      </c>
      <c r="Z651" s="49" t="str">
        <f t="shared" si="42"/>
        <v/>
      </c>
      <c r="AA651" s="50" t="str">
        <f t="shared" si="41"/>
        <v/>
      </c>
      <c r="AB651" s="48" t="str">
        <f t="shared" si="41"/>
        <v/>
      </c>
      <c r="AC651" s="48" t="str">
        <f t="shared" si="41"/>
        <v/>
      </c>
      <c r="AD651" s="48" t="str">
        <f t="shared" si="41"/>
        <v/>
      </c>
      <c r="AE651" s="48" t="str">
        <f t="shared" si="43"/>
        <v/>
      </c>
    </row>
    <row r="652" spans="1:31" x14ac:dyDescent="0.25">
      <c r="A652" s="2"/>
      <c r="B652" s="2"/>
      <c r="C652" s="2"/>
      <c r="D652" s="2" t="str">
        <f>IF(ISBLANK(C652),"",VLOOKUP(C652,configuration!$G$7:$H$10,2,FALSE))</f>
        <v/>
      </c>
      <c r="E652" s="2"/>
      <c r="F652" s="2"/>
      <c r="G652" s="2"/>
      <c r="H652" s="2" t="str">
        <f>IF(ISBLANK(G652),"",VLOOKUP(G652,configuration!$J$7:$K$10,2,FALSE))</f>
        <v/>
      </c>
      <c r="I652" s="30"/>
      <c r="J652" s="2"/>
      <c r="K652" s="31"/>
      <c r="L652" s="35"/>
      <c r="M652" s="2" t="str">
        <f>IF(ISBLANK(L652),"",VLOOKUP(L652,configuration!$M$7:$N$10,2,FALSE))</f>
        <v/>
      </c>
      <c r="N652" s="30"/>
      <c r="O652" s="2"/>
      <c r="P652" s="31"/>
      <c r="Q652" s="54"/>
      <c r="R652" s="55" t="str">
        <f>IF(ISBLANK(Q652),"",VLOOKUP(Q652,configuration!$P$7:$Q$10,2,FALSE))</f>
        <v/>
      </c>
      <c r="S652" s="56"/>
      <c r="T652" s="55"/>
      <c r="U652" s="78"/>
      <c r="V652" s="76" t="str">
        <f t="shared" si="40"/>
        <v/>
      </c>
      <c r="W652" s="48" t="str">
        <f t="shared" si="40"/>
        <v/>
      </c>
      <c r="X652" s="48" t="str">
        <f t="shared" si="40"/>
        <v/>
      </c>
      <c r="Y652" s="48" t="str">
        <f t="shared" si="40"/>
        <v/>
      </c>
      <c r="Z652" s="49" t="str">
        <f t="shared" si="42"/>
        <v/>
      </c>
      <c r="AA652" s="50" t="str">
        <f t="shared" si="41"/>
        <v/>
      </c>
      <c r="AB652" s="48" t="str">
        <f t="shared" si="41"/>
        <v/>
      </c>
      <c r="AC652" s="48" t="str">
        <f t="shared" si="41"/>
        <v/>
      </c>
      <c r="AD652" s="48" t="str">
        <f t="shared" si="41"/>
        <v/>
      </c>
      <c r="AE652" s="48" t="str">
        <f t="shared" si="43"/>
        <v/>
      </c>
    </row>
    <row r="653" spans="1:31" x14ac:dyDescent="0.25">
      <c r="A653" s="2"/>
      <c r="B653" s="2"/>
      <c r="C653" s="2"/>
      <c r="D653" s="2" t="str">
        <f>IF(ISBLANK(C653),"",VLOOKUP(C653,configuration!$G$7:$H$10,2,FALSE))</f>
        <v/>
      </c>
      <c r="E653" s="2"/>
      <c r="F653" s="2"/>
      <c r="G653" s="2"/>
      <c r="H653" s="2" t="str">
        <f>IF(ISBLANK(G653),"",VLOOKUP(G653,configuration!$J$7:$K$10,2,FALSE))</f>
        <v/>
      </c>
      <c r="I653" s="30"/>
      <c r="J653" s="2"/>
      <c r="K653" s="31"/>
      <c r="L653" s="35"/>
      <c r="M653" s="2" t="str">
        <f>IF(ISBLANK(L653),"",VLOOKUP(L653,configuration!$M$7:$N$10,2,FALSE))</f>
        <v/>
      </c>
      <c r="N653" s="30"/>
      <c r="O653" s="2"/>
      <c r="P653" s="31"/>
      <c r="Q653" s="54"/>
      <c r="R653" s="55" t="str">
        <f>IF(ISBLANK(Q653),"",VLOOKUP(Q653,configuration!$P$7:$Q$10,2,FALSE))</f>
        <v/>
      </c>
      <c r="S653" s="56"/>
      <c r="T653" s="55"/>
      <c r="U653" s="78"/>
      <c r="V653" s="76" t="str">
        <f t="shared" si="40"/>
        <v/>
      </c>
      <c r="W653" s="48" t="str">
        <f t="shared" si="40"/>
        <v/>
      </c>
      <c r="X653" s="48" t="str">
        <f t="shared" si="40"/>
        <v/>
      </c>
      <c r="Y653" s="48" t="str">
        <f t="shared" si="40"/>
        <v/>
      </c>
      <c r="Z653" s="49" t="str">
        <f t="shared" si="42"/>
        <v/>
      </c>
      <c r="AA653" s="50" t="str">
        <f t="shared" si="41"/>
        <v/>
      </c>
      <c r="AB653" s="48" t="str">
        <f t="shared" si="41"/>
        <v/>
      </c>
      <c r="AC653" s="48" t="str">
        <f t="shared" si="41"/>
        <v/>
      </c>
      <c r="AD653" s="48" t="str">
        <f t="shared" si="41"/>
        <v/>
      </c>
      <c r="AE653" s="48" t="str">
        <f t="shared" si="43"/>
        <v/>
      </c>
    </row>
    <row r="654" spans="1:31" x14ac:dyDescent="0.25">
      <c r="A654" s="2"/>
      <c r="B654" s="2"/>
      <c r="C654" s="2"/>
      <c r="D654" s="2" t="str">
        <f>IF(ISBLANK(C654),"",VLOOKUP(C654,configuration!$G$7:$H$10,2,FALSE))</f>
        <v/>
      </c>
      <c r="E654" s="2"/>
      <c r="F654" s="2"/>
      <c r="G654" s="2"/>
      <c r="H654" s="2" t="str">
        <f>IF(ISBLANK(G654),"",VLOOKUP(G654,configuration!$J$7:$K$10,2,FALSE))</f>
        <v/>
      </c>
      <c r="I654" s="30"/>
      <c r="J654" s="2"/>
      <c r="K654" s="31"/>
      <c r="L654" s="35"/>
      <c r="M654" s="2" t="str">
        <f>IF(ISBLANK(L654),"",VLOOKUP(L654,configuration!$M$7:$N$10,2,FALSE))</f>
        <v/>
      </c>
      <c r="N654" s="30"/>
      <c r="O654" s="2"/>
      <c r="P654" s="31"/>
      <c r="Q654" s="54"/>
      <c r="R654" s="55" t="str">
        <f>IF(ISBLANK(Q654),"",VLOOKUP(Q654,configuration!$P$7:$Q$10,2,FALSE))</f>
        <v/>
      </c>
      <c r="S654" s="56"/>
      <c r="T654" s="55"/>
      <c r="U654" s="78"/>
      <c r="V654" s="76" t="str">
        <f t="shared" si="40"/>
        <v/>
      </c>
      <c r="W654" s="48" t="str">
        <f t="shared" si="40"/>
        <v/>
      </c>
      <c r="X654" s="48" t="str">
        <f t="shared" si="40"/>
        <v/>
      </c>
      <c r="Y654" s="48" t="str">
        <f t="shared" si="40"/>
        <v/>
      </c>
      <c r="Z654" s="49" t="str">
        <f t="shared" si="42"/>
        <v/>
      </c>
      <c r="AA654" s="50" t="str">
        <f t="shared" si="41"/>
        <v/>
      </c>
      <c r="AB654" s="48" t="str">
        <f t="shared" si="41"/>
        <v/>
      </c>
      <c r="AC654" s="48" t="str">
        <f t="shared" si="41"/>
        <v/>
      </c>
      <c r="AD654" s="48" t="str">
        <f t="shared" si="41"/>
        <v/>
      </c>
      <c r="AE654" s="48" t="str">
        <f t="shared" si="43"/>
        <v/>
      </c>
    </row>
    <row r="655" spans="1:31" x14ac:dyDescent="0.25">
      <c r="A655" s="2"/>
      <c r="B655" s="2"/>
      <c r="C655" s="2"/>
      <c r="D655" s="2" t="str">
        <f>IF(ISBLANK(C655),"",VLOOKUP(C655,configuration!$G$7:$H$10,2,FALSE))</f>
        <v/>
      </c>
      <c r="E655" s="2"/>
      <c r="F655" s="2"/>
      <c r="G655" s="2"/>
      <c r="H655" s="2" t="str">
        <f>IF(ISBLANK(G655),"",VLOOKUP(G655,configuration!$J$7:$K$10,2,FALSE))</f>
        <v/>
      </c>
      <c r="I655" s="30"/>
      <c r="J655" s="2"/>
      <c r="K655" s="31"/>
      <c r="L655" s="35"/>
      <c r="M655" s="2" t="str">
        <f>IF(ISBLANK(L655),"",VLOOKUP(L655,configuration!$M$7:$N$10,2,FALSE))</f>
        <v/>
      </c>
      <c r="N655" s="30"/>
      <c r="O655" s="2"/>
      <c r="P655" s="31"/>
      <c r="Q655" s="54"/>
      <c r="R655" s="55" t="str">
        <f>IF(ISBLANK(Q655),"",VLOOKUP(Q655,configuration!$P$7:$Q$10,2,FALSE))</f>
        <v/>
      </c>
      <c r="S655" s="56"/>
      <c r="T655" s="55"/>
      <c r="U655" s="78"/>
      <c r="V655" s="76" t="str">
        <f t="shared" si="40"/>
        <v/>
      </c>
      <c r="W655" s="48" t="str">
        <f t="shared" si="40"/>
        <v/>
      </c>
      <c r="X655" s="48" t="str">
        <f t="shared" si="40"/>
        <v/>
      </c>
      <c r="Y655" s="48" t="str">
        <f t="shared" si="40"/>
        <v/>
      </c>
      <c r="Z655" s="49" t="str">
        <f t="shared" si="42"/>
        <v/>
      </c>
      <c r="AA655" s="50" t="str">
        <f t="shared" si="41"/>
        <v/>
      </c>
      <c r="AB655" s="48" t="str">
        <f t="shared" si="41"/>
        <v/>
      </c>
      <c r="AC655" s="48" t="str">
        <f t="shared" si="41"/>
        <v/>
      </c>
      <c r="AD655" s="48" t="str">
        <f t="shared" si="41"/>
        <v/>
      </c>
      <c r="AE655" s="48" t="str">
        <f t="shared" si="43"/>
        <v/>
      </c>
    </row>
    <row r="656" spans="1:31" x14ac:dyDescent="0.25">
      <c r="A656" s="2"/>
      <c r="B656" s="2"/>
      <c r="C656" s="2"/>
      <c r="D656" s="2" t="str">
        <f>IF(ISBLANK(C656),"",VLOOKUP(C656,configuration!$G$7:$H$10,2,FALSE))</f>
        <v/>
      </c>
      <c r="E656" s="2"/>
      <c r="F656" s="2"/>
      <c r="G656" s="2"/>
      <c r="H656" s="2" t="str">
        <f>IF(ISBLANK(G656),"",VLOOKUP(G656,configuration!$J$7:$K$10,2,FALSE))</f>
        <v/>
      </c>
      <c r="I656" s="30"/>
      <c r="J656" s="2"/>
      <c r="K656" s="31"/>
      <c r="L656" s="35"/>
      <c r="M656" s="2" t="str">
        <f>IF(ISBLANK(L656),"",VLOOKUP(L656,configuration!$M$7:$N$10,2,FALSE))</f>
        <v/>
      </c>
      <c r="N656" s="30"/>
      <c r="O656" s="2"/>
      <c r="P656" s="31"/>
      <c r="Q656" s="54"/>
      <c r="R656" s="55" t="str">
        <f>IF(ISBLANK(Q656),"",VLOOKUP(Q656,configuration!$P$7:$Q$10,2,FALSE))</f>
        <v/>
      </c>
      <c r="S656" s="56"/>
      <c r="T656" s="55"/>
      <c r="U656" s="78"/>
      <c r="V656" s="76" t="str">
        <f t="shared" si="40"/>
        <v/>
      </c>
      <c r="W656" s="48" t="str">
        <f t="shared" si="40"/>
        <v/>
      </c>
      <c r="X656" s="48" t="str">
        <f t="shared" si="40"/>
        <v/>
      </c>
      <c r="Y656" s="48" t="str">
        <f t="shared" si="40"/>
        <v/>
      </c>
      <c r="Z656" s="49" t="str">
        <f t="shared" si="42"/>
        <v/>
      </c>
      <c r="AA656" s="50" t="str">
        <f t="shared" si="41"/>
        <v/>
      </c>
      <c r="AB656" s="48" t="str">
        <f t="shared" si="41"/>
        <v/>
      </c>
      <c r="AC656" s="48" t="str">
        <f t="shared" si="41"/>
        <v/>
      </c>
      <c r="AD656" s="48" t="str">
        <f t="shared" si="41"/>
        <v/>
      </c>
      <c r="AE656" s="48" t="str">
        <f t="shared" si="43"/>
        <v/>
      </c>
    </row>
    <row r="657" spans="1:31" x14ac:dyDescent="0.25">
      <c r="A657" s="2"/>
      <c r="B657" s="2"/>
      <c r="C657" s="2"/>
      <c r="D657" s="2" t="str">
        <f>IF(ISBLANK(C657),"",VLOOKUP(C657,configuration!$G$7:$H$10,2,FALSE))</f>
        <v/>
      </c>
      <c r="E657" s="2"/>
      <c r="F657" s="2"/>
      <c r="G657" s="2"/>
      <c r="H657" s="2" t="str">
        <f>IF(ISBLANK(G657),"",VLOOKUP(G657,configuration!$J$7:$K$10,2,FALSE))</f>
        <v/>
      </c>
      <c r="I657" s="30"/>
      <c r="J657" s="2"/>
      <c r="K657" s="31"/>
      <c r="L657" s="35"/>
      <c r="M657" s="2" t="str">
        <f>IF(ISBLANK(L657),"",VLOOKUP(L657,configuration!$M$7:$N$10,2,FALSE))</f>
        <v/>
      </c>
      <c r="N657" s="30"/>
      <c r="O657" s="2"/>
      <c r="P657" s="31"/>
      <c r="Q657" s="54"/>
      <c r="R657" s="55" t="str">
        <f>IF(ISBLANK(Q657),"",VLOOKUP(Q657,configuration!$P$7:$Q$10,2,FALSE))</f>
        <v/>
      </c>
      <c r="S657" s="56"/>
      <c r="T657" s="55"/>
      <c r="U657" s="78"/>
      <c r="V657" s="76" t="str">
        <f t="shared" si="40"/>
        <v/>
      </c>
      <c r="W657" s="48" t="str">
        <f t="shared" si="40"/>
        <v/>
      </c>
      <c r="X657" s="48" t="str">
        <f t="shared" si="40"/>
        <v/>
      </c>
      <c r="Y657" s="48" t="str">
        <f t="shared" ref="V657:Y720" si="44">IF($G657=Y$4,1,"")</f>
        <v/>
      </c>
      <c r="Z657" s="49" t="str">
        <f t="shared" si="42"/>
        <v/>
      </c>
      <c r="AA657" s="50" t="str">
        <f t="shared" si="41"/>
        <v/>
      </c>
      <c r="AB657" s="48" t="str">
        <f t="shared" si="41"/>
        <v/>
      </c>
      <c r="AC657" s="48" t="str">
        <f t="shared" si="41"/>
        <v/>
      </c>
      <c r="AD657" s="48" t="str">
        <f t="shared" ref="AA657:AD720" si="45">IF($L657=AD$4,1,"")</f>
        <v/>
      </c>
      <c r="AE657" s="48" t="str">
        <f t="shared" si="43"/>
        <v/>
      </c>
    </row>
    <row r="658" spans="1:31" x14ac:dyDescent="0.25">
      <c r="A658" s="2"/>
      <c r="B658" s="2"/>
      <c r="C658" s="2"/>
      <c r="D658" s="2" t="str">
        <f>IF(ISBLANK(C658),"",VLOOKUP(C658,configuration!$G$7:$H$10,2,FALSE))</f>
        <v/>
      </c>
      <c r="E658" s="2"/>
      <c r="F658" s="2"/>
      <c r="G658" s="2"/>
      <c r="H658" s="2" t="str">
        <f>IF(ISBLANK(G658),"",VLOOKUP(G658,configuration!$J$7:$K$10,2,FALSE))</f>
        <v/>
      </c>
      <c r="I658" s="30"/>
      <c r="J658" s="2"/>
      <c r="K658" s="31"/>
      <c r="L658" s="35"/>
      <c r="M658" s="2" t="str">
        <f>IF(ISBLANK(L658),"",VLOOKUP(L658,configuration!$M$7:$N$10,2,FALSE))</f>
        <v/>
      </c>
      <c r="N658" s="30"/>
      <c r="O658" s="2"/>
      <c r="P658" s="31"/>
      <c r="Q658" s="54"/>
      <c r="R658" s="55" t="str">
        <f>IF(ISBLANK(Q658),"",VLOOKUP(Q658,configuration!$P$7:$Q$10,2,FALSE))</f>
        <v/>
      </c>
      <c r="S658" s="56"/>
      <c r="T658" s="55"/>
      <c r="U658" s="78"/>
      <c r="V658" s="76" t="str">
        <f t="shared" si="44"/>
        <v/>
      </c>
      <c r="W658" s="48" t="str">
        <f t="shared" si="44"/>
        <v/>
      </c>
      <c r="X658" s="48" t="str">
        <f t="shared" si="44"/>
        <v/>
      </c>
      <c r="Y658" s="48" t="str">
        <f t="shared" si="44"/>
        <v/>
      </c>
      <c r="Z658" s="49" t="str">
        <f t="shared" si="42"/>
        <v/>
      </c>
      <c r="AA658" s="50" t="str">
        <f t="shared" si="45"/>
        <v/>
      </c>
      <c r="AB658" s="48" t="str">
        <f t="shared" si="45"/>
        <v/>
      </c>
      <c r="AC658" s="48" t="str">
        <f t="shared" si="45"/>
        <v/>
      </c>
      <c r="AD658" s="48" t="str">
        <f t="shared" si="45"/>
        <v/>
      </c>
      <c r="AE658" s="48" t="str">
        <f t="shared" si="43"/>
        <v/>
      </c>
    </row>
    <row r="659" spans="1:31" x14ac:dyDescent="0.25">
      <c r="A659" s="2"/>
      <c r="B659" s="2"/>
      <c r="C659" s="2"/>
      <c r="D659" s="2" t="str">
        <f>IF(ISBLANK(C659),"",VLOOKUP(C659,configuration!$G$7:$H$10,2,FALSE))</f>
        <v/>
      </c>
      <c r="E659" s="2"/>
      <c r="F659" s="2"/>
      <c r="G659" s="2"/>
      <c r="H659" s="2" t="str">
        <f>IF(ISBLANK(G659),"",VLOOKUP(G659,configuration!$J$7:$K$10,2,FALSE))</f>
        <v/>
      </c>
      <c r="I659" s="30"/>
      <c r="J659" s="2"/>
      <c r="K659" s="31"/>
      <c r="L659" s="35"/>
      <c r="M659" s="2" t="str">
        <f>IF(ISBLANK(L659),"",VLOOKUP(L659,configuration!$M$7:$N$10,2,FALSE))</f>
        <v/>
      </c>
      <c r="N659" s="30"/>
      <c r="O659" s="2"/>
      <c r="P659" s="31"/>
      <c r="Q659" s="54"/>
      <c r="R659" s="55" t="str">
        <f>IF(ISBLANK(Q659),"",VLOOKUP(Q659,configuration!$P$7:$Q$10,2,FALSE))</f>
        <v/>
      </c>
      <c r="S659" s="56"/>
      <c r="T659" s="55"/>
      <c r="U659" s="78"/>
      <c r="V659" s="76" t="str">
        <f t="shared" si="44"/>
        <v/>
      </c>
      <c r="W659" s="48" t="str">
        <f t="shared" si="44"/>
        <v/>
      </c>
      <c r="X659" s="48" t="str">
        <f t="shared" si="44"/>
        <v/>
      </c>
      <c r="Y659" s="48" t="str">
        <f t="shared" si="44"/>
        <v/>
      </c>
      <c r="Z659" s="49" t="str">
        <f t="shared" si="42"/>
        <v/>
      </c>
      <c r="AA659" s="50" t="str">
        <f t="shared" si="45"/>
        <v/>
      </c>
      <c r="AB659" s="48" t="str">
        <f t="shared" si="45"/>
        <v/>
      </c>
      <c r="AC659" s="48" t="str">
        <f t="shared" si="45"/>
        <v/>
      </c>
      <c r="AD659" s="48" t="str">
        <f t="shared" si="45"/>
        <v/>
      </c>
      <c r="AE659" s="48" t="str">
        <f t="shared" si="43"/>
        <v/>
      </c>
    </row>
    <row r="660" spans="1:31" x14ac:dyDescent="0.25">
      <c r="A660" s="2"/>
      <c r="B660" s="2"/>
      <c r="C660" s="2"/>
      <c r="D660" s="2" t="str">
        <f>IF(ISBLANK(C660),"",VLOOKUP(C660,configuration!$G$7:$H$10,2,FALSE))</f>
        <v/>
      </c>
      <c r="E660" s="2"/>
      <c r="F660" s="2"/>
      <c r="G660" s="2"/>
      <c r="H660" s="2" t="str">
        <f>IF(ISBLANK(G660),"",VLOOKUP(G660,configuration!$J$7:$K$10,2,FALSE))</f>
        <v/>
      </c>
      <c r="I660" s="30"/>
      <c r="J660" s="2"/>
      <c r="K660" s="31"/>
      <c r="L660" s="35"/>
      <c r="M660" s="2" t="str">
        <f>IF(ISBLANK(L660),"",VLOOKUP(L660,configuration!$M$7:$N$10,2,FALSE))</f>
        <v/>
      </c>
      <c r="N660" s="30"/>
      <c r="O660" s="2"/>
      <c r="P660" s="31"/>
      <c r="Q660" s="54"/>
      <c r="R660" s="55" t="str">
        <f>IF(ISBLANK(Q660),"",VLOOKUP(Q660,configuration!$P$7:$Q$10,2,FALSE))</f>
        <v/>
      </c>
      <c r="S660" s="56"/>
      <c r="T660" s="55"/>
      <c r="U660" s="78"/>
      <c r="V660" s="76" t="str">
        <f t="shared" si="44"/>
        <v/>
      </c>
      <c r="W660" s="48" t="str">
        <f t="shared" si="44"/>
        <v/>
      </c>
      <c r="X660" s="48" t="str">
        <f t="shared" si="44"/>
        <v/>
      </c>
      <c r="Y660" s="48" t="str">
        <f t="shared" si="44"/>
        <v/>
      </c>
      <c r="Z660" s="49" t="str">
        <f t="shared" si="42"/>
        <v/>
      </c>
      <c r="AA660" s="50" t="str">
        <f t="shared" si="45"/>
        <v/>
      </c>
      <c r="AB660" s="48" t="str">
        <f t="shared" si="45"/>
        <v/>
      </c>
      <c r="AC660" s="48" t="str">
        <f t="shared" si="45"/>
        <v/>
      </c>
      <c r="AD660" s="48" t="str">
        <f t="shared" si="45"/>
        <v/>
      </c>
      <c r="AE660" s="48" t="str">
        <f t="shared" si="43"/>
        <v/>
      </c>
    </row>
    <row r="661" spans="1:31" x14ac:dyDescent="0.25">
      <c r="A661" s="2"/>
      <c r="B661" s="2"/>
      <c r="C661" s="2"/>
      <c r="D661" s="2" t="str">
        <f>IF(ISBLANK(C661),"",VLOOKUP(C661,configuration!$G$7:$H$10,2,FALSE))</f>
        <v/>
      </c>
      <c r="E661" s="2"/>
      <c r="F661" s="2"/>
      <c r="G661" s="2"/>
      <c r="H661" s="2" t="str">
        <f>IF(ISBLANK(G661),"",VLOOKUP(G661,configuration!$J$7:$K$10,2,FALSE))</f>
        <v/>
      </c>
      <c r="I661" s="30"/>
      <c r="J661" s="2"/>
      <c r="K661" s="31"/>
      <c r="L661" s="35"/>
      <c r="M661" s="2" t="str">
        <f>IF(ISBLANK(L661),"",VLOOKUP(L661,configuration!$M$7:$N$10,2,FALSE))</f>
        <v/>
      </c>
      <c r="N661" s="30"/>
      <c r="O661" s="2"/>
      <c r="P661" s="31"/>
      <c r="Q661" s="54"/>
      <c r="R661" s="55" t="str">
        <f>IF(ISBLANK(Q661),"",VLOOKUP(Q661,configuration!$P$7:$Q$10,2,FALSE))</f>
        <v/>
      </c>
      <c r="S661" s="56"/>
      <c r="T661" s="55"/>
      <c r="U661" s="78"/>
      <c r="V661" s="76" t="str">
        <f t="shared" si="44"/>
        <v/>
      </c>
      <c r="W661" s="48" t="str">
        <f t="shared" si="44"/>
        <v/>
      </c>
      <c r="X661" s="48" t="str">
        <f t="shared" si="44"/>
        <v/>
      </c>
      <c r="Y661" s="48" t="str">
        <f t="shared" si="44"/>
        <v/>
      </c>
      <c r="Z661" s="49" t="str">
        <f t="shared" si="42"/>
        <v/>
      </c>
      <c r="AA661" s="50" t="str">
        <f t="shared" si="45"/>
        <v/>
      </c>
      <c r="AB661" s="48" t="str">
        <f t="shared" si="45"/>
        <v/>
      </c>
      <c r="AC661" s="48" t="str">
        <f t="shared" si="45"/>
        <v/>
      </c>
      <c r="AD661" s="48" t="str">
        <f t="shared" si="45"/>
        <v/>
      </c>
      <c r="AE661" s="48" t="str">
        <f t="shared" si="43"/>
        <v/>
      </c>
    </row>
    <row r="662" spans="1:31" x14ac:dyDescent="0.25">
      <c r="A662" s="2"/>
      <c r="B662" s="2"/>
      <c r="C662" s="2"/>
      <c r="D662" s="2" t="str">
        <f>IF(ISBLANK(C662),"",VLOOKUP(C662,configuration!$G$7:$H$10,2,FALSE))</f>
        <v/>
      </c>
      <c r="E662" s="2"/>
      <c r="F662" s="2"/>
      <c r="G662" s="2"/>
      <c r="H662" s="2" t="str">
        <f>IF(ISBLANK(G662),"",VLOOKUP(G662,configuration!$J$7:$K$10,2,FALSE))</f>
        <v/>
      </c>
      <c r="I662" s="30"/>
      <c r="J662" s="2"/>
      <c r="K662" s="31"/>
      <c r="L662" s="35"/>
      <c r="M662" s="2" t="str">
        <f>IF(ISBLANK(L662),"",VLOOKUP(L662,configuration!$M$7:$N$10,2,FALSE))</f>
        <v/>
      </c>
      <c r="N662" s="30"/>
      <c r="O662" s="2"/>
      <c r="P662" s="31"/>
      <c r="Q662" s="54"/>
      <c r="R662" s="55" t="str">
        <f>IF(ISBLANK(Q662),"",VLOOKUP(Q662,configuration!$P$7:$Q$10,2,FALSE))</f>
        <v/>
      </c>
      <c r="S662" s="56"/>
      <c r="T662" s="55"/>
      <c r="U662" s="78"/>
      <c r="V662" s="76" t="str">
        <f t="shared" si="44"/>
        <v/>
      </c>
      <c r="W662" s="48" t="str">
        <f t="shared" si="44"/>
        <v/>
      </c>
      <c r="X662" s="48" t="str">
        <f t="shared" si="44"/>
        <v/>
      </c>
      <c r="Y662" s="48" t="str">
        <f t="shared" si="44"/>
        <v/>
      </c>
      <c r="Z662" s="49" t="str">
        <f t="shared" si="42"/>
        <v/>
      </c>
      <c r="AA662" s="50" t="str">
        <f t="shared" si="45"/>
        <v/>
      </c>
      <c r="AB662" s="48" t="str">
        <f t="shared" si="45"/>
        <v/>
      </c>
      <c r="AC662" s="48" t="str">
        <f t="shared" si="45"/>
        <v/>
      </c>
      <c r="AD662" s="48" t="str">
        <f t="shared" si="45"/>
        <v/>
      </c>
      <c r="AE662" s="48" t="str">
        <f t="shared" si="43"/>
        <v/>
      </c>
    </row>
    <row r="663" spans="1:31" x14ac:dyDescent="0.25">
      <c r="A663" s="2"/>
      <c r="B663" s="2"/>
      <c r="C663" s="2"/>
      <c r="D663" s="2" t="str">
        <f>IF(ISBLANK(C663),"",VLOOKUP(C663,configuration!$G$7:$H$10,2,FALSE))</f>
        <v/>
      </c>
      <c r="E663" s="2"/>
      <c r="F663" s="2"/>
      <c r="G663" s="2"/>
      <c r="H663" s="2" t="str">
        <f>IF(ISBLANK(G663),"",VLOOKUP(G663,configuration!$J$7:$K$10,2,FALSE))</f>
        <v/>
      </c>
      <c r="I663" s="30"/>
      <c r="J663" s="2"/>
      <c r="K663" s="31"/>
      <c r="L663" s="35"/>
      <c r="M663" s="2" t="str">
        <f>IF(ISBLANK(L663),"",VLOOKUP(L663,configuration!$M$7:$N$10,2,FALSE))</f>
        <v/>
      </c>
      <c r="N663" s="30"/>
      <c r="O663" s="2"/>
      <c r="P663" s="31"/>
      <c r="Q663" s="54"/>
      <c r="R663" s="55" t="str">
        <f>IF(ISBLANK(Q663),"",VLOOKUP(Q663,configuration!$P$7:$Q$10,2,FALSE))</f>
        <v/>
      </c>
      <c r="S663" s="56"/>
      <c r="T663" s="55"/>
      <c r="U663" s="78"/>
      <c r="V663" s="76" t="str">
        <f t="shared" si="44"/>
        <v/>
      </c>
      <c r="W663" s="48" t="str">
        <f t="shared" si="44"/>
        <v/>
      </c>
      <c r="X663" s="48" t="str">
        <f t="shared" si="44"/>
        <v/>
      </c>
      <c r="Y663" s="48" t="str">
        <f t="shared" si="44"/>
        <v/>
      </c>
      <c r="Z663" s="49" t="str">
        <f t="shared" si="42"/>
        <v/>
      </c>
      <c r="AA663" s="50" t="str">
        <f t="shared" si="45"/>
        <v/>
      </c>
      <c r="AB663" s="48" t="str">
        <f t="shared" si="45"/>
        <v/>
      </c>
      <c r="AC663" s="48" t="str">
        <f t="shared" si="45"/>
        <v/>
      </c>
      <c r="AD663" s="48" t="str">
        <f t="shared" si="45"/>
        <v/>
      </c>
      <c r="AE663" s="48" t="str">
        <f t="shared" si="43"/>
        <v/>
      </c>
    </row>
    <row r="664" spans="1:31" x14ac:dyDescent="0.25">
      <c r="A664" s="2"/>
      <c r="B664" s="2"/>
      <c r="C664" s="2"/>
      <c r="D664" s="2" t="str">
        <f>IF(ISBLANK(C664),"",VLOOKUP(C664,configuration!$G$7:$H$10,2,FALSE))</f>
        <v/>
      </c>
      <c r="E664" s="2"/>
      <c r="F664" s="2"/>
      <c r="G664" s="2"/>
      <c r="H664" s="2" t="str">
        <f>IF(ISBLANK(G664),"",VLOOKUP(G664,configuration!$J$7:$K$10,2,FALSE))</f>
        <v/>
      </c>
      <c r="I664" s="30"/>
      <c r="J664" s="2"/>
      <c r="K664" s="31"/>
      <c r="L664" s="35"/>
      <c r="M664" s="2" t="str">
        <f>IF(ISBLANK(L664),"",VLOOKUP(L664,configuration!$M$7:$N$10,2,FALSE))</f>
        <v/>
      </c>
      <c r="N664" s="30"/>
      <c r="O664" s="2"/>
      <c r="P664" s="31"/>
      <c r="Q664" s="54"/>
      <c r="R664" s="55" t="str">
        <f>IF(ISBLANK(Q664),"",VLOOKUP(Q664,configuration!$P$7:$Q$10,2,FALSE))</f>
        <v/>
      </c>
      <c r="S664" s="56"/>
      <c r="T664" s="55"/>
      <c r="U664" s="78"/>
      <c r="V664" s="76" t="str">
        <f t="shared" si="44"/>
        <v/>
      </c>
      <c r="W664" s="48" t="str">
        <f t="shared" si="44"/>
        <v/>
      </c>
      <c r="X664" s="48" t="str">
        <f t="shared" si="44"/>
        <v/>
      </c>
      <c r="Y664" s="48" t="str">
        <f t="shared" si="44"/>
        <v/>
      </c>
      <c r="Z664" s="49" t="str">
        <f t="shared" si="42"/>
        <v/>
      </c>
      <c r="AA664" s="50" t="str">
        <f t="shared" si="45"/>
        <v/>
      </c>
      <c r="AB664" s="48" t="str">
        <f t="shared" si="45"/>
        <v/>
      </c>
      <c r="AC664" s="48" t="str">
        <f t="shared" si="45"/>
        <v/>
      </c>
      <c r="AD664" s="48" t="str">
        <f t="shared" si="45"/>
        <v/>
      </c>
      <c r="AE664" s="48" t="str">
        <f t="shared" si="43"/>
        <v/>
      </c>
    </row>
    <row r="665" spans="1:31" x14ac:dyDescent="0.25">
      <c r="A665" s="2"/>
      <c r="B665" s="2"/>
      <c r="C665" s="2"/>
      <c r="D665" s="2" t="str">
        <f>IF(ISBLANK(C665),"",VLOOKUP(C665,configuration!$G$7:$H$10,2,FALSE))</f>
        <v/>
      </c>
      <c r="E665" s="2"/>
      <c r="F665" s="2"/>
      <c r="G665" s="2"/>
      <c r="H665" s="2" t="str">
        <f>IF(ISBLANK(G665),"",VLOOKUP(G665,configuration!$J$7:$K$10,2,FALSE))</f>
        <v/>
      </c>
      <c r="I665" s="30"/>
      <c r="J665" s="2"/>
      <c r="K665" s="31"/>
      <c r="L665" s="35"/>
      <c r="M665" s="2" t="str">
        <f>IF(ISBLANK(L665),"",VLOOKUP(L665,configuration!$M$7:$N$10,2,FALSE))</f>
        <v/>
      </c>
      <c r="N665" s="30"/>
      <c r="O665" s="2"/>
      <c r="P665" s="31"/>
      <c r="Q665" s="54"/>
      <c r="R665" s="55" t="str">
        <f>IF(ISBLANK(Q665),"",VLOOKUP(Q665,configuration!$P$7:$Q$10,2,FALSE))</f>
        <v/>
      </c>
      <c r="S665" s="56"/>
      <c r="T665" s="55"/>
      <c r="U665" s="78"/>
      <c r="V665" s="76" t="str">
        <f t="shared" si="44"/>
        <v/>
      </c>
      <c r="W665" s="48" t="str">
        <f t="shared" si="44"/>
        <v/>
      </c>
      <c r="X665" s="48" t="str">
        <f t="shared" si="44"/>
        <v/>
      </c>
      <c r="Y665" s="48" t="str">
        <f t="shared" si="44"/>
        <v/>
      </c>
      <c r="Z665" s="49" t="str">
        <f t="shared" si="42"/>
        <v/>
      </c>
      <c r="AA665" s="50" t="str">
        <f t="shared" si="45"/>
        <v/>
      </c>
      <c r="AB665" s="48" t="str">
        <f t="shared" si="45"/>
        <v/>
      </c>
      <c r="AC665" s="48" t="str">
        <f t="shared" si="45"/>
        <v/>
      </c>
      <c r="AD665" s="48" t="str">
        <f t="shared" si="45"/>
        <v/>
      </c>
      <c r="AE665" s="48" t="str">
        <f t="shared" si="43"/>
        <v/>
      </c>
    </row>
    <row r="666" spans="1:31" x14ac:dyDescent="0.25">
      <c r="A666" s="2"/>
      <c r="B666" s="2"/>
      <c r="C666" s="2"/>
      <c r="D666" s="2" t="str">
        <f>IF(ISBLANK(C666),"",VLOOKUP(C666,configuration!$G$7:$H$10,2,FALSE))</f>
        <v/>
      </c>
      <c r="E666" s="2"/>
      <c r="F666" s="2"/>
      <c r="G666" s="2"/>
      <c r="H666" s="2" t="str">
        <f>IF(ISBLANK(G666),"",VLOOKUP(G666,configuration!$J$7:$K$10,2,FALSE))</f>
        <v/>
      </c>
      <c r="I666" s="30"/>
      <c r="J666" s="2"/>
      <c r="K666" s="31"/>
      <c r="L666" s="35"/>
      <c r="M666" s="2" t="str">
        <f>IF(ISBLANK(L666),"",VLOOKUP(L666,configuration!$M$7:$N$10,2,FALSE))</f>
        <v/>
      </c>
      <c r="N666" s="30"/>
      <c r="O666" s="2"/>
      <c r="P666" s="31"/>
      <c r="Q666" s="54"/>
      <c r="R666" s="55" t="str">
        <f>IF(ISBLANK(Q666),"",VLOOKUP(Q666,configuration!$P$7:$Q$10,2,FALSE))</f>
        <v/>
      </c>
      <c r="S666" s="56"/>
      <c r="T666" s="55"/>
      <c r="U666" s="78"/>
      <c r="V666" s="76" t="str">
        <f t="shared" si="44"/>
        <v/>
      </c>
      <c r="W666" s="48" t="str">
        <f t="shared" si="44"/>
        <v/>
      </c>
      <c r="X666" s="48" t="str">
        <f t="shared" si="44"/>
        <v/>
      </c>
      <c r="Y666" s="48" t="str">
        <f t="shared" si="44"/>
        <v/>
      </c>
      <c r="Z666" s="49" t="str">
        <f t="shared" si="42"/>
        <v/>
      </c>
      <c r="AA666" s="50" t="str">
        <f t="shared" si="45"/>
        <v/>
      </c>
      <c r="AB666" s="48" t="str">
        <f t="shared" si="45"/>
        <v/>
      </c>
      <c r="AC666" s="48" t="str">
        <f t="shared" si="45"/>
        <v/>
      </c>
      <c r="AD666" s="48" t="str">
        <f t="shared" si="45"/>
        <v/>
      </c>
      <c r="AE666" s="48" t="str">
        <f t="shared" si="43"/>
        <v/>
      </c>
    </row>
    <row r="667" spans="1:31" x14ac:dyDescent="0.25">
      <c r="A667" s="2"/>
      <c r="B667" s="2"/>
      <c r="C667" s="2"/>
      <c r="D667" s="2" t="str">
        <f>IF(ISBLANK(C667),"",VLOOKUP(C667,configuration!$G$7:$H$10,2,FALSE))</f>
        <v/>
      </c>
      <c r="E667" s="2"/>
      <c r="F667" s="2"/>
      <c r="G667" s="2"/>
      <c r="H667" s="2" t="str">
        <f>IF(ISBLANK(G667),"",VLOOKUP(G667,configuration!$J$7:$K$10,2,FALSE))</f>
        <v/>
      </c>
      <c r="I667" s="30"/>
      <c r="J667" s="2"/>
      <c r="K667" s="31"/>
      <c r="L667" s="35"/>
      <c r="M667" s="2" t="str">
        <f>IF(ISBLANK(L667),"",VLOOKUP(L667,configuration!$M$7:$N$10,2,FALSE))</f>
        <v/>
      </c>
      <c r="N667" s="30"/>
      <c r="O667" s="2"/>
      <c r="P667" s="31"/>
      <c r="Q667" s="54"/>
      <c r="R667" s="55" t="str">
        <f>IF(ISBLANK(Q667),"",VLOOKUP(Q667,configuration!$P$7:$Q$10,2,FALSE))</f>
        <v/>
      </c>
      <c r="S667" s="56"/>
      <c r="T667" s="55"/>
      <c r="U667" s="78"/>
      <c r="V667" s="76" t="str">
        <f t="shared" si="44"/>
        <v/>
      </c>
      <c r="W667" s="48" t="str">
        <f t="shared" si="44"/>
        <v/>
      </c>
      <c r="X667" s="48" t="str">
        <f t="shared" si="44"/>
        <v/>
      </c>
      <c r="Y667" s="48" t="str">
        <f t="shared" si="44"/>
        <v/>
      </c>
      <c r="Z667" s="49" t="str">
        <f t="shared" si="42"/>
        <v/>
      </c>
      <c r="AA667" s="50" t="str">
        <f t="shared" si="45"/>
        <v/>
      </c>
      <c r="AB667" s="48" t="str">
        <f t="shared" si="45"/>
        <v/>
      </c>
      <c r="AC667" s="48" t="str">
        <f t="shared" si="45"/>
        <v/>
      </c>
      <c r="AD667" s="48" t="str">
        <f t="shared" si="45"/>
        <v/>
      </c>
      <c r="AE667" s="48" t="str">
        <f t="shared" si="43"/>
        <v/>
      </c>
    </row>
    <row r="668" spans="1:31" x14ac:dyDescent="0.25">
      <c r="A668" s="2"/>
      <c r="B668" s="2"/>
      <c r="C668" s="2"/>
      <c r="D668" s="2" t="str">
        <f>IF(ISBLANK(C668),"",VLOOKUP(C668,configuration!$G$7:$H$10,2,FALSE))</f>
        <v/>
      </c>
      <c r="E668" s="2"/>
      <c r="F668" s="2"/>
      <c r="G668" s="2"/>
      <c r="H668" s="2" t="str">
        <f>IF(ISBLANK(G668),"",VLOOKUP(G668,configuration!$J$7:$K$10,2,FALSE))</f>
        <v/>
      </c>
      <c r="I668" s="30"/>
      <c r="J668" s="2"/>
      <c r="K668" s="31"/>
      <c r="L668" s="35"/>
      <c r="M668" s="2" t="str">
        <f>IF(ISBLANK(L668),"",VLOOKUP(L668,configuration!$M$7:$N$10,2,FALSE))</f>
        <v/>
      </c>
      <c r="N668" s="30"/>
      <c r="O668" s="2"/>
      <c r="P668" s="31"/>
      <c r="Q668" s="54"/>
      <c r="R668" s="55" t="str">
        <f>IF(ISBLANK(Q668),"",VLOOKUP(Q668,configuration!$P$7:$Q$10,2,FALSE))</f>
        <v/>
      </c>
      <c r="S668" s="56"/>
      <c r="T668" s="55"/>
      <c r="U668" s="78"/>
      <c r="V668" s="76" t="str">
        <f t="shared" si="44"/>
        <v/>
      </c>
      <c r="W668" s="48" t="str">
        <f t="shared" si="44"/>
        <v/>
      </c>
      <c r="X668" s="48" t="str">
        <f t="shared" si="44"/>
        <v/>
      </c>
      <c r="Y668" s="48" t="str">
        <f t="shared" si="44"/>
        <v/>
      </c>
      <c r="Z668" s="49" t="str">
        <f t="shared" si="42"/>
        <v/>
      </c>
      <c r="AA668" s="50" t="str">
        <f t="shared" si="45"/>
        <v/>
      </c>
      <c r="AB668" s="48" t="str">
        <f t="shared" si="45"/>
        <v/>
      </c>
      <c r="AC668" s="48" t="str">
        <f t="shared" si="45"/>
        <v/>
      </c>
      <c r="AD668" s="48" t="str">
        <f t="shared" si="45"/>
        <v/>
      </c>
      <c r="AE668" s="48" t="str">
        <f t="shared" si="43"/>
        <v/>
      </c>
    </row>
    <row r="669" spans="1:31" x14ac:dyDescent="0.25">
      <c r="A669" s="2"/>
      <c r="B669" s="2"/>
      <c r="C669" s="2"/>
      <c r="D669" s="2" t="str">
        <f>IF(ISBLANK(C669),"",VLOOKUP(C669,configuration!$G$7:$H$10,2,FALSE))</f>
        <v/>
      </c>
      <c r="E669" s="2"/>
      <c r="F669" s="2"/>
      <c r="G669" s="2"/>
      <c r="H669" s="2" t="str">
        <f>IF(ISBLANK(G669),"",VLOOKUP(G669,configuration!$J$7:$K$10,2,FALSE))</f>
        <v/>
      </c>
      <c r="I669" s="30"/>
      <c r="J669" s="2"/>
      <c r="K669" s="31"/>
      <c r="L669" s="35"/>
      <c r="M669" s="2" t="str">
        <f>IF(ISBLANK(L669),"",VLOOKUP(L669,configuration!$M$7:$N$10,2,FALSE))</f>
        <v/>
      </c>
      <c r="N669" s="30"/>
      <c r="O669" s="2"/>
      <c r="P669" s="31"/>
      <c r="Q669" s="54"/>
      <c r="R669" s="55" t="str">
        <f>IF(ISBLANK(Q669),"",VLOOKUP(Q669,configuration!$P$7:$Q$10,2,FALSE))</f>
        <v/>
      </c>
      <c r="S669" s="56"/>
      <c r="T669" s="55"/>
      <c r="U669" s="78"/>
      <c r="V669" s="76" t="str">
        <f t="shared" si="44"/>
        <v/>
      </c>
      <c r="W669" s="48" t="str">
        <f t="shared" si="44"/>
        <v/>
      </c>
      <c r="X669" s="48" t="str">
        <f t="shared" si="44"/>
        <v/>
      </c>
      <c r="Y669" s="48" t="str">
        <f t="shared" si="44"/>
        <v/>
      </c>
      <c r="Z669" s="49" t="str">
        <f t="shared" si="42"/>
        <v/>
      </c>
      <c r="AA669" s="50" t="str">
        <f t="shared" si="45"/>
        <v/>
      </c>
      <c r="AB669" s="48" t="str">
        <f t="shared" si="45"/>
        <v/>
      </c>
      <c r="AC669" s="48" t="str">
        <f t="shared" si="45"/>
        <v/>
      </c>
      <c r="AD669" s="48" t="str">
        <f t="shared" si="45"/>
        <v/>
      </c>
      <c r="AE669" s="48" t="str">
        <f t="shared" si="43"/>
        <v/>
      </c>
    </row>
    <row r="670" spans="1:31" x14ac:dyDescent="0.25">
      <c r="A670" s="2"/>
      <c r="B670" s="2"/>
      <c r="C670" s="2"/>
      <c r="D670" s="2" t="str">
        <f>IF(ISBLANK(C670),"",VLOOKUP(C670,configuration!$G$7:$H$10,2,FALSE))</f>
        <v/>
      </c>
      <c r="E670" s="2"/>
      <c r="F670" s="2"/>
      <c r="G670" s="2"/>
      <c r="H670" s="2" t="str">
        <f>IF(ISBLANK(G670),"",VLOOKUP(G670,configuration!$J$7:$K$10,2,FALSE))</f>
        <v/>
      </c>
      <c r="I670" s="30"/>
      <c r="J670" s="2"/>
      <c r="K670" s="31"/>
      <c r="L670" s="35"/>
      <c r="M670" s="2" t="str">
        <f>IF(ISBLANK(L670),"",VLOOKUP(L670,configuration!$M$7:$N$10,2,FALSE))</f>
        <v/>
      </c>
      <c r="N670" s="30"/>
      <c r="O670" s="2"/>
      <c r="P670" s="31"/>
      <c r="Q670" s="54"/>
      <c r="R670" s="55" t="str">
        <f>IF(ISBLANK(Q670),"",VLOOKUP(Q670,configuration!$P$7:$Q$10,2,FALSE))</f>
        <v/>
      </c>
      <c r="S670" s="56"/>
      <c r="T670" s="55"/>
      <c r="U670" s="78"/>
      <c r="V670" s="76" t="str">
        <f t="shared" si="44"/>
        <v/>
      </c>
      <c r="W670" s="48" t="str">
        <f t="shared" si="44"/>
        <v/>
      </c>
      <c r="X670" s="48" t="str">
        <f t="shared" si="44"/>
        <v/>
      </c>
      <c r="Y670" s="48" t="str">
        <f t="shared" si="44"/>
        <v/>
      </c>
      <c r="Z670" s="49" t="str">
        <f t="shared" si="42"/>
        <v/>
      </c>
      <c r="AA670" s="50" t="str">
        <f t="shared" si="45"/>
        <v/>
      </c>
      <c r="AB670" s="48" t="str">
        <f t="shared" si="45"/>
        <v/>
      </c>
      <c r="AC670" s="48" t="str">
        <f t="shared" si="45"/>
        <v/>
      </c>
      <c r="AD670" s="48" t="str">
        <f t="shared" si="45"/>
        <v/>
      </c>
      <c r="AE670" s="48" t="str">
        <f t="shared" si="43"/>
        <v/>
      </c>
    </row>
    <row r="671" spans="1:31" x14ac:dyDescent="0.25">
      <c r="A671" s="2"/>
      <c r="B671" s="2"/>
      <c r="C671" s="2"/>
      <c r="D671" s="2" t="str">
        <f>IF(ISBLANK(C671),"",VLOOKUP(C671,configuration!$G$7:$H$10,2,FALSE))</f>
        <v/>
      </c>
      <c r="E671" s="2"/>
      <c r="F671" s="2"/>
      <c r="G671" s="2"/>
      <c r="H671" s="2" t="str">
        <f>IF(ISBLANK(G671),"",VLOOKUP(G671,configuration!$J$7:$K$10,2,FALSE))</f>
        <v/>
      </c>
      <c r="I671" s="30"/>
      <c r="J671" s="2"/>
      <c r="K671" s="31"/>
      <c r="L671" s="35"/>
      <c r="M671" s="2" t="str">
        <f>IF(ISBLANK(L671),"",VLOOKUP(L671,configuration!$M$7:$N$10,2,FALSE))</f>
        <v/>
      </c>
      <c r="N671" s="30"/>
      <c r="O671" s="2"/>
      <c r="P671" s="31"/>
      <c r="Q671" s="54"/>
      <c r="R671" s="55" t="str">
        <f>IF(ISBLANK(Q671),"",VLOOKUP(Q671,configuration!$P$7:$Q$10,2,FALSE))</f>
        <v/>
      </c>
      <c r="S671" s="56"/>
      <c r="T671" s="55"/>
      <c r="U671" s="78"/>
      <c r="V671" s="76" t="str">
        <f t="shared" si="44"/>
        <v/>
      </c>
      <c r="W671" s="48" t="str">
        <f t="shared" si="44"/>
        <v/>
      </c>
      <c r="X671" s="48" t="str">
        <f t="shared" si="44"/>
        <v/>
      </c>
      <c r="Y671" s="48" t="str">
        <f t="shared" si="44"/>
        <v/>
      </c>
      <c r="Z671" s="49" t="str">
        <f t="shared" si="42"/>
        <v/>
      </c>
      <c r="AA671" s="50" t="str">
        <f t="shared" si="45"/>
        <v/>
      </c>
      <c r="AB671" s="48" t="str">
        <f t="shared" si="45"/>
        <v/>
      </c>
      <c r="AC671" s="48" t="str">
        <f t="shared" si="45"/>
        <v/>
      </c>
      <c r="AD671" s="48" t="str">
        <f t="shared" si="45"/>
        <v/>
      </c>
      <c r="AE671" s="48" t="str">
        <f t="shared" si="43"/>
        <v/>
      </c>
    </row>
    <row r="672" spans="1:31" x14ac:dyDescent="0.25">
      <c r="A672" s="2"/>
      <c r="B672" s="2"/>
      <c r="C672" s="2"/>
      <c r="D672" s="2" t="str">
        <f>IF(ISBLANK(C672),"",VLOOKUP(C672,configuration!$G$7:$H$10,2,FALSE))</f>
        <v/>
      </c>
      <c r="E672" s="2"/>
      <c r="F672" s="2"/>
      <c r="G672" s="2"/>
      <c r="H672" s="2" t="str">
        <f>IF(ISBLANK(G672),"",VLOOKUP(G672,configuration!$J$7:$K$10,2,FALSE))</f>
        <v/>
      </c>
      <c r="I672" s="30"/>
      <c r="J672" s="2"/>
      <c r="K672" s="31"/>
      <c r="L672" s="35"/>
      <c r="M672" s="2" t="str">
        <f>IF(ISBLANK(L672),"",VLOOKUP(L672,configuration!$M$7:$N$10,2,FALSE))</f>
        <v/>
      </c>
      <c r="N672" s="30"/>
      <c r="O672" s="2"/>
      <c r="P672" s="31"/>
      <c r="Q672" s="54"/>
      <c r="R672" s="55" t="str">
        <f>IF(ISBLANK(Q672),"",VLOOKUP(Q672,configuration!$P$7:$Q$10,2,FALSE))</f>
        <v/>
      </c>
      <c r="S672" s="56"/>
      <c r="T672" s="55"/>
      <c r="U672" s="78"/>
      <c r="V672" s="76" t="str">
        <f t="shared" si="44"/>
        <v/>
      </c>
      <c r="W672" s="48" t="str">
        <f t="shared" si="44"/>
        <v/>
      </c>
      <c r="X672" s="48" t="str">
        <f t="shared" si="44"/>
        <v/>
      </c>
      <c r="Y672" s="48" t="str">
        <f t="shared" si="44"/>
        <v/>
      </c>
      <c r="Z672" s="49" t="str">
        <f t="shared" si="42"/>
        <v/>
      </c>
      <c r="AA672" s="50" t="str">
        <f t="shared" si="45"/>
        <v/>
      </c>
      <c r="AB672" s="48" t="str">
        <f t="shared" si="45"/>
        <v/>
      </c>
      <c r="AC672" s="48" t="str">
        <f t="shared" si="45"/>
        <v/>
      </c>
      <c r="AD672" s="48" t="str">
        <f t="shared" si="45"/>
        <v/>
      </c>
      <c r="AE672" s="48" t="str">
        <f t="shared" si="43"/>
        <v/>
      </c>
    </row>
    <row r="673" spans="1:31" x14ac:dyDescent="0.25">
      <c r="A673" s="2"/>
      <c r="B673" s="2"/>
      <c r="C673" s="2"/>
      <c r="D673" s="2" t="str">
        <f>IF(ISBLANK(C673),"",VLOOKUP(C673,configuration!$G$7:$H$10,2,FALSE))</f>
        <v/>
      </c>
      <c r="E673" s="2"/>
      <c r="F673" s="2"/>
      <c r="G673" s="2"/>
      <c r="H673" s="2" t="str">
        <f>IF(ISBLANK(G673),"",VLOOKUP(G673,configuration!$J$7:$K$10,2,FALSE))</f>
        <v/>
      </c>
      <c r="I673" s="30"/>
      <c r="J673" s="2"/>
      <c r="K673" s="31"/>
      <c r="L673" s="35"/>
      <c r="M673" s="2" t="str">
        <f>IF(ISBLANK(L673),"",VLOOKUP(L673,configuration!$M$7:$N$10,2,FALSE))</f>
        <v/>
      </c>
      <c r="N673" s="30"/>
      <c r="O673" s="2"/>
      <c r="P673" s="31"/>
      <c r="Q673" s="54"/>
      <c r="R673" s="55" t="str">
        <f>IF(ISBLANK(Q673),"",VLOOKUP(Q673,configuration!$P$7:$Q$10,2,FALSE))</f>
        <v/>
      </c>
      <c r="S673" s="56"/>
      <c r="T673" s="55"/>
      <c r="U673" s="78"/>
      <c r="V673" s="76" t="str">
        <f t="shared" si="44"/>
        <v/>
      </c>
      <c r="W673" s="48" t="str">
        <f t="shared" si="44"/>
        <v/>
      </c>
      <c r="X673" s="48" t="str">
        <f t="shared" si="44"/>
        <v/>
      </c>
      <c r="Y673" s="48" t="str">
        <f t="shared" si="44"/>
        <v/>
      </c>
      <c r="Z673" s="49" t="str">
        <f t="shared" si="42"/>
        <v/>
      </c>
      <c r="AA673" s="50" t="str">
        <f t="shared" si="45"/>
        <v/>
      </c>
      <c r="AB673" s="48" t="str">
        <f t="shared" si="45"/>
        <v/>
      </c>
      <c r="AC673" s="48" t="str">
        <f t="shared" si="45"/>
        <v/>
      </c>
      <c r="AD673" s="48" t="str">
        <f t="shared" si="45"/>
        <v/>
      </c>
      <c r="AE673" s="48" t="str">
        <f t="shared" si="43"/>
        <v/>
      </c>
    </row>
    <row r="674" spans="1:31" x14ac:dyDescent="0.25">
      <c r="A674" s="2"/>
      <c r="B674" s="2"/>
      <c r="C674" s="2"/>
      <c r="D674" s="2" t="str">
        <f>IF(ISBLANK(C674),"",VLOOKUP(C674,configuration!$G$7:$H$10,2,FALSE))</f>
        <v/>
      </c>
      <c r="E674" s="2"/>
      <c r="F674" s="2"/>
      <c r="G674" s="2"/>
      <c r="H674" s="2" t="str">
        <f>IF(ISBLANK(G674),"",VLOOKUP(G674,configuration!$J$7:$K$10,2,FALSE))</f>
        <v/>
      </c>
      <c r="I674" s="30"/>
      <c r="J674" s="2"/>
      <c r="K674" s="31"/>
      <c r="L674" s="35"/>
      <c r="M674" s="2" t="str">
        <f>IF(ISBLANK(L674),"",VLOOKUP(L674,configuration!$M$7:$N$10,2,FALSE))</f>
        <v/>
      </c>
      <c r="N674" s="30"/>
      <c r="O674" s="2"/>
      <c r="P674" s="31"/>
      <c r="Q674" s="54"/>
      <c r="R674" s="55" t="str">
        <f>IF(ISBLANK(Q674),"",VLOOKUP(Q674,configuration!$P$7:$Q$10,2,FALSE))</f>
        <v/>
      </c>
      <c r="S674" s="56"/>
      <c r="T674" s="55"/>
      <c r="U674" s="78"/>
      <c r="V674" s="76" t="str">
        <f t="shared" si="44"/>
        <v/>
      </c>
      <c r="W674" s="48" t="str">
        <f t="shared" si="44"/>
        <v/>
      </c>
      <c r="X674" s="48" t="str">
        <f t="shared" si="44"/>
        <v/>
      </c>
      <c r="Y674" s="48" t="str">
        <f t="shared" si="44"/>
        <v/>
      </c>
      <c r="Z674" s="49" t="str">
        <f t="shared" si="42"/>
        <v/>
      </c>
      <c r="AA674" s="50" t="str">
        <f t="shared" si="45"/>
        <v/>
      </c>
      <c r="AB674" s="48" t="str">
        <f t="shared" si="45"/>
        <v/>
      </c>
      <c r="AC674" s="48" t="str">
        <f t="shared" si="45"/>
        <v/>
      </c>
      <c r="AD674" s="48" t="str">
        <f t="shared" si="45"/>
        <v/>
      </c>
      <c r="AE674" s="48" t="str">
        <f t="shared" si="43"/>
        <v/>
      </c>
    </row>
    <row r="675" spans="1:31" x14ac:dyDescent="0.25">
      <c r="A675" s="2"/>
      <c r="B675" s="2"/>
      <c r="C675" s="2"/>
      <c r="D675" s="2" t="str">
        <f>IF(ISBLANK(C675),"",VLOOKUP(C675,configuration!$G$7:$H$10,2,FALSE))</f>
        <v/>
      </c>
      <c r="E675" s="2"/>
      <c r="F675" s="2"/>
      <c r="G675" s="2"/>
      <c r="H675" s="2" t="str">
        <f>IF(ISBLANK(G675),"",VLOOKUP(G675,configuration!$J$7:$K$10,2,FALSE))</f>
        <v/>
      </c>
      <c r="I675" s="30"/>
      <c r="J675" s="2"/>
      <c r="K675" s="31"/>
      <c r="L675" s="35"/>
      <c r="M675" s="2" t="str">
        <f>IF(ISBLANK(L675),"",VLOOKUP(L675,configuration!$M$7:$N$10,2,FALSE))</f>
        <v/>
      </c>
      <c r="N675" s="30"/>
      <c r="O675" s="2"/>
      <c r="P675" s="31"/>
      <c r="Q675" s="54"/>
      <c r="R675" s="55" t="str">
        <f>IF(ISBLANK(Q675),"",VLOOKUP(Q675,configuration!$P$7:$Q$10,2,FALSE))</f>
        <v/>
      </c>
      <c r="S675" s="56"/>
      <c r="T675" s="55"/>
      <c r="U675" s="78"/>
      <c r="V675" s="76" t="str">
        <f t="shared" si="44"/>
        <v/>
      </c>
      <c r="W675" s="48" t="str">
        <f t="shared" si="44"/>
        <v/>
      </c>
      <c r="X675" s="48" t="str">
        <f t="shared" si="44"/>
        <v/>
      </c>
      <c r="Y675" s="48" t="str">
        <f t="shared" si="44"/>
        <v/>
      </c>
      <c r="Z675" s="49" t="str">
        <f t="shared" si="42"/>
        <v/>
      </c>
      <c r="AA675" s="50" t="str">
        <f t="shared" si="45"/>
        <v/>
      </c>
      <c r="AB675" s="48" t="str">
        <f t="shared" si="45"/>
        <v/>
      </c>
      <c r="AC675" s="48" t="str">
        <f t="shared" si="45"/>
        <v/>
      </c>
      <c r="AD675" s="48" t="str">
        <f t="shared" si="45"/>
        <v/>
      </c>
      <c r="AE675" s="48" t="str">
        <f t="shared" si="43"/>
        <v/>
      </c>
    </row>
    <row r="676" spans="1:31" x14ac:dyDescent="0.25">
      <c r="A676" s="2"/>
      <c r="B676" s="2"/>
      <c r="C676" s="2"/>
      <c r="D676" s="2" t="str">
        <f>IF(ISBLANK(C676),"",VLOOKUP(C676,configuration!$G$7:$H$10,2,FALSE))</f>
        <v/>
      </c>
      <c r="E676" s="2"/>
      <c r="F676" s="2"/>
      <c r="G676" s="2"/>
      <c r="H676" s="2" t="str">
        <f>IF(ISBLANK(G676),"",VLOOKUP(G676,configuration!$J$7:$K$10,2,FALSE))</f>
        <v/>
      </c>
      <c r="I676" s="30"/>
      <c r="J676" s="2"/>
      <c r="K676" s="31"/>
      <c r="L676" s="35"/>
      <c r="M676" s="2" t="str">
        <f>IF(ISBLANK(L676),"",VLOOKUP(L676,configuration!$M$7:$N$10,2,FALSE))</f>
        <v/>
      </c>
      <c r="N676" s="30"/>
      <c r="O676" s="2"/>
      <c r="P676" s="31"/>
      <c r="Q676" s="54"/>
      <c r="R676" s="55" t="str">
        <f>IF(ISBLANK(Q676),"",VLOOKUP(Q676,configuration!$P$7:$Q$10,2,FALSE))</f>
        <v/>
      </c>
      <c r="S676" s="56"/>
      <c r="T676" s="55"/>
      <c r="U676" s="78"/>
      <c r="V676" s="76" t="str">
        <f t="shared" si="44"/>
        <v/>
      </c>
      <c r="W676" s="48" t="str">
        <f t="shared" si="44"/>
        <v/>
      </c>
      <c r="X676" s="48" t="str">
        <f t="shared" si="44"/>
        <v/>
      </c>
      <c r="Y676" s="48" t="str">
        <f t="shared" si="44"/>
        <v/>
      </c>
      <c r="Z676" s="49" t="str">
        <f t="shared" si="42"/>
        <v/>
      </c>
      <c r="AA676" s="50" t="str">
        <f t="shared" si="45"/>
        <v/>
      </c>
      <c r="AB676" s="48" t="str">
        <f t="shared" si="45"/>
        <v/>
      </c>
      <c r="AC676" s="48" t="str">
        <f t="shared" si="45"/>
        <v/>
      </c>
      <c r="AD676" s="48" t="str">
        <f t="shared" si="45"/>
        <v/>
      </c>
      <c r="AE676" s="48" t="str">
        <f t="shared" si="43"/>
        <v/>
      </c>
    </row>
    <row r="677" spans="1:31" x14ac:dyDescent="0.25">
      <c r="A677" s="2"/>
      <c r="B677" s="2"/>
      <c r="C677" s="2"/>
      <c r="D677" s="2" t="str">
        <f>IF(ISBLANK(C677),"",VLOOKUP(C677,configuration!$G$7:$H$10,2,FALSE))</f>
        <v/>
      </c>
      <c r="E677" s="2"/>
      <c r="F677" s="2"/>
      <c r="G677" s="2"/>
      <c r="H677" s="2" t="str">
        <f>IF(ISBLANK(G677),"",VLOOKUP(G677,configuration!$J$7:$K$10,2,FALSE))</f>
        <v/>
      </c>
      <c r="I677" s="30"/>
      <c r="J677" s="2"/>
      <c r="K677" s="31"/>
      <c r="L677" s="35"/>
      <c r="M677" s="2" t="str">
        <f>IF(ISBLANK(L677),"",VLOOKUP(L677,configuration!$M$7:$N$10,2,FALSE))</f>
        <v/>
      </c>
      <c r="N677" s="30"/>
      <c r="O677" s="2"/>
      <c r="P677" s="31"/>
      <c r="Q677" s="54"/>
      <c r="R677" s="55" t="str">
        <f>IF(ISBLANK(Q677),"",VLOOKUP(Q677,configuration!$P$7:$Q$10,2,FALSE))</f>
        <v/>
      </c>
      <c r="S677" s="56"/>
      <c r="T677" s="55"/>
      <c r="U677" s="78"/>
      <c r="V677" s="76" t="str">
        <f t="shared" si="44"/>
        <v/>
      </c>
      <c r="W677" s="48" t="str">
        <f t="shared" si="44"/>
        <v/>
      </c>
      <c r="X677" s="48" t="str">
        <f t="shared" si="44"/>
        <v/>
      </c>
      <c r="Y677" s="48" t="str">
        <f t="shared" si="44"/>
        <v/>
      </c>
      <c r="Z677" s="49" t="str">
        <f t="shared" si="42"/>
        <v/>
      </c>
      <c r="AA677" s="50" t="str">
        <f t="shared" si="45"/>
        <v/>
      </c>
      <c r="AB677" s="48" t="str">
        <f t="shared" si="45"/>
        <v/>
      </c>
      <c r="AC677" s="48" t="str">
        <f t="shared" si="45"/>
        <v/>
      </c>
      <c r="AD677" s="48" t="str">
        <f t="shared" si="45"/>
        <v/>
      </c>
      <c r="AE677" s="48" t="str">
        <f t="shared" si="43"/>
        <v/>
      </c>
    </row>
    <row r="678" spans="1:31" x14ac:dyDescent="0.25">
      <c r="A678" s="2"/>
      <c r="B678" s="2"/>
      <c r="C678" s="2"/>
      <c r="D678" s="2" t="str">
        <f>IF(ISBLANK(C678),"",VLOOKUP(C678,configuration!$G$7:$H$10,2,FALSE))</f>
        <v/>
      </c>
      <c r="E678" s="2"/>
      <c r="F678" s="2"/>
      <c r="G678" s="2"/>
      <c r="H678" s="2" t="str">
        <f>IF(ISBLANK(G678),"",VLOOKUP(G678,configuration!$J$7:$K$10,2,FALSE))</f>
        <v/>
      </c>
      <c r="I678" s="30"/>
      <c r="J678" s="2"/>
      <c r="K678" s="31"/>
      <c r="L678" s="35"/>
      <c r="M678" s="2" t="str">
        <f>IF(ISBLANK(L678),"",VLOOKUP(L678,configuration!$M$7:$N$10,2,FALSE))</f>
        <v/>
      </c>
      <c r="N678" s="30"/>
      <c r="O678" s="2"/>
      <c r="P678" s="31"/>
      <c r="Q678" s="54"/>
      <c r="R678" s="55" t="str">
        <f>IF(ISBLANK(Q678),"",VLOOKUP(Q678,configuration!$P$7:$Q$10,2,FALSE))</f>
        <v/>
      </c>
      <c r="S678" s="56"/>
      <c r="T678" s="55"/>
      <c r="U678" s="78"/>
      <c r="V678" s="76" t="str">
        <f t="shared" si="44"/>
        <v/>
      </c>
      <c r="W678" s="48" t="str">
        <f t="shared" si="44"/>
        <v/>
      </c>
      <c r="X678" s="48" t="str">
        <f t="shared" si="44"/>
        <v/>
      </c>
      <c r="Y678" s="48" t="str">
        <f t="shared" si="44"/>
        <v/>
      </c>
      <c r="Z678" s="49" t="str">
        <f t="shared" si="42"/>
        <v/>
      </c>
      <c r="AA678" s="50" t="str">
        <f t="shared" si="45"/>
        <v/>
      </c>
      <c r="AB678" s="48" t="str">
        <f t="shared" si="45"/>
        <v/>
      </c>
      <c r="AC678" s="48" t="str">
        <f t="shared" si="45"/>
        <v/>
      </c>
      <c r="AD678" s="48" t="str">
        <f t="shared" si="45"/>
        <v/>
      </c>
      <c r="AE678" s="48" t="str">
        <f t="shared" si="43"/>
        <v/>
      </c>
    </row>
    <row r="679" spans="1:31" x14ac:dyDescent="0.25">
      <c r="A679" s="2"/>
      <c r="B679" s="2"/>
      <c r="C679" s="2"/>
      <c r="D679" s="2" t="str">
        <f>IF(ISBLANK(C679),"",VLOOKUP(C679,configuration!$G$7:$H$10,2,FALSE))</f>
        <v/>
      </c>
      <c r="E679" s="2"/>
      <c r="F679" s="2"/>
      <c r="G679" s="2"/>
      <c r="H679" s="2" t="str">
        <f>IF(ISBLANK(G679),"",VLOOKUP(G679,configuration!$J$7:$K$10,2,FALSE))</f>
        <v/>
      </c>
      <c r="I679" s="30"/>
      <c r="J679" s="2"/>
      <c r="K679" s="31"/>
      <c r="L679" s="35"/>
      <c r="M679" s="2" t="str">
        <f>IF(ISBLANK(L679),"",VLOOKUP(L679,configuration!$M$7:$N$10,2,FALSE))</f>
        <v/>
      </c>
      <c r="N679" s="30"/>
      <c r="O679" s="2"/>
      <c r="P679" s="31"/>
      <c r="Q679" s="54"/>
      <c r="R679" s="55" t="str">
        <f>IF(ISBLANK(Q679),"",VLOOKUP(Q679,configuration!$P$7:$Q$10,2,FALSE))</f>
        <v/>
      </c>
      <c r="S679" s="56"/>
      <c r="T679" s="55"/>
      <c r="U679" s="78"/>
      <c r="V679" s="76" t="str">
        <f t="shared" si="44"/>
        <v/>
      </c>
      <c r="W679" s="48" t="str">
        <f t="shared" si="44"/>
        <v/>
      </c>
      <c r="X679" s="48" t="str">
        <f t="shared" si="44"/>
        <v/>
      </c>
      <c r="Y679" s="48" t="str">
        <f t="shared" si="44"/>
        <v/>
      </c>
      <c r="Z679" s="49" t="str">
        <f t="shared" si="42"/>
        <v/>
      </c>
      <c r="AA679" s="50" t="str">
        <f t="shared" si="45"/>
        <v/>
      </c>
      <c r="AB679" s="48" t="str">
        <f t="shared" si="45"/>
        <v/>
      </c>
      <c r="AC679" s="48" t="str">
        <f t="shared" si="45"/>
        <v/>
      </c>
      <c r="AD679" s="48" t="str">
        <f t="shared" si="45"/>
        <v/>
      </c>
      <c r="AE679" s="48" t="str">
        <f t="shared" si="43"/>
        <v/>
      </c>
    </row>
    <row r="680" spans="1:31" x14ac:dyDescent="0.25">
      <c r="A680" s="2"/>
      <c r="B680" s="2"/>
      <c r="C680" s="2"/>
      <c r="D680" s="2" t="str">
        <f>IF(ISBLANK(C680),"",VLOOKUP(C680,configuration!$G$7:$H$10,2,FALSE))</f>
        <v/>
      </c>
      <c r="E680" s="2"/>
      <c r="F680" s="2"/>
      <c r="G680" s="2"/>
      <c r="H680" s="2" t="str">
        <f>IF(ISBLANK(G680),"",VLOOKUP(G680,configuration!$J$7:$K$10,2,FALSE))</f>
        <v/>
      </c>
      <c r="I680" s="30"/>
      <c r="J680" s="2"/>
      <c r="K680" s="31"/>
      <c r="L680" s="35"/>
      <c r="M680" s="2" t="str">
        <f>IF(ISBLANK(L680),"",VLOOKUP(L680,configuration!$M$7:$N$10,2,FALSE))</f>
        <v/>
      </c>
      <c r="N680" s="30"/>
      <c r="O680" s="2"/>
      <c r="P680" s="31"/>
      <c r="Q680" s="54"/>
      <c r="R680" s="55" t="str">
        <f>IF(ISBLANK(Q680),"",VLOOKUP(Q680,configuration!$P$7:$Q$10,2,FALSE))</f>
        <v/>
      </c>
      <c r="S680" s="56"/>
      <c r="T680" s="55"/>
      <c r="U680" s="78"/>
      <c r="V680" s="76" t="str">
        <f t="shared" si="44"/>
        <v/>
      </c>
      <c r="W680" s="48" t="str">
        <f t="shared" si="44"/>
        <v/>
      </c>
      <c r="X680" s="48" t="str">
        <f t="shared" si="44"/>
        <v/>
      </c>
      <c r="Y680" s="48" t="str">
        <f t="shared" si="44"/>
        <v/>
      </c>
      <c r="Z680" s="49" t="str">
        <f t="shared" si="42"/>
        <v/>
      </c>
      <c r="AA680" s="50" t="str">
        <f t="shared" si="45"/>
        <v/>
      </c>
      <c r="AB680" s="48" t="str">
        <f t="shared" si="45"/>
        <v/>
      </c>
      <c r="AC680" s="48" t="str">
        <f t="shared" si="45"/>
        <v/>
      </c>
      <c r="AD680" s="48" t="str">
        <f t="shared" si="45"/>
        <v/>
      </c>
      <c r="AE680" s="48" t="str">
        <f t="shared" si="43"/>
        <v/>
      </c>
    </row>
    <row r="681" spans="1:31" x14ac:dyDescent="0.25">
      <c r="A681" s="2"/>
      <c r="B681" s="2"/>
      <c r="C681" s="2"/>
      <c r="D681" s="2" t="str">
        <f>IF(ISBLANK(C681),"",VLOOKUP(C681,configuration!$G$7:$H$10,2,FALSE))</f>
        <v/>
      </c>
      <c r="E681" s="2"/>
      <c r="F681" s="2"/>
      <c r="G681" s="2"/>
      <c r="H681" s="2" t="str">
        <f>IF(ISBLANK(G681),"",VLOOKUP(G681,configuration!$J$7:$K$10,2,FALSE))</f>
        <v/>
      </c>
      <c r="I681" s="30"/>
      <c r="J681" s="2"/>
      <c r="K681" s="31"/>
      <c r="L681" s="35"/>
      <c r="M681" s="2" t="str">
        <f>IF(ISBLANK(L681),"",VLOOKUP(L681,configuration!$M$7:$N$10,2,FALSE))</f>
        <v/>
      </c>
      <c r="N681" s="30"/>
      <c r="O681" s="2"/>
      <c r="P681" s="31"/>
      <c r="Q681" s="54"/>
      <c r="R681" s="55" t="str">
        <f>IF(ISBLANK(Q681),"",VLOOKUP(Q681,configuration!$P$7:$Q$10,2,FALSE))</f>
        <v/>
      </c>
      <c r="S681" s="56"/>
      <c r="T681" s="55"/>
      <c r="U681" s="78"/>
      <c r="V681" s="76" t="str">
        <f t="shared" si="44"/>
        <v/>
      </c>
      <c r="W681" s="48" t="str">
        <f t="shared" si="44"/>
        <v/>
      </c>
      <c r="X681" s="48" t="str">
        <f t="shared" si="44"/>
        <v/>
      </c>
      <c r="Y681" s="48" t="str">
        <f t="shared" si="44"/>
        <v/>
      </c>
      <c r="Z681" s="49" t="str">
        <f t="shared" si="42"/>
        <v/>
      </c>
      <c r="AA681" s="50" t="str">
        <f t="shared" si="45"/>
        <v/>
      </c>
      <c r="AB681" s="48" t="str">
        <f t="shared" si="45"/>
        <v/>
      </c>
      <c r="AC681" s="48" t="str">
        <f t="shared" si="45"/>
        <v/>
      </c>
      <c r="AD681" s="48" t="str">
        <f t="shared" si="45"/>
        <v/>
      </c>
      <c r="AE681" s="48" t="str">
        <f t="shared" si="43"/>
        <v/>
      </c>
    </row>
    <row r="682" spans="1:31" x14ac:dyDescent="0.25">
      <c r="A682" s="2"/>
      <c r="B682" s="2"/>
      <c r="C682" s="2"/>
      <c r="D682" s="2" t="str">
        <f>IF(ISBLANK(C682),"",VLOOKUP(C682,configuration!$G$7:$H$10,2,FALSE))</f>
        <v/>
      </c>
      <c r="E682" s="2"/>
      <c r="F682" s="2"/>
      <c r="G682" s="2"/>
      <c r="H682" s="2" t="str">
        <f>IF(ISBLANK(G682),"",VLOOKUP(G682,configuration!$J$7:$K$10,2,FALSE))</f>
        <v/>
      </c>
      <c r="I682" s="30"/>
      <c r="J682" s="2"/>
      <c r="K682" s="31"/>
      <c r="L682" s="35"/>
      <c r="M682" s="2" t="str">
        <f>IF(ISBLANK(L682),"",VLOOKUP(L682,configuration!$M$7:$N$10,2,FALSE))</f>
        <v/>
      </c>
      <c r="N682" s="30"/>
      <c r="O682" s="2"/>
      <c r="P682" s="31"/>
      <c r="Q682" s="54"/>
      <c r="R682" s="55" t="str">
        <f>IF(ISBLANK(Q682),"",VLOOKUP(Q682,configuration!$P$7:$Q$10,2,FALSE))</f>
        <v/>
      </c>
      <c r="S682" s="56"/>
      <c r="T682" s="55"/>
      <c r="U682" s="78"/>
      <c r="V682" s="76" t="str">
        <f t="shared" si="44"/>
        <v/>
      </c>
      <c r="W682" s="48" t="str">
        <f t="shared" si="44"/>
        <v/>
      </c>
      <c r="X682" s="48" t="str">
        <f t="shared" si="44"/>
        <v/>
      </c>
      <c r="Y682" s="48" t="str">
        <f t="shared" si="44"/>
        <v/>
      </c>
      <c r="Z682" s="49" t="str">
        <f t="shared" si="42"/>
        <v/>
      </c>
      <c r="AA682" s="50" t="str">
        <f t="shared" si="45"/>
        <v/>
      </c>
      <c r="AB682" s="48" t="str">
        <f t="shared" si="45"/>
        <v/>
      </c>
      <c r="AC682" s="48" t="str">
        <f t="shared" si="45"/>
        <v/>
      </c>
      <c r="AD682" s="48" t="str">
        <f t="shared" si="45"/>
        <v/>
      </c>
      <c r="AE682" s="48" t="str">
        <f t="shared" si="43"/>
        <v/>
      </c>
    </row>
    <row r="683" spans="1:31" x14ac:dyDescent="0.25">
      <c r="A683" s="2"/>
      <c r="B683" s="2"/>
      <c r="C683" s="2"/>
      <c r="D683" s="2" t="str">
        <f>IF(ISBLANK(C683),"",VLOOKUP(C683,configuration!$G$7:$H$10,2,FALSE))</f>
        <v/>
      </c>
      <c r="E683" s="2"/>
      <c r="F683" s="2"/>
      <c r="G683" s="2"/>
      <c r="H683" s="2" t="str">
        <f>IF(ISBLANK(G683),"",VLOOKUP(G683,configuration!$J$7:$K$10,2,FALSE))</f>
        <v/>
      </c>
      <c r="I683" s="30"/>
      <c r="J683" s="2"/>
      <c r="K683" s="31"/>
      <c r="L683" s="35"/>
      <c r="M683" s="2" t="str">
        <f>IF(ISBLANK(L683),"",VLOOKUP(L683,configuration!$M$7:$N$10,2,FALSE))</f>
        <v/>
      </c>
      <c r="N683" s="30"/>
      <c r="O683" s="2"/>
      <c r="P683" s="31"/>
      <c r="Q683" s="54"/>
      <c r="R683" s="55" t="str">
        <f>IF(ISBLANK(Q683),"",VLOOKUP(Q683,configuration!$P$7:$Q$10,2,FALSE))</f>
        <v/>
      </c>
      <c r="S683" s="56"/>
      <c r="T683" s="55"/>
      <c r="U683" s="78"/>
      <c r="V683" s="76" t="str">
        <f t="shared" si="44"/>
        <v/>
      </c>
      <c r="W683" s="48" t="str">
        <f t="shared" si="44"/>
        <v/>
      </c>
      <c r="X683" s="48" t="str">
        <f t="shared" si="44"/>
        <v/>
      </c>
      <c r="Y683" s="48" t="str">
        <f t="shared" si="44"/>
        <v/>
      </c>
      <c r="Z683" s="49" t="str">
        <f t="shared" si="42"/>
        <v/>
      </c>
      <c r="AA683" s="50" t="str">
        <f t="shared" si="45"/>
        <v/>
      </c>
      <c r="AB683" s="48" t="str">
        <f t="shared" si="45"/>
        <v/>
      </c>
      <c r="AC683" s="48" t="str">
        <f t="shared" si="45"/>
        <v/>
      </c>
      <c r="AD683" s="48" t="str">
        <f t="shared" si="45"/>
        <v/>
      </c>
      <c r="AE683" s="48" t="str">
        <f t="shared" si="43"/>
        <v/>
      </c>
    </row>
    <row r="684" spans="1:31" x14ac:dyDescent="0.25">
      <c r="A684" s="2"/>
      <c r="B684" s="2"/>
      <c r="C684" s="2"/>
      <c r="D684" s="2" t="str">
        <f>IF(ISBLANK(C684),"",VLOOKUP(C684,configuration!$G$7:$H$10,2,FALSE))</f>
        <v/>
      </c>
      <c r="E684" s="2"/>
      <c r="F684" s="2"/>
      <c r="G684" s="2"/>
      <c r="H684" s="2" t="str">
        <f>IF(ISBLANK(G684),"",VLOOKUP(G684,configuration!$J$7:$K$10,2,FALSE))</f>
        <v/>
      </c>
      <c r="I684" s="30"/>
      <c r="J684" s="2"/>
      <c r="K684" s="31"/>
      <c r="L684" s="35"/>
      <c r="M684" s="2" t="str">
        <f>IF(ISBLANK(L684),"",VLOOKUP(L684,configuration!$M$7:$N$10,2,FALSE))</f>
        <v/>
      </c>
      <c r="N684" s="30"/>
      <c r="O684" s="2"/>
      <c r="P684" s="31"/>
      <c r="Q684" s="54"/>
      <c r="R684" s="55" t="str">
        <f>IF(ISBLANK(Q684),"",VLOOKUP(Q684,configuration!$P$7:$Q$10,2,FALSE))</f>
        <v/>
      </c>
      <c r="S684" s="56"/>
      <c r="T684" s="55"/>
      <c r="U684" s="78"/>
      <c r="V684" s="76" t="str">
        <f t="shared" si="44"/>
        <v/>
      </c>
      <c r="W684" s="48" t="str">
        <f t="shared" si="44"/>
        <v/>
      </c>
      <c r="X684" s="48" t="str">
        <f t="shared" si="44"/>
        <v/>
      </c>
      <c r="Y684" s="48" t="str">
        <f t="shared" si="44"/>
        <v/>
      </c>
      <c r="Z684" s="49" t="str">
        <f t="shared" si="42"/>
        <v/>
      </c>
      <c r="AA684" s="50" t="str">
        <f t="shared" si="45"/>
        <v/>
      </c>
      <c r="AB684" s="48" t="str">
        <f t="shared" si="45"/>
        <v/>
      </c>
      <c r="AC684" s="48" t="str">
        <f t="shared" si="45"/>
        <v/>
      </c>
      <c r="AD684" s="48" t="str">
        <f t="shared" si="45"/>
        <v/>
      </c>
      <c r="AE684" s="48" t="str">
        <f t="shared" si="43"/>
        <v/>
      </c>
    </row>
    <row r="685" spans="1:31" x14ac:dyDescent="0.25">
      <c r="A685" s="2"/>
      <c r="B685" s="2"/>
      <c r="C685" s="2"/>
      <c r="D685" s="2" t="str">
        <f>IF(ISBLANK(C685),"",VLOOKUP(C685,configuration!$G$7:$H$10,2,FALSE))</f>
        <v/>
      </c>
      <c r="E685" s="2"/>
      <c r="F685" s="2"/>
      <c r="G685" s="2"/>
      <c r="H685" s="2" t="str">
        <f>IF(ISBLANK(G685),"",VLOOKUP(G685,configuration!$J$7:$K$10,2,FALSE))</f>
        <v/>
      </c>
      <c r="I685" s="30"/>
      <c r="J685" s="2"/>
      <c r="K685" s="31"/>
      <c r="L685" s="35"/>
      <c r="M685" s="2" t="str">
        <f>IF(ISBLANK(L685),"",VLOOKUP(L685,configuration!$M$7:$N$10,2,FALSE))</f>
        <v/>
      </c>
      <c r="N685" s="30"/>
      <c r="O685" s="2"/>
      <c r="P685" s="31"/>
      <c r="Q685" s="54"/>
      <c r="R685" s="55" t="str">
        <f>IF(ISBLANK(Q685),"",VLOOKUP(Q685,configuration!$P$7:$Q$10,2,FALSE))</f>
        <v/>
      </c>
      <c r="S685" s="56"/>
      <c r="T685" s="55"/>
      <c r="U685" s="78"/>
      <c r="V685" s="76" t="str">
        <f t="shared" si="44"/>
        <v/>
      </c>
      <c r="W685" s="48" t="str">
        <f t="shared" si="44"/>
        <v/>
      </c>
      <c r="X685" s="48" t="str">
        <f t="shared" si="44"/>
        <v/>
      </c>
      <c r="Y685" s="48" t="str">
        <f t="shared" si="44"/>
        <v/>
      </c>
      <c r="Z685" s="49" t="str">
        <f t="shared" si="42"/>
        <v/>
      </c>
      <c r="AA685" s="50" t="str">
        <f t="shared" si="45"/>
        <v/>
      </c>
      <c r="AB685" s="48" t="str">
        <f t="shared" si="45"/>
        <v/>
      </c>
      <c r="AC685" s="48" t="str">
        <f t="shared" si="45"/>
        <v/>
      </c>
      <c r="AD685" s="48" t="str">
        <f t="shared" si="45"/>
        <v/>
      </c>
      <c r="AE685" s="48" t="str">
        <f t="shared" si="43"/>
        <v/>
      </c>
    </row>
    <row r="686" spans="1:31" x14ac:dyDescent="0.25">
      <c r="A686" s="2"/>
      <c r="B686" s="2"/>
      <c r="C686" s="2"/>
      <c r="D686" s="2" t="str">
        <f>IF(ISBLANK(C686),"",VLOOKUP(C686,configuration!$G$7:$H$10,2,FALSE))</f>
        <v/>
      </c>
      <c r="E686" s="2"/>
      <c r="F686" s="2"/>
      <c r="G686" s="2"/>
      <c r="H686" s="2" t="str">
        <f>IF(ISBLANK(G686),"",VLOOKUP(G686,configuration!$J$7:$K$10,2,FALSE))</f>
        <v/>
      </c>
      <c r="I686" s="30"/>
      <c r="J686" s="2"/>
      <c r="K686" s="31"/>
      <c r="L686" s="35"/>
      <c r="M686" s="2" t="str">
        <f>IF(ISBLANK(L686),"",VLOOKUP(L686,configuration!$M$7:$N$10,2,FALSE))</f>
        <v/>
      </c>
      <c r="N686" s="30"/>
      <c r="O686" s="2"/>
      <c r="P686" s="31"/>
      <c r="Q686" s="54"/>
      <c r="R686" s="55" t="str">
        <f>IF(ISBLANK(Q686),"",VLOOKUP(Q686,configuration!$P$7:$Q$10,2,FALSE))</f>
        <v/>
      </c>
      <c r="S686" s="56"/>
      <c r="T686" s="55"/>
      <c r="U686" s="78"/>
      <c r="V686" s="76" t="str">
        <f t="shared" si="44"/>
        <v/>
      </c>
      <c r="W686" s="48" t="str">
        <f t="shared" si="44"/>
        <v/>
      </c>
      <c r="X686" s="48" t="str">
        <f t="shared" si="44"/>
        <v/>
      </c>
      <c r="Y686" s="48" t="str">
        <f t="shared" si="44"/>
        <v/>
      </c>
      <c r="Z686" s="49" t="str">
        <f t="shared" si="42"/>
        <v/>
      </c>
      <c r="AA686" s="50" t="str">
        <f t="shared" si="45"/>
        <v/>
      </c>
      <c r="AB686" s="48" t="str">
        <f t="shared" si="45"/>
        <v/>
      </c>
      <c r="AC686" s="48" t="str">
        <f t="shared" si="45"/>
        <v/>
      </c>
      <c r="AD686" s="48" t="str">
        <f t="shared" si="45"/>
        <v/>
      </c>
      <c r="AE686" s="48" t="str">
        <f t="shared" si="43"/>
        <v/>
      </c>
    </row>
    <row r="687" spans="1:31" x14ac:dyDescent="0.25">
      <c r="A687" s="2"/>
      <c r="B687" s="2"/>
      <c r="C687" s="2"/>
      <c r="D687" s="2" t="str">
        <f>IF(ISBLANK(C687),"",VLOOKUP(C687,configuration!$G$7:$H$10,2,FALSE))</f>
        <v/>
      </c>
      <c r="E687" s="2"/>
      <c r="F687" s="2"/>
      <c r="G687" s="2"/>
      <c r="H687" s="2" t="str">
        <f>IF(ISBLANK(G687),"",VLOOKUP(G687,configuration!$J$7:$K$10,2,FALSE))</f>
        <v/>
      </c>
      <c r="I687" s="30"/>
      <c r="J687" s="2"/>
      <c r="K687" s="31"/>
      <c r="L687" s="35"/>
      <c r="M687" s="2" t="str">
        <f>IF(ISBLANK(L687),"",VLOOKUP(L687,configuration!$M$7:$N$10,2,FALSE))</f>
        <v/>
      </c>
      <c r="N687" s="30"/>
      <c r="O687" s="2"/>
      <c r="P687" s="31"/>
      <c r="Q687" s="54"/>
      <c r="R687" s="55" t="str">
        <f>IF(ISBLANK(Q687),"",VLOOKUP(Q687,configuration!$P$7:$Q$10,2,FALSE))</f>
        <v/>
      </c>
      <c r="S687" s="56"/>
      <c r="T687" s="55"/>
      <c r="U687" s="78"/>
      <c r="V687" s="76" t="str">
        <f t="shared" si="44"/>
        <v/>
      </c>
      <c r="W687" s="48" t="str">
        <f t="shared" si="44"/>
        <v/>
      </c>
      <c r="X687" s="48" t="str">
        <f t="shared" si="44"/>
        <v/>
      </c>
      <c r="Y687" s="48" t="str">
        <f t="shared" si="44"/>
        <v/>
      </c>
      <c r="Z687" s="49" t="str">
        <f t="shared" si="42"/>
        <v/>
      </c>
      <c r="AA687" s="50" t="str">
        <f t="shared" si="45"/>
        <v/>
      </c>
      <c r="AB687" s="48" t="str">
        <f t="shared" si="45"/>
        <v/>
      </c>
      <c r="AC687" s="48" t="str">
        <f t="shared" si="45"/>
        <v/>
      </c>
      <c r="AD687" s="48" t="str">
        <f t="shared" si="45"/>
        <v/>
      </c>
      <c r="AE687" s="48" t="str">
        <f t="shared" si="43"/>
        <v/>
      </c>
    </row>
    <row r="688" spans="1:31" x14ac:dyDescent="0.25">
      <c r="A688" s="2"/>
      <c r="B688" s="2"/>
      <c r="C688" s="2"/>
      <c r="D688" s="2" t="str">
        <f>IF(ISBLANK(C688),"",VLOOKUP(C688,configuration!$G$7:$H$10,2,FALSE))</f>
        <v/>
      </c>
      <c r="E688" s="2"/>
      <c r="F688" s="2"/>
      <c r="G688" s="2"/>
      <c r="H688" s="2" t="str">
        <f>IF(ISBLANK(G688),"",VLOOKUP(G688,configuration!$J$7:$K$10,2,FALSE))</f>
        <v/>
      </c>
      <c r="I688" s="30"/>
      <c r="J688" s="2"/>
      <c r="K688" s="31"/>
      <c r="L688" s="35"/>
      <c r="M688" s="2" t="str">
        <f>IF(ISBLANK(L688),"",VLOOKUP(L688,configuration!$M$7:$N$10,2,FALSE))</f>
        <v/>
      </c>
      <c r="N688" s="30"/>
      <c r="O688" s="2"/>
      <c r="P688" s="31"/>
      <c r="Q688" s="54"/>
      <c r="R688" s="55" t="str">
        <f>IF(ISBLANK(Q688),"",VLOOKUP(Q688,configuration!$P$7:$Q$10,2,FALSE))</f>
        <v/>
      </c>
      <c r="S688" s="56"/>
      <c r="T688" s="55"/>
      <c r="U688" s="78"/>
      <c r="V688" s="76" t="str">
        <f t="shared" si="44"/>
        <v/>
      </c>
      <c r="W688" s="48" t="str">
        <f t="shared" si="44"/>
        <v/>
      </c>
      <c r="X688" s="48" t="str">
        <f t="shared" si="44"/>
        <v/>
      </c>
      <c r="Y688" s="48" t="str">
        <f t="shared" si="44"/>
        <v/>
      </c>
      <c r="Z688" s="49" t="str">
        <f t="shared" si="42"/>
        <v/>
      </c>
      <c r="AA688" s="50" t="str">
        <f t="shared" si="45"/>
        <v/>
      </c>
      <c r="AB688" s="48" t="str">
        <f t="shared" si="45"/>
        <v/>
      </c>
      <c r="AC688" s="48" t="str">
        <f t="shared" si="45"/>
        <v/>
      </c>
      <c r="AD688" s="48" t="str">
        <f t="shared" si="45"/>
        <v/>
      </c>
      <c r="AE688" s="48" t="str">
        <f t="shared" si="43"/>
        <v/>
      </c>
    </row>
    <row r="689" spans="1:31" x14ac:dyDescent="0.25">
      <c r="A689" s="2"/>
      <c r="B689" s="2"/>
      <c r="C689" s="2"/>
      <c r="D689" s="2" t="str">
        <f>IF(ISBLANK(C689),"",VLOOKUP(C689,configuration!$G$7:$H$10,2,FALSE))</f>
        <v/>
      </c>
      <c r="E689" s="2"/>
      <c r="F689" s="2"/>
      <c r="G689" s="2"/>
      <c r="H689" s="2" t="str">
        <f>IF(ISBLANK(G689),"",VLOOKUP(G689,configuration!$J$7:$K$10,2,FALSE))</f>
        <v/>
      </c>
      <c r="I689" s="30"/>
      <c r="J689" s="2"/>
      <c r="K689" s="31"/>
      <c r="L689" s="35"/>
      <c r="M689" s="2" t="str">
        <f>IF(ISBLANK(L689),"",VLOOKUP(L689,configuration!$M$7:$N$10,2,FALSE))</f>
        <v/>
      </c>
      <c r="N689" s="30"/>
      <c r="O689" s="2"/>
      <c r="P689" s="31"/>
      <c r="Q689" s="54"/>
      <c r="R689" s="55" t="str">
        <f>IF(ISBLANK(Q689),"",VLOOKUP(Q689,configuration!$P$7:$Q$10,2,FALSE))</f>
        <v/>
      </c>
      <c r="S689" s="56"/>
      <c r="T689" s="55"/>
      <c r="U689" s="78"/>
      <c r="V689" s="76" t="str">
        <f t="shared" si="44"/>
        <v/>
      </c>
      <c r="W689" s="48" t="str">
        <f t="shared" si="44"/>
        <v/>
      </c>
      <c r="X689" s="48" t="str">
        <f t="shared" si="44"/>
        <v/>
      </c>
      <c r="Y689" s="48" t="str">
        <f t="shared" si="44"/>
        <v/>
      </c>
      <c r="Z689" s="49" t="str">
        <f t="shared" si="42"/>
        <v/>
      </c>
      <c r="AA689" s="50" t="str">
        <f t="shared" si="45"/>
        <v/>
      </c>
      <c r="AB689" s="48" t="str">
        <f t="shared" si="45"/>
        <v/>
      </c>
      <c r="AC689" s="48" t="str">
        <f t="shared" si="45"/>
        <v/>
      </c>
      <c r="AD689" s="48" t="str">
        <f t="shared" si="45"/>
        <v/>
      </c>
      <c r="AE689" s="48" t="str">
        <f t="shared" si="43"/>
        <v/>
      </c>
    </row>
    <row r="690" spans="1:31" x14ac:dyDescent="0.25">
      <c r="A690" s="2"/>
      <c r="B690" s="2"/>
      <c r="C690" s="2"/>
      <c r="D690" s="2" t="str">
        <f>IF(ISBLANK(C690),"",VLOOKUP(C690,configuration!$G$7:$H$10,2,FALSE))</f>
        <v/>
      </c>
      <c r="E690" s="2"/>
      <c r="F690" s="2"/>
      <c r="G690" s="2"/>
      <c r="H690" s="2" t="str">
        <f>IF(ISBLANK(G690),"",VLOOKUP(G690,configuration!$J$7:$K$10,2,FALSE))</f>
        <v/>
      </c>
      <c r="I690" s="30"/>
      <c r="J690" s="2"/>
      <c r="K690" s="31"/>
      <c r="L690" s="35"/>
      <c r="M690" s="2" t="str">
        <f>IF(ISBLANK(L690),"",VLOOKUP(L690,configuration!$M$7:$N$10,2,FALSE))</f>
        <v/>
      </c>
      <c r="N690" s="30"/>
      <c r="O690" s="2"/>
      <c r="P690" s="31"/>
      <c r="Q690" s="54"/>
      <c r="R690" s="55" t="str">
        <f>IF(ISBLANK(Q690),"",VLOOKUP(Q690,configuration!$P$7:$Q$10,2,FALSE))</f>
        <v/>
      </c>
      <c r="S690" s="56"/>
      <c r="T690" s="55"/>
      <c r="U690" s="78"/>
      <c r="V690" s="76" t="str">
        <f t="shared" si="44"/>
        <v/>
      </c>
      <c r="W690" s="48" t="str">
        <f t="shared" si="44"/>
        <v/>
      </c>
      <c r="X690" s="48" t="str">
        <f t="shared" si="44"/>
        <v/>
      </c>
      <c r="Y690" s="48" t="str">
        <f t="shared" si="44"/>
        <v/>
      </c>
      <c r="Z690" s="49" t="str">
        <f t="shared" si="42"/>
        <v/>
      </c>
      <c r="AA690" s="50" t="str">
        <f t="shared" si="45"/>
        <v/>
      </c>
      <c r="AB690" s="48" t="str">
        <f t="shared" si="45"/>
        <v/>
      </c>
      <c r="AC690" s="48" t="str">
        <f t="shared" si="45"/>
        <v/>
      </c>
      <c r="AD690" s="48" t="str">
        <f t="shared" si="45"/>
        <v/>
      </c>
      <c r="AE690" s="48" t="str">
        <f t="shared" si="43"/>
        <v/>
      </c>
    </row>
    <row r="691" spans="1:31" x14ac:dyDescent="0.25">
      <c r="A691" s="2"/>
      <c r="B691" s="2"/>
      <c r="C691" s="2"/>
      <c r="D691" s="2" t="str">
        <f>IF(ISBLANK(C691),"",VLOOKUP(C691,configuration!$G$7:$H$10,2,FALSE))</f>
        <v/>
      </c>
      <c r="E691" s="2"/>
      <c r="F691" s="2"/>
      <c r="G691" s="2"/>
      <c r="H691" s="2" t="str">
        <f>IF(ISBLANK(G691),"",VLOOKUP(G691,configuration!$J$7:$K$10,2,FALSE))</f>
        <v/>
      </c>
      <c r="I691" s="30"/>
      <c r="J691" s="2"/>
      <c r="K691" s="31"/>
      <c r="L691" s="35"/>
      <c r="M691" s="2" t="str">
        <f>IF(ISBLANK(L691),"",VLOOKUP(L691,configuration!$M$7:$N$10,2,FALSE))</f>
        <v/>
      </c>
      <c r="N691" s="30"/>
      <c r="O691" s="2"/>
      <c r="P691" s="31"/>
      <c r="Q691" s="54"/>
      <c r="R691" s="55" t="str">
        <f>IF(ISBLANK(Q691),"",VLOOKUP(Q691,configuration!$P$7:$Q$10,2,FALSE))</f>
        <v/>
      </c>
      <c r="S691" s="56"/>
      <c r="T691" s="55"/>
      <c r="U691" s="78"/>
      <c r="V691" s="76" t="str">
        <f t="shared" si="44"/>
        <v/>
      </c>
      <c r="W691" s="48" t="str">
        <f t="shared" si="44"/>
        <v/>
      </c>
      <c r="X691" s="48" t="str">
        <f t="shared" si="44"/>
        <v/>
      </c>
      <c r="Y691" s="48" t="str">
        <f t="shared" si="44"/>
        <v/>
      </c>
      <c r="Z691" s="49" t="str">
        <f t="shared" si="42"/>
        <v/>
      </c>
      <c r="AA691" s="50" t="str">
        <f t="shared" si="45"/>
        <v/>
      </c>
      <c r="AB691" s="48" t="str">
        <f t="shared" si="45"/>
        <v/>
      </c>
      <c r="AC691" s="48" t="str">
        <f t="shared" si="45"/>
        <v/>
      </c>
      <c r="AD691" s="48" t="str">
        <f t="shared" si="45"/>
        <v/>
      </c>
      <c r="AE691" s="48" t="str">
        <f t="shared" si="43"/>
        <v/>
      </c>
    </row>
    <row r="692" spans="1:31" x14ac:dyDescent="0.25">
      <c r="A692" s="2"/>
      <c r="B692" s="2"/>
      <c r="C692" s="2"/>
      <c r="D692" s="2" t="str">
        <f>IF(ISBLANK(C692),"",VLOOKUP(C692,configuration!$G$7:$H$10,2,FALSE))</f>
        <v/>
      </c>
      <c r="E692" s="2"/>
      <c r="F692" s="2"/>
      <c r="G692" s="2"/>
      <c r="H692" s="2" t="str">
        <f>IF(ISBLANK(G692),"",VLOOKUP(G692,configuration!$J$7:$K$10,2,FALSE))</f>
        <v/>
      </c>
      <c r="I692" s="30"/>
      <c r="J692" s="2"/>
      <c r="K692" s="31"/>
      <c r="L692" s="35"/>
      <c r="M692" s="2" t="str">
        <f>IF(ISBLANK(L692),"",VLOOKUP(L692,configuration!$M$7:$N$10,2,FALSE))</f>
        <v/>
      </c>
      <c r="N692" s="30"/>
      <c r="O692" s="2"/>
      <c r="P692" s="31"/>
      <c r="Q692" s="54"/>
      <c r="R692" s="55" t="str">
        <f>IF(ISBLANK(Q692),"",VLOOKUP(Q692,configuration!$P$7:$Q$10,2,FALSE))</f>
        <v/>
      </c>
      <c r="S692" s="56"/>
      <c r="T692" s="55"/>
      <c r="U692" s="78"/>
      <c r="V692" s="76" t="str">
        <f t="shared" si="44"/>
        <v/>
      </c>
      <c r="W692" s="48" t="str">
        <f t="shared" si="44"/>
        <v/>
      </c>
      <c r="X692" s="48" t="str">
        <f t="shared" si="44"/>
        <v/>
      </c>
      <c r="Y692" s="48" t="str">
        <f t="shared" si="44"/>
        <v/>
      </c>
      <c r="Z692" s="49" t="str">
        <f t="shared" si="42"/>
        <v/>
      </c>
      <c r="AA692" s="50" t="str">
        <f t="shared" si="45"/>
        <v/>
      </c>
      <c r="AB692" s="48" t="str">
        <f t="shared" si="45"/>
        <v/>
      </c>
      <c r="AC692" s="48" t="str">
        <f t="shared" si="45"/>
        <v/>
      </c>
      <c r="AD692" s="48" t="str">
        <f t="shared" si="45"/>
        <v/>
      </c>
      <c r="AE692" s="48" t="str">
        <f t="shared" si="43"/>
        <v/>
      </c>
    </row>
    <row r="693" spans="1:31" x14ac:dyDescent="0.25">
      <c r="A693" s="2"/>
      <c r="B693" s="2"/>
      <c r="C693" s="2"/>
      <c r="D693" s="2" t="str">
        <f>IF(ISBLANK(C693),"",VLOOKUP(C693,configuration!$G$7:$H$10,2,FALSE))</f>
        <v/>
      </c>
      <c r="E693" s="2"/>
      <c r="F693" s="2"/>
      <c r="G693" s="2"/>
      <c r="H693" s="2" t="str">
        <f>IF(ISBLANK(G693),"",VLOOKUP(G693,configuration!$J$7:$K$10,2,FALSE))</f>
        <v/>
      </c>
      <c r="I693" s="30"/>
      <c r="J693" s="2"/>
      <c r="K693" s="31"/>
      <c r="L693" s="35"/>
      <c r="M693" s="2" t="str">
        <f>IF(ISBLANK(L693),"",VLOOKUP(L693,configuration!$M$7:$N$10,2,FALSE))</f>
        <v/>
      </c>
      <c r="N693" s="30"/>
      <c r="O693" s="2"/>
      <c r="P693" s="31"/>
      <c r="Q693" s="54"/>
      <c r="R693" s="55" t="str">
        <f>IF(ISBLANK(Q693),"",VLOOKUP(Q693,configuration!$P$7:$Q$10,2,FALSE))</f>
        <v/>
      </c>
      <c r="S693" s="56"/>
      <c r="T693" s="55"/>
      <c r="U693" s="78"/>
      <c r="V693" s="76" t="str">
        <f t="shared" si="44"/>
        <v/>
      </c>
      <c r="W693" s="48" t="str">
        <f t="shared" si="44"/>
        <v/>
      </c>
      <c r="X693" s="48" t="str">
        <f t="shared" si="44"/>
        <v/>
      </c>
      <c r="Y693" s="48" t="str">
        <f t="shared" si="44"/>
        <v/>
      </c>
      <c r="Z693" s="49" t="str">
        <f t="shared" si="42"/>
        <v/>
      </c>
      <c r="AA693" s="50" t="str">
        <f t="shared" si="45"/>
        <v/>
      </c>
      <c r="AB693" s="48" t="str">
        <f t="shared" si="45"/>
        <v/>
      </c>
      <c r="AC693" s="48" t="str">
        <f t="shared" si="45"/>
        <v/>
      </c>
      <c r="AD693" s="48" t="str">
        <f t="shared" si="45"/>
        <v/>
      </c>
      <c r="AE693" s="48" t="str">
        <f t="shared" si="43"/>
        <v/>
      </c>
    </row>
    <row r="694" spans="1:31" x14ac:dyDescent="0.25">
      <c r="A694" s="2"/>
      <c r="B694" s="2"/>
      <c r="C694" s="2"/>
      <c r="D694" s="2" t="str">
        <f>IF(ISBLANK(C694),"",VLOOKUP(C694,configuration!$G$7:$H$10,2,FALSE))</f>
        <v/>
      </c>
      <c r="E694" s="2"/>
      <c r="F694" s="2"/>
      <c r="G694" s="2"/>
      <c r="H694" s="2" t="str">
        <f>IF(ISBLANK(G694),"",VLOOKUP(G694,configuration!$J$7:$K$10,2,FALSE))</f>
        <v/>
      </c>
      <c r="I694" s="30"/>
      <c r="J694" s="2"/>
      <c r="K694" s="31"/>
      <c r="L694" s="35"/>
      <c r="M694" s="2" t="str">
        <f>IF(ISBLANK(L694),"",VLOOKUP(L694,configuration!$M$7:$N$10,2,FALSE))</f>
        <v/>
      </c>
      <c r="N694" s="30"/>
      <c r="O694" s="2"/>
      <c r="P694" s="31"/>
      <c r="Q694" s="54"/>
      <c r="R694" s="55" t="str">
        <f>IF(ISBLANK(Q694),"",VLOOKUP(Q694,configuration!$P$7:$Q$10,2,FALSE))</f>
        <v/>
      </c>
      <c r="S694" s="56"/>
      <c r="T694" s="55"/>
      <c r="U694" s="78"/>
      <c r="V694" s="76" t="str">
        <f t="shared" si="44"/>
        <v/>
      </c>
      <c r="W694" s="48" t="str">
        <f t="shared" si="44"/>
        <v/>
      </c>
      <c r="X694" s="48" t="str">
        <f t="shared" si="44"/>
        <v/>
      </c>
      <c r="Y694" s="48" t="str">
        <f t="shared" si="44"/>
        <v/>
      </c>
      <c r="Z694" s="49" t="str">
        <f t="shared" si="42"/>
        <v/>
      </c>
      <c r="AA694" s="50" t="str">
        <f t="shared" si="45"/>
        <v/>
      </c>
      <c r="AB694" s="48" t="str">
        <f t="shared" si="45"/>
        <v/>
      </c>
      <c r="AC694" s="48" t="str">
        <f t="shared" si="45"/>
        <v/>
      </c>
      <c r="AD694" s="48" t="str">
        <f t="shared" si="45"/>
        <v/>
      </c>
      <c r="AE694" s="48" t="str">
        <f t="shared" si="43"/>
        <v/>
      </c>
    </row>
    <row r="695" spans="1:31" x14ac:dyDescent="0.25">
      <c r="A695" s="2"/>
      <c r="B695" s="2"/>
      <c r="C695" s="2"/>
      <c r="D695" s="2" t="str">
        <f>IF(ISBLANK(C695),"",VLOOKUP(C695,configuration!$G$7:$H$10,2,FALSE))</f>
        <v/>
      </c>
      <c r="E695" s="2"/>
      <c r="F695" s="2"/>
      <c r="G695" s="2"/>
      <c r="H695" s="2" t="str">
        <f>IF(ISBLANK(G695),"",VLOOKUP(G695,configuration!$J$7:$K$10,2,FALSE))</f>
        <v/>
      </c>
      <c r="I695" s="30"/>
      <c r="J695" s="2"/>
      <c r="K695" s="31"/>
      <c r="L695" s="35"/>
      <c r="M695" s="2" t="str">
        <f>IF(ISBLANK(L695),"",VLOOKUP(L695,configuration!$M$7:$N$10,2,FALSE))</f>
        <v/>
      </c>
      <c r="N695" s="30"/>
      <c r="O695" s="2"/>
      <c r="P695" s="31"/>
      <c r="Q695" s="54"/>
      <c r="R695" s="55" t="str">
        <f>IF(ISBLANK(Q695),"",VLOOKUP(Q695,configuration!$P$7:$Q$10,2,FALSE))</f>
        <v/>
      </c>
      <c r="S695" s="56"/>
      <c r="T695" s="55"/>
      <c r="U695" s="78"/>
      <c r="V695" s="76" t="str">
        <f t="shared" si="44"/>
        <v/>
      </c>
      <c r="W695" s="48" t="str">
        <f t="shared" si="44"/>
        <v/>
      </c>
      <c r="X695" s="48" t="str">
        <f t="shared" si="44"/>
        <v/>
      </c>
      <c r="Y695" s="48" t="str">
        <f t="shared" si="44"/>
        <v/>
      </c>
      <c r="Z695" s="49" t="str">
        <f t="shared" si="42"/>
        <v/>
      </c>
      <c r="AA695" s="50" t="str">
        <f t="shared" si="45"/>
        <v/>
      </c>
      <c r="AB695" s="48" t="str">
        <f t="shared" si="45"/>
        <v/>
      </c>
      <c r="AC695" s="48" t="str">
        <f t="shared" si="45"/>
        <v/>
      </c>
      <c r="AD695" s="48" t="str">
        <f t="shared" si="45"/>
        <v/>
      </c>
      <c r="AE695" s="48" t="str">
        <f t="shared" si="43"/>
        <v/>
      </c>
    </row>
    <row r="696" spans="1:31" x14ac:dyDescent="0.25">
      <c r="A696" s="2"/>
      <c r="B696" s="2"/>
      <c r="C696" s="2"/>
      <c r="D696" s="2" t="str">
        <f>IF(ISBLANK(C696),"",VLOOKUP(C696,configuration!$G$7:$H$10,2,FALSE))</f>
        <v/>
      </c>
      <c r="E696" s="2"/>
      <c r="F696" s="2"/>
      <c r="G696" s="2"/>
      <c r="H696" s="2" t="str">
        <f>IF(ISBLANK(G696),"",VLOOKUP(G696,configuration!$J$7:$K$10,2,FALSE))</f>
        <v/>
      </c>
      <c r="I696" s="30"/>
      <c r="J696" s="2"/>
      <c r="K696" s="31"/>
      <c r="L696" s="35"/>
      <c r="M696" s="2" t="str">
        <f>IF(ISBLANK(L696),"",VLOOKUP(L696,configuration!$M$7:$N$10,2,FALSE))</f>
        <v/>
      </c>
      <c r="N696" s="30"/>
      <c r="O696" s="2"/>
      <c r="P696" s="31"/>
      <c r="Q696" s="54"/>
      <c r="R696" s="55" t="str">
        <f>IF(ISBLANK(Q696),"",VLOOKUP(Q696,configuration!$P$7:$Q$10,2,FALSE))</f>
        <v/>
      </c>
      <c r="S696" s="56"/>
      <c r="T696" s="55"/>
      <c r="U696" s="78"/>
      <c r="V696" s="76" t="str">
        <f t="shared" si="44"/>
        <v/>
      </c>
      <c r="W696" s="48" t="str">
        <f t="shared" si="44"/>
        <v/>
      </c>
      <c r="X696" s="48" t="str">
        <f t="shared" si="44"/>
        <v/>
      </c>
      <c r="Y696" s="48" t="str">
        <f t="shared" si="44"/>
        <v/>
      </c>
      <c r="Z696" s="49" t="str">
        <f t="shared" si="42"/>
        <v/>
      </c>
      <c r="AA696" s="50" t="str">
        <f t="shared" si="45"/>
        <v/>
      </c>
      <c r="AB696" s="48" t="str">
        <f t="shared" si="45"/>
        <v/>
      </c>
      <c r="AC696" s="48" t="str">
        <f t="shared" si="45"/>
        <v/>
      </c>
      <c r="AD696" s="48" t="str">
        <f t="shared" si="45"/>
        <v/>
      </c>
      <c r="AE696" s="48" t="str">
        <f t="shared" si="43"/>
        <v/>
      </c>
    </row>
    <row r="697" spans="1:31" x14ac:dyDescent="0.25">
      <c r="A697" s="2"/>
      <c r="B697" s="2"/>
      <c r="C697" s="2"/>
      <c r="D697" s="2" t="str">
        <f>IF(ISBLANK(C697),"",VLOOKUP(C697,configuration!$G$7:$H$10,2,FALSE))</f>
        <v/>
      </c>
      <c r="E697" s="2"/>
      <c r="F697" s="2"/>
      <c r="G697" s="2"/>
      <c r="H697" s="2" t="str">
        <f>IF(ISBLANK(G697),"",VLOOKUP(G697,configuration!$J$7:$K$10,2,FALSE))</f>
        <v/>
      </c>
      <c r="I697" s="30"/>
      <c r="J697" s="2"/>
      <c r="K697" s="31"/>
      <c r="L697" s="35"/>
      <c r="M697" s="2" t="str">
        <f>IF(ISBLANK(L697),"",VLOOKUP(L697,configuration!$M$7:$N$10,2,FALSE))</f>
        <v/>
      </c>
      <c r="N697" s="30"/>
      <c r="O697" s="2"/>
      <c r="P697" s="31"/>
      <c r="Q697" s="54"/>
      <c r="R697" s="55" t="str">
        <f>IF(ISBLANK(Q697),"",VLOOKUP(Q697,configuration!$P$7:$Q$10,2,FALSE))</f>
        <v/>
      </c>
      <c r="S697" s="56"/>
      <c r="T697" s="55"/>
      <c r="U697" s="78"/>
      <c r="V697" s="76" t="str">
        <f t="shared" si="44"/>
        <v/>
      </c>
      <c r="W697" s="48" t="str">
        <f t="shared" si="44"/>
        <v/>
      </c>
      <c r="X697" s="48" t="str">
        <f t="shared" si="44"/>
        <v/>
      </c>
      <c r="Y697" s="48" t="str">
        <f t="shared" si="44"/>
        <v/>
      </c>
      <c r="Z697" s="49" t="str">
        <f t="shared" si="42"/>
        <v/>
      </c>
      <c r="AA697" s="50" t="str">
        <f t="shared" si="45"/>
        <v/>
      </c>
      <c r="AB697" s="48" t="str">
        <f t="shared" si="45"/>
        <v/>
      </c>
      <c r="AC697" s="48" t="str">
        <f t="shared" si="45"/>
        <v/>
      </c>
      <c r="AD697" s="48" t="str">
        <f t="shared" si="45"/>
        <v/>
      </c>
      <c r="AE697" s="48" t="str">
        <f t="shared" si="43"/>
        <v/>
      </c>
    </row>
    <row r="698" spans="1:31" x14ac:dyDescent="0.25">
      <c r="A698" s="2"/>
      <c r="B698" s="2"/>
      <c r="C698" s="2"/>
      <c r="D698" s="2" t="str">
        <f>IF(ISBLANK(C698),"",VLOOKUP(C698,configuration!$G$7:$H$10,2,FALSE))</f>
        <v/>
      </c>
      <c r="E698" s="2"/>
      <c r="F698" s="2"/>
      <c r="G698" s="2"/>
      <c r="H698" s="2" t="str">
        <f>IF(ISBLANK(G698),"",VLOOKUP(G698,configuration!$J$7:$K$10,2,FALSE))</f>
        <v/>
      </c>
      <c r="I698" s="30"/>
      <c r="J698" s="2"/>
      <c r="K698" s="31"/>
      <c r="L698" s="35"/>
      <c r="M698" s="2" t="str">
        <f>IF(ISBLANK(L698),"",VLOOKUP(L698,configuration!$M$7:$N$10,2,FALSE))</f>
        <v/>
      </c>
      <c r="N698" s="30"/>
      <c r="O698" s="2"/>
      <c r="P698" s="31"/>
      <c r="Q698" s="54"/>
      <c r="R698" s="55" t="str">
        <f>IF(ISBLANK(Q698),"",VLOOKUP(Q698,configuration!$P$7:$Q$10,2,FALSE))</f>
        <v/>
      </c>
      <c r="S698" s="56"/>
      <c r="T698" s="55"/>
      <c r="U698" s="78"/>
      <c r="V698" s="76" t="str">
        <f t="shared" si="44"/>
        <v/>
      </c>
      <c r="W698" s="48" t="str">
        <f t="shared" si="44"/>
        <v/>
      </c>
      <c r="X698" s="48" t="str">
        <f t="shared" si="44"/>
        <v/>
      </c>
      <c r="Y698" s="48" t="str">
        <f t="shared" si="44"/>
        <v/>
      </c>
      <c r="Z698" s="49" t="str">
        <f t="shared" si="42"/>
        <v/>
      </c>
      <c r="AA698" s="50" t="str">
        <f t="shared" si="45"/>
        <v/>
      </c>
      <c r="AB698" s="48" t="str">
        <f t="shared" si="45"/>
        <v/>
      </c>
      <c r="AC698" s="48" t="str">
        <f t="shared" si="45"/>
        <v/>
      </c>
      <c r="AD698" s="48" t="str">
        <f t="shared" si="45"/>
        <v/>
      </c>
      <c r="AE698" s="48" t="str">
        <f t="shared" si="43"/>
        <v/>
      </c>
    </row>
    <row r="699" spans="1:31" x14ac:dyDescent="0.25">
      <c r="A699" s="2"/>
      <c r="B699" s="2"/>
      <c r="C699" s="2"/>
      <c r="D699" s="2" t="str">
        <f>IF(ISBLANK(C699),"",VLOOKUP(C699,configuration!$G$7:$H$10,2,FALSE))</f>
        <v/>
      </c>
      <c r="E699" s="2"/>
      <c r="F699" s="2"/>
      <c r="G699" s="2"/>
      <c r="H699" s="2" t="str">
        <f>IF(ISBLANK(G699),"",VLOOKUP(G699,configuration!$J$7:$K$10,2,FALSE))</f>
        <v/>
      </c>
      <c r="I699" s="30"/>
      <c r="J699" s="2"/>
      <c r="K699" s="31"/>
      <c r="L699" s="35"/>
      <c r="M699" s="2" t="str">
        <f>IF(ISBLANK(L699),"",VLOOKUP(L699,configuration!$M$7:$N$10,2,FALSE))</f>
        <v/>
      </c>
      <c r="N699" s="30"/>
      <c r="O699" s="2"/>
      <c r="P699" s="31"/>
      <c r="Q699" s="54"/>
      <c r="R699" s="55" t="str">
        <f>IF(ISBLANK(Q699),"",VLOOKUP(Q699,configuration!$P$7:$Q$10,2,FALSE))</f>
        <v/>
      </c>
      <c r="S699" s="56"/>
      <c r="T699" s="55"/>
      <c r="U699" s="78"/>
      <c r="V699" s="76" t="str">
        <f t="shared" si="44"/>
        <v/>
      </c>
      <c r="W699" s="48" t="str">
        <f t="shared" si="44"/>
        <v/>
      </c>
      <c r="X699" s="48" t="str">
        <f t="shared" si="44"/>
        <v/>
      </c>
      <c r="Y699" s="48" t="str">
        <f t="shared" si="44"/>
        <v/>
      </c>
      <c r="Z699" s="49" t="str">
        <f t="shared" si="42"/>
        <v/>
      </c>
      <c r="AA699" s="50" t="str">
        <f t="shared" si="45"/>
        <v/>
      </c>
      <c r="AB699" s="48" t="str">
        <f t="shared" si="45"/>
        <v/>
      </c>
      <c r="AC699" s="48" t="str">
        <f t="shared" si="45"/>
        <v/>
      </c>
      <c r="AD699" s="48" t="str">
        <f t="shared" si="45"/>
        <v/>
      </c>
      <c r="AE699" s="48" t="str">
        <f t="shared" si="43"/>
        <v/>
      </c>
    </row>
    <row r="700" spans="1:31" x14ac:dyDescent="0.25">
      <c r="A700" s="2"/>
      <c r="B700" s="2"/>
      <c r="C700" s="2"/>
      <c r="D700" s="2" t="str">
        <f>IF(ISBLANK(C700),"",VLOOKUP(C700,configuration!$G$7:$H$10,2,FALSE))</f>
        <v/>
      </c>
      <c r="E700" s="2"/>
      <c r="F700" s="2"/>
      <c r="G700" s="2"/>
      <c r="H700" s="2" t="str">
        <f>IF(ISBLANK(G700),"",VLOOKUP(G700,configuration!$J$7:$K$10,2,FALSE))</f>
        <v/>
      </c>
      <c r="I700" s="30"/>
      <c r="J700" s="2"/>
      <c r="K700" s="31"/>
      <c r="L700" s="35"/>
      <c r="M700" s="2" t="str">
        <f>IF(ISBLANK(L700),"",VLOOKUP(L700,configuration!$M$7:$N$10,2,FALSE))</f>
        <v/>
      </c>
      <c r="N700" s="30"/>
      <c r="O700" s="2"/>
      <c r="P700" s="31"/>
      <c r="Q700" s="54"/>
      <c r="R700" s="55" t="str">
        <f>IF(ISBLANK(Q700),"",VLOOKUP(Q700,configuration!$P$7:$Q$10,2,FALSE))</f>
        <v/>
      </c>
      <c r="S700" s="56"/>
      <c r="T700" s="55"/>
      <c r="U700" s="78"/>
      <c r="V700" s="76" t="str">
        <f t="shared" si="44"/>
        <v/>
      </c>
      <c r="W700" s="48" t="str">
        <f t="shared" si="44"/>
        <v/>
      </c>
      <c r="X700" s="48" t="str">
        <f t="shared" si="44"/>
        <v/>
      </c>
      <c r="Y700" s="48" t="str">
        <f t="shared" si="44"/>
        <v/>
      </c>
      <c r="Z700" s="49" t="str">
        <f t="shared" si="42"/>
        <v/>
      </c>
      <c r="AA700" s="50" t="str">
        <f t="shared" si="45"/>
        <v/>
      </c>
      <c r="AB700" s="48" t="str">
        <f t="shared" si="45"/>
        <v/>
      </c>
      <c r="AC700" s="48" t="str">
        <f t="shared" si="45"/>
        <v/>
      </c>
      <c r="AD700" s="48" t="str">
        <f t="shared" si="45"/>
        <v/>
      </c>
      <c r="AE700" s="48" t="str">
        <f t="shared" si="43"/>
        <v/>
      </c>
    </row>
    <row r="701" spans="1:31" x14ac:dyDescent="0.25">
      <c r="A701" s="2"/>
      <c r="B701" s="2"/>
      <c r="C701" s="2"/>
      <c r="D701" s="2" t="str">
        <f>IF(ISBLANK(C701),"",VLOOKUP(C701,configuration!$G$7:$H$10,2,FALSE))</f>
        <v/>
      </c>
      <c r="E701" s="2"/>
      <c r="F701" s="2"/>
      <c r="G701" s="2"/>
      <c r="H701" s="2" t="str">
        <f>IF(ISBLANK(G701),"",VLOOKUP(G701,configuration!$J$7:$K$10,2,FALSE))</f>
        <v/>
      </c>
      <c r="I701" s="30"/>
      <c r="J701" s="2"/>
      <c r="K701" s="31"/>
      <c r="L701" s="35"/>
      <c r="M701" s="2" t="str">
        <f>IF(ISBLANK(L701),"",VLOOKUP(L701,configuration!$M$7:$N$10,2,FALSE))</f>
        <v/>
      </c>
      <c r="N701" s="30"/>
      <c r="O701" s="2"/>
      <c r="P701" s="31"/>
      <c r="Q701" s="54"/>
      <c r="R701" s="55" t="str">
        <f>IF(ISBLANK(Q701),"",VLOOKUP(Q701,configuration!$P$7:$Q$10,2,FALSE))</f>
        <v/>
      </c>
      <c r="S701" s="56"/>
      <c r="T701" s="55"/>
      <c r="U701" s="78"/>
      <c r="V701" s="76" t="str">
        <f t="shared" si="44"/>
        <v/>
      </c>
      <c r="W701" s="48" t="str">
        <f t="shared" si="44"/>
        <v/>
      </c>
      <c r="X701" s="48" t="str">
        <f t="shared" si="44"/>
        <v/>
      </c>
      <c r="Y701" s="48" t="str">
        <f t="shared" si="44"/>
        <v/>
      </c>
      <c r="Z701" s="49" t="str">
        <f t="shared" si="42"/>
        <v/>
      </c>
      <c r="AA701" s="50" t="str">
        <f t="shared" si="45"/>
        <v/>
      </c>
      <c r="AB701" s="48" t="str">
        <f t="shared" si="45"/>
        <v/>
      </c>
      <c r="AC701" s="48" t="str">
        <f t="shared" si="45"/>
        <v/>
      </c>
      <c r="AD701" s="48" t="str">
        <f t="shared" si="45"/>
        <v/>
      </c>
      <c r="AE701" s="48" t="str">
        <f t="shared" si="43"/>
        <v/>
      </c>
    </row>
    <row r="702" spans="1:31" x14ac:dyDescent="0.25">
      <c r="A702" s="2"/>
      <c r="B702" s="2"/>
      <c r="C702" s="2"/>
      <c r="D702" s="2" t="str">
        <f>IF(ISBLANK(C702),"",VLOOKUP(C702,configuration!$G$7:$H$10,2,FALSE))</f>
        <v/>
      </c>
      <c r="E702" s="2"/>
      <c r="F702" s="2"/>
      <c r="G702" s="2"/>
      <c r="H702" s="2" t="str">
        <f>IF(ISBLANK(G702),"",VLOOKUP(G702,configuration!$J$7:$K$10,2,FALSE))</f>
        <v/>
      </c>
      <c r="I702" s="30"/>
      <c r="J702" s="2"/>
      <c r="K702" s="31"/>
      <c r="L702" s="35"/>
      <c r="M702" s="2" t="str">
        <f>IF(ISBLANK(L702),"",VLOOKUP(L702,configuration!$M$7:$N$10,2,FALSE))</f>
        <v/>
      </c>
      <c r="N702" s="30"/>
      <c r="O702" s="2"/>
      <c r="P702" s="31"/>
      <c r="Q702" s="54"/>
      <c r="R702" s="55" t="str">
        <f>IF(ISBLANK(Q702),"",VLOOKUP(Q702,configuration!$P$7:$Q$10,2,FALSE))</f>
        <v/>
      </c>
      <c r="S702" s="56"/>
      <c r="T702" s="55"/>
      <c r="U702" s="78"/>
      <c r="V702" s="76" t="str">
        <f t="shared" si="44"/>
        <v/>
      </c>
      <c r="W702" s="48" t="str">
        <f t="shared" si="44"/>
        <v/>
      </c>
      <c r="X702" s="48" t="str">
        <f t="shared" si="44"/>
        <v/>
      </c>
      <c r="Y702" s="48" t="str">
        <f t="shared" si="44"/>
        <v/>
      </c>
      <c r="Z702" s="49" t="str">
        <f t="shared" si="42"/>
        <v/>
      </c>
      <c r="AA702" s="50" t="str">
        <f t="shared" si="45"/>
        <v/>
      </c>
      <c r="AB702" s="48" t="str">
        <f t="shared" si="45"/>
        <v/>
      </c>
      <c r="AC702" s="48" t="str">
        <f t="shared" si="45"/>
        <v/>
      </c>
      <c r="AD702" s="48" t="str">
        <f t="shared" si="45"/>
        <v/>
      </c>
      <c r="AE702" s="48" t="str">
        <f t="shared" si="43"/>
        <v/>
      </c>
    </row>
    <row r="703" spans="1:31" x14ac:dyDescent="0.25">
      <c r="A703" s="2"/>
      <c r="B703" s="2"/>
      <c r="C703" s="2"/>
      <c r="D703" s="2" t="str">
        <f>IF(ISBLANK(C703),"",VLOOKUP(C703,configuration!$G$7:$H$10,2,FALSE))</f>
        <v/>
      </c>
      <c r="E703" s="2"/>
      <c r="F703" s="2"/>
      <c r="G703" s="2"/>
      <c r="H703" s="2" t="str">
        <f>IF(ISBLANK(G703),"",VLOOKUP(G703,configuration!$J$7:$K$10,2,FALSE))</f>
        <v/>
      </c>
      <c r="I703" s="30"/>
      <c r="J703" s="2"/>
      <c r="K703" s="31"/>
      <c r="L703" s="35"/>
      <c r="M703" s="2" t="str">
        <f>IF(ISBLANK(L703),"",VLOOKUP(L703,configuration!$M$7:$N$10,2,FALSE))</f>
        <v/>
      </c>
      <c r="N703" s="30"/>
      <c r="O703" s="2"/>
      <c r="P703" s="31"/>
      <c r="Q703" s="54"/>
      <c r="R703" s="55" t="str">
        <f>IF(ISBLANK(Q703),"",VLOOKUP(Q703,configuration!$P$7:$Q$10,2,FALSE))</f>
        <v/>
      </c>
      <c r="S703" s="56"/>
      <c r="T703" s="55"/>
      <c r="U703" s="78"/>
      <c r="V703" s="76" t="str">
        <f t="shared" si="44"/>
        <v/>
      </c>
      <c r="W703" s="48" t="str">
        <f t="shared" si="44"/>
        <v/>
      </c>
      <c r="X703" s="48" t="str">
        <f t="shared" si="44"/>
        <v/>
      </c>
      <c r="Y703" s="48" t="str">
        <f t="shared" si="44"/>
        <v/>
      </c>
      <c r="Z703" s="49" t="str">
        <f t="shared" si="42"/>
        <v/>
      </c>
      <c r="AA703" s="50" t="str">
        <f t="shared" si="45"/>
        <v/>
      </c>
      <c r="AB703" s="48" t="str">
        <f t="shared" si="45"/>
        <v/>
      </c>
      <c r="AC703" s="48" t="str">
        <f t="shared" si="45"/>
        <v/>
      </c>
      <c r="AD703" s="48" t="str">
        <f t="shared" si="45"/>
        <v/>
      </c>
      <c r="AE703" s="48" t="str">
        <f t="shared" si="43"/>
        <v/>
      </c>
    </row>
    <row r="704" spans="1:31" x14ac:dyDescent="0.25">
      <c r="A704" s="2"/>
      <c r="B704" s="2"/>
      <c r="C704" s="2"/>
      <c r="D704" s="2" t="str">
        <f>IF(ISBLANK(C704),"",VLOOKUP(C704,configuration!$G$7:$H$10,2,FALSE))</f>
        <v/>
      </c>
      <c r="E704" s="2"/>
      <c r="F704" s="2"/>
      <c r="G704" s="2"/>
      <c r="H704" s="2" t="str">
        <f>IF(ISBLANK(G704),"",VLOOKUP(G704,configuration!$J$7:$K$10,2,FALSE))</f>
        <v/>
      </c>
      <c r="I704" s="30"/>
      <c r="J704" s="2"/>
      <c r="K704" s="31"/>
      <c r="L704" s="35"/>
      <c r="M704" s="2" t="str">
        <f>IF(ISBLANK(L704),"",VLOOKUP(L704,configuration!$M$7:$N$10,2,FALSE))</f>
        <v/>
      </c>
      <c r="N704" s="30"/>
      <c r="O704" s="2"/>
      <c r="P704" s="31"/>
      <c r="Q704" s="54"/>
      <c r="R704" s="55" t="str">
        <f>IF(ISBLANK(Q704),"",VLOOKUP(Q704,configuration!$P$7:$Q$10,2,FALSE))</f>
        <v/>
      </c>
      <c r="S704" s="56"/>
      <c r="T704" s="55"/>
      <c r="U704" s="78"/>
      <c r="V704" s="76" t="str">
        <f t="shared" si="44"/>
        <v/>
      </c>
      <c r="W704" s="48" t="str">
        <f t="shared" si="44"/>
        <v/>
      </c>
      <c r="X704" s="48" t="str">
        <f t="shared" si="44"/>
        <v/>
      </c>
      <c r="Y704" s="48" t="str">
        <f t="shared" si="44"/>
        <v/>
      </c>
      <c r="Z704" s="49" t="str">
        <f t="shared" si="42"/>
        <v/>
      </c>
      <c r="AA704" s="50" t="str">
        <f t="shared" si="45"/>
        <v/>
      </c>
      <c r="AB704" s="48" t="str">
        <f t="shared" si="45"/>
        <v/>
      </c>
      <c r="AC704" s="48" t="str">
        <f t="shared" si="45"/>
        <v/>
      </c>
      <c r="AD704" s="48" t="str">
        <f t="shared" si="45"/>
        <v/>
      </c>
      <c r="AE704" s="48" t="str">
        <f t="shared" si="43"/>
        <v/>
      </c>
    </row>
    <row r="705" spans="1:31" x14ac:dyDescent="0.25">
      <c r="A705" s="2"/>
      <c r="B705" s="2"/>
      <c r="C705" s="2"/>
      <c r="D705" s="2" t="str">
        <f>IF(ISBLANK(C705),"",VLOOKUP(C705,configuration!$G$7:$H$10,2,FALSE))</f>
        <v/>
      </c>
      <c r="E705" s="2"/>
      <c r="F705" s="2"/>
      <c r="G705" s="2"/>
      <c r="H705" s="2" t="str">
        <f>IF(ISBLANK(G705),"",VLOOKUP(G705,configuration!$J$7:$K$10,2,FALSE))</f>
        <v/>
      </c>
      <c r="I705" s="30"/>
      <c r="J705" s="2"/>
      <c r="K705" s="31"/>
      <c r="L705" s="35"/>
      <c r="M705" s="2" t="str">
        <f>IF(ISBLANK(L705),"",VLOOKUP(L705,configuration!$M$7:$N$10,2,FALSE))</f>
        <v/>
      </c>
      <c r="N705" s="30"/>
      <c r="O705" s="2"/>
      <c r="P705" s="31"/>
      <c r="Q705" s="54"/>
      <c r="R705" s="55" t="str">
        <f>IF(ISBLANK(Q705),"",VLOOKUP(Q705,configuration!$P$7:$Q$10,2,FALSE))</f>
        <v/>
      </c>
      <c r="S705" s="56"/>
      <c r="T705" s="55"/>
      <c r="U705" s="78"/>
      <c r="V705" s="76" t="str">
        <f t="shared" si="44"/>
        <v/>
      </c>
      <c r="W705" s="48" t="str">
        <f t="shared" si="44"/>
        <v/>
      </c>
      <c r="X705" s="48" t="str">
        <f t="shared" si="44"/>
        <v/>
      </c>
      <c r="Y705" s="48" t="str">
        <f t="shared" si="44"/>
        <v/>
      </c>
      <c r="Z705" s="49" t="str">
        <f t="shared" si="42"/>
        <v/>
      </c>
      <c r="AA705" s="50" t="str">
        <f t="shared" si="45"/>
        <v/>
      </c>
      <c r="AB705" s="48" t="str">
        <f t="shared" si="45"/>
        <v/>
      </c>
      <c r="AC705" s="48" t="str">
        <f t="shared" si="45"/>
        <v/>
      </c>
      <c r="AD705" s="48" t="str">
        <f t="shared" si="45"/>
        <v/>
      </c>
      <c r="AE705" s="48" t="str">
        <f t="shared" si="43"/>
        <v/>
      </c>
    </row>
    <row r="706" spans="1:31" x14ac:dyDescent="0.25">
      <c r="A706" s="2"/>
      <c r="B706" s="2"/>
      <c r="C706" s="2"/>
      <c r="D706" s="2" t="str">
        <f>IF(ISBLANK(C706),"",VLOOKUP(C706,configuration!$G$7:$H$10,2,FALSE))</f>
        <v/>
      </c>
      <c r="E706" s="2"/>
      <c r="F706" s="2"/>
      <c r="G706" s="2"/>
      <c r="H706" s="2" t="str">
        <f>IF(ISBLANK(G706),"",VLOOKUP(G706,configuration!$J$7:$K$10,2,FALSE))</f>
        <v/>
      </c>
      <c r="I706" s="30"/>
      <c r="J706" s="2"/>
      <c r="K706" s="31"/>
      <c r="L706" s="35"/>
      <c r="M706" s="2" t="str">
        <f>IF(ISBLANK(L706),"",VLOOKUP(L706,configuration!$M$7:$N$10,2,FALSE))</f>
        <v/>
      </c>
      <c r="N706" s="30"/>
      <c r="O706" s="2"/>
      <c r="P706" s="31"/>
      <c r="Q706" s="54"/>
      <c r="R706" s="55" t="str">
        <f>IF(ISBLANK(Q706),"",VLOOKUP(Q706,configuration!$P$7:$Q$10,2,FALSE))</f>
        <v/>
      </c>
      <c r="S706" s="56"/>
      <c r="T706" s="55"/>
      <c r="U706" s="78"/>
      <c r="V706" s="76" t="str">
        <f t="shared" si="44"/>
        <v/>
      </c>
      <c r="W706" s="48" t="str">
        <f t="shared" si="44"/>
        <v/>
      </c>
      <c r="X706" s="48" t="str">
        <f t="shared" si="44"/>
        <v/>
      </c>
      <c r="Y706" s="48" t="str">
        <f t="shared" si="44"/>
        <v/>
      </c>
      <c r="Z706" s="49" t="str">
        <f t="shared" si="42"/>
        <v/>
      </c>
      <c r="AA706" s="50" t="str">
        <f t="shared" si="45"/>
        <v/>
      </c>
      <c r="AB706" s="48" t="str">
        <f t="shared" si="45"/>
        <v/>
      </c>
      <c r="AC706" s="48" t="str">
        <f t="shared" si="45"/>
        <v/>
      </c>
      <c r="AD706" s="48" t="str">
        <f t="shared" si="45"/>
        <v/>
      </c>
      <c r="AE706" s="48" t="str">
        <f t="shared" si="43"/>
        <v/>
      </c>
    </row>
    <row r="707" spans="1:31" x14ac:dyDescent="0.25">
      <c r="A707" s="2"/>
      <c r="B707" s="2"/>
      <c r="C707" s="2"/>
      <c r="D707" s="2" t="str">
        <f>IF(ISBLANK(C707),"",VLOOKUP(C707,configuration!$G$7:$H$10,2,FALSE))</f>
        <v/>
      </c>
      <c r="E707" s="2"/>
      <c r="F707" s="2"/>
      <c r="G707" s="2"/>
      <c r="H707" s="2" t="str">
        <f>IF(ISBLANK(G707),"",VLOOKUP(G707,configuration!$J$7:$K$10,2,FALSE))</f>
        <v/>
      </c>
      <c r="I707" s="30"/>
      <c r="J707" s="2"/>
      <c r="K707" s="31"/>
      <c r="L707" s="35"/>
      <c r="M707" s="2" t="str">
        <f>IF(ISBLANK(L707),"",VLOOKUP(L707,configuration!$M$7:$N$10,2,FALSE))</f>
        <v/>
      </c>
      <c r="N707" s="30"/>
      <c r="O707" s="2"/>
      <c r="P707" s="31"/>
      <c r="Q707" s="54"/>
      <c r="R707" s="55" t="str">
        <f>IF(ISBLANK(Q707),"",VLOOKUP(Q707,configuration!$P$7:$Q$10,2,FALSE))</f>
        <v/>
      </c>
      <c r="S707" s="56"/>
      <c r="T707" s="55"/>
      <c r="U707" s="78"/>
      <c r="V707" s="76" t="str">
        <f t="shared" si="44"/>
        <v/>
      </c>
      <c r="W707" s="48" t="str">
        <f t="shared" si="44"/>
        <v/>
      </c>
      <c r="X707" s="48" t="str">
        <f t="shared" si="44"/>
        <v/>
      </c>
      <c r="Y707" s="48" t="str">
        <f t="shared" si="44"/>
        <v/>
      </c>
      <c r="Z707" s="49" t="str">
        <f t="shared" si="42"/>
        <v/>
      </c>
      <c r="AA707" s="50" t="str">
        <f t="shared" si="45"/>
        <v/>
      </c>
      <c r="AB707" s="48" t="str">
        <f t="shared" si="45"/>
        <v/>
      </c>
      <c r="AC707" s="48" t="str">
        <f t="shared" si="45"/>
        <v/>
      </c>
      <c r="AD707" s="48" t="str">
        <f t="shared" si="45"/>
        <v/>
      </c>
      <c r="AE707" s="48" t="str">
        <f t="shared" si="43"/>
        <v/>
      </c>
    </row>
    <row r="708" spans="1:31" x14ac:dyDescent="0.25">
      <c r="A708" s="2"/>
      <c r="B708" s="2"/>
      <c r="C708" s="2"/>
      <c r="D708" s="2" t="str">
        <f>IF(ISBLANK(C708),"",VLOOKUP(C708,configuration!$G$7:$H$10,2,FALSE))</f>
        <v/>
      </c>
      <c r="E708" s="2"/>
      <c r="F708" s="2"/>
      <c r="G708" s="2"/>
      <c r="H708" s="2" t="str">
        <f>IF(ISBLANK(G708),"",VLOOKUP(G708,configuration!$J$7:$K$10,2,FALSE))</f>
        <v/>
      </c>
      <c r="I708" s="30"/>
      <c r="J708" s="2"/>
      <c r="K708" s="31"/>
      <c r="L708" s="35"/>
      <c r="M708" s="2" t="str">
        <f>IF(ISBLANK(L708),"",VLOOKUP(L708,configuration!$M$7:$N$10,2,FALSE))</f>
        <v/>
      </c>
      <c r="N708" s="30"/>
      <c r="O708" s="2"/>
      <c r="P708" s="31"/>
      <c r="Q708" s="54"/>
      <c r="R708" s="55" t="str">
        <f>IF(ISBLANK(Q708),"",VLOOKUP(Q708,configuration!$P$7:$Q$10,2,FALSE))</f>
        <v/>
      </c>
      <c r="S708" s="56"/>
      <c r="T708" s="55"/>
      <c r="U708" s="78"/>
      <c r="V708" s="76" t="str">
        <f t="shared" si="44"/>
        <v/>
      </c>
      <c r="W708" s="48" t="str">
        <f t="shared" si="44"/>
        <v/>
      </c>
      <c r="X708" s="48" t="str">
        <f t="shared" si="44"/>
        <v/>
      </c>
      <c r="Y708" s="48" t="str">
        <f t="shared" si="44"/>
        <v/>
      </c>
      <c r="Z708" s="49" t="str">
        <f t="shared" si="42"/>
        <v/>
      </c>
      <c r="AA708" s="50" t="str">
        <f t="shared" si="45"/>
        <v/>
      </c>
      <c r="AB708" s="48" t="str">
        <f t="shared" si="45"/>
        <v/>
      </c>
      <c r="AC708" s="48" t="str">
        <f t="shared" si="45"/>
        <v/>
      </c>
      <c r="AD708" s="48" t="str">
        <f t="shared" si="45"/>
        <v/>
      </c>
      <c r="AE708" s="48" t="str">
        <f t="shared" si="43"/>
        <v/>
      </c>
    </row>
    <row r="709" spans="1:31" x14ac:dyDescent="0.25">
      <c r="A709" s="2"/>
      <c r="B709" s="2"/>
      <c r="C709" s="2"/>
      <c r="D709" s="2" t="str">
        <f>IF(ISBLANK(C709),"",VLOOKUP(C709,configuration!$G$7:$H$10,2,FALSE))</f>
        <v/>
      </c>
      <c r="E709" s="2"/>
      <c r="F709" s="2"/>
      <c r="G709" s="2"/>
      <c r="H709" s="2" t="str">
        <f>IF(ISBLANK(G709),"",VLOOKUP(G709,configuration!$J$7:$K$10,2,FALSE))</f>
        <v/>
      </c>
      <c r="I709" s="30"/>
      <c r="J709" s="2"/>
      <c r="K709" s="31"/>
      <c r="L709" s="35"/>
      <c r="M709" s="2" t="str">
        <f>IF(ISBLANK(L709),"",VLOOKUP(L709,configuration!$M$7:$N$10,2,FALSE))</f>
        <v/>
      </c>
      <c r="N709" s="30"/>
      <c r="O709" s="2"/>
      <c r="P709" s="31"/>
      <c r="Q709" s="54"/>
      <c r="R709" s="55" t="str">
        <f>IF(ISBLANK(Q709),"",VLOOKUP(Q709,configuration!$P$7:$Q$10,2,FALSE))</f>
        <v/>
      </c>
      <c r="S709" s="56"/>
      <c r="T709" s="55"/>
      <c r="U709" s="78"/>
      <c r="V709" s="76" t="str">
        <f t="shared" si="44"/>
        <v/>
      </c>
      <c r="W709" s="48" t="str">
        <f t="shared" si="44"/>
        <v/>
      </c>
      <c r="X709" s="48" t="str">
        <f t="shared" si="44"/>
        <v/>
      </c>
      <c r="Y709" s="48" t="str">
        <f t="shared" si="44"/>
        <v/>
      </c>
      <c r="Z709" s="49" t="str">
        <f t="shared" si="42"/>
        <v/>
      </c>
      <c r="AA709" s="50" t="str">
        <f t="shared" si="45"/>
        <v/>
      </c>
      <c r="AB709" s="48" t="str">
        <f t="shared" si="45"/>
        <v/>
      </c>
      <c r="AC709" s="48" t="str">
        <f t="shared" si="45"/>
        <v/>
      </c>
      <c r="AD709" s="48" t="str">
        <f t="shared" si="45"/>
        <v/>
      </c>
      <c r="AE709" s="48" t="str">
        <f t="shared" si="43"/>
        <v/>
      </c>
    </row>
    <row r="710" spans="1:31" x14ac:dyDescent="0.25">
      <c r="A710" s="2"/>
      <c r="B710" s="2"/>
      <c r="C710" s="2"/>
      <c r="D710" s="2" t="str">
        <f>IF(ISBLANK(C710),"",VLOOKUP(C710,configuration!$G$7:$H$10,2,FALSE))</f>
        <v/>
      </c>
      <c r="E710" s="2"/>
      <c r="F710" s="2"/>
      <c r="G710" s="2"/>
      <c r="H710" s="2" t="str">
        <f>IF(ISBLANK(G710),"",VLOOKUP(G710,configuration!$J$7:$K$10,2,FALSE))</f>
        <v/>
      </c>
      <c r="I710" s="30"/>
      <c r="J710" s="2"/>
      <c r="K710" s="31"/>
      <c r="L710" s="35"/>
      <c r="M710" s="2" t="str">
        <f>IF(ISBLANK(L710),"",VLOOKUP(L710,configuration!$M$7:$N$10,2,FALSE))</f>
        <v/>
      </c>
      <c r="N710" s="30"/>
      <c r="O710" s="2"/>
      <c r="P710" s="31"/>
      <c r="Q710" s="54"/>
      <c r="R710" s="55" t="str">
        <f>IF(ISBLANK(Q710),"",VLOOKUP(Q710,configuration!$P$7:$Q$10,2,FALSE))</f>
        <v/>
      </c>
      <c r="S710" s="56"/>
      <c r="T710" s="55"/>
      <c r="U710" s="78"/>
      <c r="V710" s="76" t="str">
        <f t="shared" si="44"/>
        <v/>
      </c>
      <c r="W710" s="48" t="str">
        <f t="shared" si="44"/>
        <v/>
      </c>
      <c r="X710" s="48" t="str">
        <f t="shared" si="44"/>
        <v/>
      </c>
      <c r="Y710" s="48" t="str">
        <f t="shared" si="44"/>
        <v/>
      </c>
      <c r="Z710" s="49" t="str">
        <f t="shared" ref="Z710:Z773" si="46">IF(AND($G710="",A710&lt;&gt;""),1,"")</f>
        <v/>
      </c>
      <c r="AA710" s="50" t="str">
        <f t="shared" si="45"/>
        <v/>
      </c>
      <c r="AB710" s="48" t="str">
        <f t="shared" si="45"/>
        <v/>
      </c>
      <c r="AC710" s="48" t="str">
        <f t="shared" si="45"/>
        <v/>
      </c>
      <c r="AD710" s="48" t="str">
        <f t="shared" si="45"/>
        <v/>
      </c>
      <c r="AE710" s="48" t="str">
        <f t="shared" ref="AE710:AE773" si="47">IF(AND($L710="",A710&lt;&gt;""),1,"")</f>
        <v/>
      </c>
    </row>
    <row r="711" spans="1:31" x14ac:dyDescent="0.25">
      <c r="A711" s="2"/>
      <c r="B711" s="2"/>
      <c r="C711" s="2"/>
      <c r="D711" s="2" t="str">
        <f>IF(ISBLANK(C711),"",VLOOKUP(C711,configuration!$G$7:$H$10,2,FALSE))</f>
        <v/>
      </c>
      <c r="E711" s="2"/>
      <c r="F711" s="2"/>
      <c r="G711" s="2"/>
      <c r="H711" s="2" t="str">
        <f>IF(ISBLANK(G711),"",VLOOKUP(G711,configuration!$J$7:$K$10,2,FALSE))</f>
        <v/>
      </c>
      <c r="I711" s="30"/>
      <c r="J711" s="2"/>
      <c r="K711" s="31"/>
      <c r="L711" s="35"/>
      <c r="M711" s="2" t="str">
        <f>IF(ISBLANK(L711),"",VLOOKUP(L711,configuration!$M$7:$N$10,2,FALSE))</f>
        <v/>
      </c>
      <c r="N711" s="30"/>
      <c r="O711" s="2"/>
      <c r="P711" s="31"/>
      <c r="Q711" s="54"/>
      <c r="R711" s="55" t="str">
        <f>IF(ISBLANK(Q711),"",VLOOKUP(Q711,configuration!$P$7:$Q$10,2,FALSE))</f>
        <v/>
      </c>
      <c r="S711" s="56"/>
      <c r="T711" s="55"/>
      <c r="U711" s="78"/>
      <c r="V711" s="76" t="str">
        <f t="shared" si="44"/>
        <v/>
      </c>
      <c r="W711" s="48" t="str">
        <f t="shared" si="44"/>
        <v/>
      </c>
      <c r="X711" s="48" t="str">
        <f t="shared" si="44"/>
        <v/>
      </c>
      <c r="Y711" s="48" t="str">
        <f t="shared" si="44"/>
        <v/>
      </c>
      <c r="Z711" s="49" t="str">
        <f t="shared" si="46"/>
        <v/>
      </c>
      <c r="AA711" s="50" t="str">
        <f t="shared" si="45"/>
        <v/>
      </c>
      <c r="AB711" s="48" t="str">
        <f t="shared" si="45"/>
        <v/>
      </c>
      <c r="AC711" s="48" t="str">
        <f t="shared" si="45"/>
        <v/>
      </c>
      <c r="AD711" s="48" t="str">
        <f t="shared" si="45"/>
        <v/>
      </c>
      <c r="AE711" s="48" t="str">
        <f t="shared" si="47"/>
        <v/>
      </c>
    </row>
    <row r="712" spans="1:31" x14ac:dyDescent="0.25">
      <c r="A712" s="2"/>
      <c r="B712" s="2"/>
      <c r="C712" s="2"/>
      <c r="D712" s="2" t="str">
        <f>IF(ISBLANK(C712),"",VLOOKUP(C712,configuration!$G$7:$H$10,2,FALSE))</f>
        <v/>
      </c>
      <c r="E712" s="2"/>
      <c r="F712" s="2"/>
      <c r="G712" s="2"/>
      <c r="H712" s="2" t="str">
        <f>IF(ISBLANK(G712),"",VLOOKUP(G712,configuration!$J$7:$K$10,2,FALSE))</f>
        <v/>
      </c>
      <c r="I712" s="30"/>
      <c r="J712" s="2"/>
      <c r="K712" s="31"/>
      <c r="L712" s="35"/>
      <c r="M712" s="2" t="str">
        <f>IF(ISBLANK(L712),"",VLOOKUP(L712,configuration!$M$7:$N$10,2,FALSE))</f>
        <v/>
      </c>
      <c r="N712" s="30"/>
      <c r="O712" s="2"/>
      <c r="P712" s="31"/>
      <c r="Q712" s="54"/>
      <c r="R712" s="55" t="str">
        <f>IF(ISBLANK(Q712),"",VLOOKUP(Q712,configuration!$P$7:$Q$10,2,FALSE))</f>
        <v/>
      </c>
      <c r="S712" s="56"/>
      <c r="T712" s="55"/>
      <c r="U712" s="78"/>
      <c r="V712" s="76" t="str">
        <f t="shared" si="44"/>
        <v/>
      </c>
      <c r="W712" s="48" t="str">
        <f t="shared" si="44"/>
        <v/>
      </c>
      <c r="X712" s="48" t="str">
        <f t="shared" si="44"/>
        <v/>
      </c>
      <c r="Y712" s="48" t="str">
        <f t="shared" si="44"/>
        <v/>
      </c>
      <c r="Z712" s="49" t="str">
        <f t="shared" si="46"/>
        <v/>
      </c>
      <c r="AA712" s="50" t="str">
        <f t="shared" si="45"/>
        <v/>
      </c>
      <c r="AB712" s="48" t="str">
        <f t="shared" si="45"/>
        <v/>
      </c>
      <c r="AC712" s="48" t="str">
        <f t="shared" si="45"/>
        <v/>
      </c>
      <c r="AD712" s="48" t="str">
        <f t="shared" si="45"/>
        <v/>
      </c>
      <c r="AE712" s="48" t="str">
        <f t="shared" si="47"/>
        <v/>
      </c>
    </row>
    <row r="713" spans="1:31" x14ac:dyDescent="0.25">
      <c r="A713" s="2"/>
      <c r="B713" s="2"/>
      <c r="C713" s="2"/>
      <c r="D713" s="2" t="str">
        <f>IF(ISBLANK(C713),"",VLOOKUP(C713,configuration!$G$7:$H$10,2,FALSE))</f>
        <v/>
      </c>
      <c r="E713" s="2"/>
      <c r="F713" s="2"/>
      <c r="G713" s="2"/>
      <c r="H713" s="2" t="str">
        <f>IF(ISBLANK(G713),"",VLOOKUP(G713,configuration!$J$7:$K$10,2,FALSE))</f>
        <v/>
      </c>
      <c r="I713" s="30"/>
      <c r="J713" s="2"/>
      <c r="K713" s="31"/>
      <c r="L713" s="35"/>
      <c r="M713" s="2" t="str">
        <f>IF(ISBLANK(L713),"",VLOOKUP(L713,configuration!$M$7:$N$10,2,FALSE))</f>
        <v/>
      </c>
      <c r="N713" s="30"/>
      <c r="O713" s="2"/>
      <c r="P713" s="31"/>
      <c r="Q713" s="54"/>
      <c r="R713" s="55" t="str">
        <f>IF(ISBLANK(Q713),"",VLOOKUP(Q713,configuration!$P$7:$Q$10,2,FALSE))</f>
        <v/>
      </c>
      <c r="S713" s="56"/>
      <c r="T713" s="55"/>
      <c r="U713" s="78"/>
      <c r="V713" s="76" t="str">
        <f t="shared" si="44"/>
        <v/>
      </c>
      <c r="W713" s="48" t="str">
        <f t="shared" si="44"/>
        <v/>
      </c>
      <c r="X713" s="48" t="str">
        <f t="shared" si="44"/>
        <v/>
      </c>
      <c r="Y713" s="48" t="str">
        <f t="shared" si="44"/>
        <v/>
      </c>
      <c r="Z713" s="49" t="str">
        <f t="shared" si="46"/>
        <v/>
      </c>
      <c r="AA713" s="50" t="str">
        <f t="shared" si="45"/>
        <v/>
      </c>
      <c r="AB713" s="48" t="str">
        <f t="shared" si="45"/>
        <v/>
      </c>
      <c r="AC713" s="48" t="str">
        <f t="shared" si="45"/>
        <v/>
      </c>
      <c r="AD713" s="48" t="str">
        <f t="shared" si="45"/>
        <v/>
      </c>
      <c r="AE713" s="48" t="str">
        <f t="shared" si="47"/>
        <v/>
      </c>
    </row>
    <row r="714" spans="1:31" x14ac:dyDescent="0.25">
      <c r="A714" s="2"/>
      <c r="B714" s="2"/>
      <c r="C714" s="2"/>
      <c r="D714" s="2" t="str">
        <f>IF(ISBLANK(C714),"",VLOOKUP(C714,configuration!$G$7:$H$10,2,FALSE))</f>
        <v/>
      </c>
      <c r="E714" s="2"/>
      <c r="F714" s="2"/>
      <c r="G714" s="2"/>
      <c r="H714" s="2" t="str">
        <f>IF(ISBLANK(G714),"",VLOOKUP(G714,configuration!$J$7:$K$10,2,FALSE))</f>
        <v/>
      </c>
      <c r="I714" s="30"/>
      <c r="J714" s="2"/>
      <c r="K714" s="31"/>
      <c r="L714" s="35"/>
      <c r="M714" s="2" t="str">
        <f>IF(ISBLANK(L714),"",VLOOKUP(L714,configuration!$M$7:$N$10,2,FALSE))</f>
        <v/>
      </c>
      <c r="N714" s="30"/>
      <c r="O714" s="2"/>
      <c r="P714" s="31"/>
      <c r="Q714" s="54"/>
      <c r="R714" s="55" t="str">
        <f>IF(ISBLANK(Q714),"",VLOOKUP(Q714,configuration!$P$7:$Q$10,2,FALSE))</f>
        <v/>
      </c>
      <c r="S714" s="56"/>
      <c r="T714" s="55"/>
      <c r="U714" s="78"/>
      <c r="V714" s="76" t="str">
        <f t="shared" si="44"/>
        <v/>
      </c>
      <c r="W714" s="48" t="str">
        <f t="shared" si="44"/>
        <v/>
      </c>
      <c r="X714" s="48" t="str">
        <f t="shared" si="44"/>
        <v/>
      </c>
      <c r="Y714" s="48" t="str">
        <f t="shared" si="44"/>
        <v/>
      </c>
      <c r="Z714" s="49" t="str">
        <f t="shared" si="46"/>
        <v/>
      </c>
      <c r="AA714" s="50" t="str">
        <f t="shared" si="45"/>
        <v/>
      </c>
      <c r="AB714" s="48" t="str">
        <f t="shared" si="45"/>
        <v/>
      </c>
      <c r="AC714" s="48" t="str">
        <f t="shared" si="45"/>
        <v/>
      </c>
      <c r="AD714" s="48" t="str">
        <f t="shared" si="45"/>
        <v/>
      </c>
      <c r="AE714" s="48" t="str">
        <f t="shared" si="47"/>
        <v/>
      </c>
    </row>
    <row r="715" spans="1:31" x14ac:dyDescent="0.25">
      <c r="A715" s="2"/>
      <c r="B715" s="2"/>
      <c r="C715" s="2"/>
      <c r="D715" s="2" t="str">
        <f>IF(ISBLANK(C715),"",VLOOKUP(C715,configuration!$G$7:$H$10,2,FALSE))</f>
        <v/>
      </c>
      <c r="E715" s="2"/>
      <c r="F715" s="2"/>
      <c r="G715" s="2"/>
      <c r="H715" s="2" t="str">
        <f>IF(ISBLANK(G715),"",VLOOKUP(G715,configuration!$J$7:$K$10,2,FALSE))</f>
        <v/>
      </c>
      <c r="I715" s="30"/>
      <c r="J715" s="2"/>
      <c r="K715" s="31"/>
      <c r="L715" s="35"/>
      <c r="M715" s="2" t="str">
        <f>IF(ISBLANK(L715),"",VLOOKUP(L715,configuration!$M$7:$N$10,2,FALSE))</f>
        <v/>
      </c>
      <c r="N715" s="30"/>
      <c r="O715" s="2"/>
      <c r="P715" s="31"/>
      <c r="Q715" s="54"/>
      <c r="R715" s="55" t="str">
        <f>IF(ISBLANK(Q715),"",VLOOKUP(Q715,configuration!$P$7:$Q$10,2,FALSE))</f>
        <v/>
      </c>
      <c r="S715" s="56"/>
      <c r="T715" s="55"/>
      <c r="U715" s="78"/>
      <c r="V715" s="76" t="str">
        <f t="shared" si="44"/>
        <v/>
      </c>
      <c r="W715" s="48" t="str">
        <f t="shared" si="44"/>
        <v/>
      </c>
      <c r="X715" s="48" t="str">
        <f t="shared" si="44"/>
        <v/>
      </c>
      <c r="Y715" s="48" t="str">
        <f t="shared" si="44"/>
        <v/>
      </c>
      <c r="Z715" s="49" t="str">
        <f t="shared" si="46"/>
        <v/>
      </c>
      <c r="AA715" s="50" t="str">
        <f t="shared" si="45"/>
        <v/>
      </c>
      <c r="AB715" s="48" t="str">
        <f t="shared" si="45"/>
        <v/>
      </c>
      <c r="AC715" s="48" t="str">
        <f t="shared" si="45"/>
        <v/>
      </c>
      <c r="AD715" s="48" t="str">
        <f t="shared" si="45"/>
        <v/>
      </c>
      <c r="AE715" s="48" t="str">
        <f t="shared" si="47"/>
        <v/>
      </c>
    </row>
    <row r="716" spans="1:31" x14ac:dyDescent="0.25">
      <c r="A716" s="2"/>
      <c r="B716" s="2"/>
      <c r="C716" s="2"/>
      <c r="D716" s="2" t="str">
        <f>IF(ISBLANK(C716),"",VLOOKUP(C716,configuration!$G$7:$H$10,2,FALSE))</f>
        <v/>
      </c>
      <c r="E716" s="2"/>
      <c r="F716" s="2"/>
      <c r="G716" s="2"/>
      <c r="H716" s="2" t="str">
        <f>IF(ISBLANK(G716),"",VLOOKUP(G716,configuration!$J$7:$K$10,2,FALSE))</f>
        <v/>
      </c>
      <c r="I716" s="30"/>
      <c r="J716" s="2"/>
      <c r="K716" s="31"/>
      <c r="L716" s="35"/>
      <c r="M716" s="2" t="str">
        <f>IF(ISBLANK(L716),"",VLOOKUP(L716,configuration!$M$7:$N$10,2,FALSE))</f>
        <v/>
      </c>
      <c r="N716" s="30"/>
      <c r="O716" s="2"/>
      <c r="P716" s="31"/>
      <c r="Q716" s="54"/>
      <c r="R716" s="55" t="str">
        <f>IF(ISBLANK(Q716),"",VLOOKUP(Q716,configuration!$P$7:$Q$10,2,FALSE))</f>
        <v/>
      </c>
      <c r="S716" s="56"/>
      <c r="T716" s="55"/>
      <c r="U716" s="78"/>
      <c r="V716" s="76" t="str">
        <f t="shared" si="44"/>
        <v/>
      </c>
      <c r="W716" s="48" t="str">
        <f t="shared" si="44"/>
        <v/>
      </c>
      <c r="X716" s="48" t="str">
        <f t="shared" si="44"/>
        <v/>
      </c>
      <c r="Y716" s="48" t="str">
        <f t="shared" si="44"/>
        <v/>
      </c>
      <c r="Z716" s="49" t="str">
        <f t="shared" si="46"/>
        <v/>
      </c>
      <c r="AA716" s="50" t="str">
        <f t="shared" si="45"/>
        <v/>
      </c>
      <c r="AB716" s="48" t="str">
        <f t="shared" si="45"/>
        <v/>
      </c>
      <c r="AC716" s="48" t="str">
        <f t="shared" si="45"/>
        <v/>
      </c>
      <c r="AD716" s="48" t="str">
        <f t="shared" si="45"/>
        <v/>
      </c>
      <c r="AE716" s="48" t="str">
        <f t="shared" si="47"/>
        <v/>
      </c>
    </row>
    <row r="717" spans="1:31" x14ac:dyDescent="0.25">
      <c r="A717" s="2"/>
      <c r="B717" s="2"/>
      <c r="C717" s="2"/>
      <c r="D717" s="2" t="str">
        <f>IF(ISBLANK(C717),"",VLOOKUP(C717,configuration!$G$7:$H$10,2,FALSE))</f>
        <v/>
      </c>
      <c r="E717" s="2"/>
      <c r="F717" s="2"/>
      <c r="G717" s="2"/>
      <c r="H717" s="2" t="str">
        <f>IF(ISBLANK(G717),"",VLOOKUP(G717,configuration!$J$7:$K$10,2,FALSE))</f>
        <v/>
      </c>
      <c r="I717" s="30"/>
      <c r="J717" s="2"/>
      <c r="K717" s="31"/>
      <c r="L717" s="35"/>
      <c r="M717" s="2" t="str">
        <f>IF(ISBLANK(L717),"",VLOOKUP(L717,configuration!$M$7:$N$10,2,FALSE))</f>
        <v/>
      </c>
      <c r="N717" s="30"/>
      <c r="O717" s="2"/>
      <c r="P717" s="31"/>
      <c r="Q717" s="54"/>
      <c r="R717" s="55" t="str">
        <f>IF(ISBLANK(Q717),"",VLOOKUP(Q717,configuration!$P$7:$Q$10,2,FALSE))</f>
        <v/>
      </c>
      <c r="S717" s="56"/>
      <c r="T717" s="55"/>
      <c r="U717" s="78"/>
      <c r="V717" s="76" t="str">
        <f t="shared" si="44"/>
        <v/>
      </c>
      <c r="W717" s="48" t="str">
        <f t="shared" si="44"/>
        <v/>
      </c>
      <c r="X717" s="48" t="str">
        <f t="shared" si="44"/>
        <v/>
      </c>
      <c r="Y717" s="48" t="str">
        <f t="shared" si="44"/>
        <v/>
      </c>
      <c r="Z717" s="49" t="str">
        <f t="shared" si="46"/>
        <v/>
      </c>
      <c r="AA717" s="50" t="str">
        <f t="shared" si="45"/>
        <v/>
      </c>
      <c r="AB717" s="48" t="str">
        <f t="shared" si="45"/>
        <v/>
      </c>
      <c r="AC717" s="48" t="str">
        <f t="shared" si="45"/>
        <v/>
      </c>
      <c r="AD717" s="48" t="str">
        <f t="shared" si="45"/>
        <v/>
      </c>
      <c r="AE717" s="48" t="str">
        <f t="shared" si="47"/>
        <v/>
      </c>
    </row>
    <row r="718" spans="1:31" x14ac:dyDescent="0.25">
      <c r="A718" s="2"/>
      <c r="B718" s="2"/>
      <c r="C718" s="2"/>
      <c r="D718" s="2" t="str">
        <f>IF(ISBLANK(C718),"",VLOOKUP(C718,configuration!$G$7:$H$10,2,FALSE))</f>
        <v/>
      </c>
      <c r="E718" s="2"/>
      <c r="F718" s="2"/>
      <c r="G718" s="2"/>
      <c r="H718" s="2" t="str">
        <f>IF(ISBLANK(G718),"",VLOOKUP(G718,configuration!$J$7:$K$10,2,FALSE))</f>
        <v/>
      </c>
      <c r="I718" s="30"/>
      <c r="J718" s="2"/>
      <c r="K718" s="31"/>
      <c r="L718" s="35"/>
      <c r="M718" s="2" t="str">
        <f>IF(ISBLANK(L718),"",VLOOKUP(L718,configuration!$M$7:$N$10,2,FALSE))</f>
        <v/>
      </c>
      <c r="N718" s="30"/>
      <c r="O718" s="2"/>
      <c r="P718" s="31"/>
      <c r="Q718" s="54"/>
      <c r="R718" s="55" t="str">
        <f>IF(ISBLANK(Q718),"",VLOOKUP(Q718,configuration!$P$7:$Q$10,2,FALSE))</f>
        <v/>
      </c>
      <c r="S718" s="56"/>
      <c r="T718" s="55"/>
      <c r="U718" s="78"/>
      <c r="V718" s="76" t="str">
        <f t="shared" si="44"/>
        <v/>
      </c>
      <c r="W718" s="48" t="str">
        <f t="shared" si="44"/>
        <v/>
      </c>
      <c r="X718" s="48" t="str">
        <f t="shared" si="44"/>
        <v/>
      </c>
      <c r="Y718" s="48" t="str">
        <f t="shared" si="44"/>
        <v/>
      </c>
      <c r="Z718" s="49" t="str">
        <f t="shared" si="46"/>
        <v/>
      </c>
      <c r="AA718" s="50" t="str">
        <f t="shared" si="45"/>
        <v/>
      </c>
      <c r="AB718" s="48" t="str">
        <f t="shared" si="45"/>
        <v/>
      </c>
      <c r="AC718" s="48" t="str">
        <f t="shared" si="45"/>
        <v/>
      </c>
      <c r="AD718" s="48" t="str">
        <f t="shared" si="45"/>
        <v/>
      </c>
      <c r="AE718" s="48" t="str">
        <f t="shared" si="47"/>
        <v/>
      </c>
    </row>
    <row r="719" spans="1:31" x14ac:dyDescent="0.25">
      <c r="A719" s="2"/>
      <c r="B719" s="2"/>
      <c r="C719" s="2"/>
      <c r="D719" s="2" t="str">
        <f>IF(ISBLANK(C719),"",VLOOKUP(C719,configuration!$G$7:$H$10,2,FALSE))</f>
        <v/>
      </c>
      <c r="E719" s="2"/>
      <c r="F719" s="2"/>
      <c r="G719" s="2"/>
      <c r="H719" s="2" t="str">
        <f>IF(ISBLANK(G719),"",VLOOKUP(G719,configuration!$J$7:$K$10,2,FALSE))</f>
        <v/>
      </c>
      <c r="I719" s="30"/>
      <c r="J719" s="2"/>
      <c r="K719" s="31"/>
      <c r="L719" s="35"/>
      <c r="M719" s="2" t="str">
        <f>IF(ISBLANK(L719),"",VLOOKUP(L719,configuration!$M$7:$N$10,2,FALSE))</f>
        <v/>
      </c>
      <c r="N719" s="30"/>
      <c r="O719" s="2"/>
      <c r="P719" s="31"/>
      <c r="Q719" s="54"/>
      <c r="R719" s="55" t="str">
        <f>IF(ISBLANK(Q719),"",VLOOKUP(Q719,configuration!$P$7:$Q$10,2,FALSE))</f>
        <v/>
      </c>
      <c r="S719" s="56"/>
      <c r="T719" s="55"/>
      <c r="U719" s="78"/>
      <c r="V719" s="76" t="str">
        <f t="shared" si="44"/>
        <v/>
      </c>
      <c r="W719" s="48" t="str">
        <f t="shared" si="44"/>
        <v/>
      </c>
      <c r="X719" s="48" t="str">
        <f t="shared" si="44"/>
        <v/>
      </c>
      <c r="Y719" s="48" t="str">
        <f t="shared" si="44"/>
        <v/>
      </c>
      <c r="Z719" s="49" t="str">
        <f t="shared" si="46"/>
        <v/>
      </c>
      <c r="AA719" s="50" t="str">
        <f t="shared" si="45"/>
        <v/>
      </c>
      <c r="AB719" s="48" t="str">
        <f t="shared" si="45"/>
        <v/>
      </c>
      <c r="AC719" s="48" t="str">
        <f t="shared" si="45"/>
        <v/>
      </c>
      <c r="AD719" s="48" t="str">
        <f t="shared" si="45"/>
        <v/>
      </c>
      <c r="AE719" s="48" t="str">
        <f t="shared" si="47"/>
        <v/>
      </c>
    </row>
    <row r="720" spans="1:31" x14ac:dyDescent="0.25">
      <c r="A720" s="2"/>
      <c r="B720" s="2"/>
      <c r="C720" s="2"/>
      <c r="D720" s="2" t="str">
        <f>IF(ISBLANK(C720),"",VLOOKUP(C720,configuration!$G$7:$H$10,2,FALSE))</f>
        <v/>
      </c>
      <c r="E720" s="2"/>
      <c r="F720" s="2"/>
      <c r="G720" s="2"/>
      <c r="H720" s="2" t="str">
        <f>IF(ISBLANK(G720),"",VLOOKUP(G720,configuration!$J$7:$K$10,2,FALSE))</f>
        <v/>
      </c>
      <c r="I720" s="30"/>
      <c r="J720" s="2"/>
      <c r="K720" s="31"/>
      <c r="L720" s="35"/>
      <c r="M720" s="2" t="str">
        <f>IF(ISBLANK(L720),"",VLOOKUP(L720,configuration!$M$7:$N$10,2,FALSE))</f>
        <v/>
      </c>
      <c r="N720" s="30"/>
      <c r="O720" s="2"/>
      <c r="P720" s="31"/>
      <c r="Q720" s="54"/>
      <c r="R720" s="55" t="str">
        <f>IF(ISBLANK(Q720),"",VLOOKUP(Q720,configuration!$P$7:$Q$10,2,FALSE))</f>
        <v/>
      </c>
      <c r="S720" s="56"/>
      <c r="T720" s="55"/>
      <c r="U720" s="78"/>
      <c r="V720" s="76" t="str">
        <f t="shared" si="44"/>
        <v/>
      </c>
      <c r="W720" s="48" t="str">
        <f t="shared" si="44"/>
        <v/>
      </c>
      <c r="X720" s="48" t="str">
        <f t="shared" si="44"/>
        <v/>
      </c>
      <c r="Y720" s="48" t="str">
        <f t="shared" si="44"/>
        <v/>
      </c>
      <c r="Z720" s="49" t="str">
        <f t="shared" si="46"/>
        <v/>
      </c>
      <c r="AA720" s="50" t="str">
        <f t="shared" si="45"/>
        <v/>
      </c>
      <c r="AB720" s="48" t="str">
        <f t="shared" si="45"/>
        <v/>
      </c>
      <c r="AC720" s="48" t="str">
        <f t="shared" si="45"/>
        <v/>
      </c>
      <c r="AD720" s="48" t="str">
        <f t="shared" si="45"/>
        <v/>
      </c>
      <c r="AE720" s="48" t="str">
        <f t="shared" si="47"/>
        <v/>
      </c>
    </row>
    <row r="721" spans="1:31" x14ac:dyDescent="0.25">
      <c r="A721" s="2"/>
      <c r="B721" s="2"/>
      <c r="C721" s="2"/>
      <c r="D721" s="2" t="str">
        <f>IF(ISBLANK(C721),"",VLOOKUP(C721,configuration!$G$7:$H$10,2,FALSE))</f>
        <v/>
      </c>
      <c r="E721" s="2"/>
      <c r="F721" s="2"/>
      <c r="G721" s="2"/>
      <c r="H721" s="2" t="str">
        <f>IF(ISBLANK(G721),"",VLOOKUP(G721,configuration!$J$7:$K$10,2,FALSE))</f>
        <v/>
      </c>
      <c r="I721" s="30"/>
      <c r="J721" s="2"/>
      <c r="K721" s="31"/>
      <c r="L721" s="35"/>
      <c r="M721" s="2" t="str">
        <f>IF(ISBLANK(L721),"",VLOOKUP(L721,configuration!$M$7:$N$10,2,FALSE))</f>
        <v/>
      </c>
      <c r="N721" s="30"/>
      <c r="O721" s="2"/>
      <c r="P721" s="31"/>
      <c r="Q721" s="54"/>
      <c r="R721" s="55" t="str">
        <f>IF(ISBLANK(Q721),"",VLOOKUP(Q721,configuration!$P$7:$Q$10,2,FALSE))</f>
        <v/>
      </c>
      <c r="S721" s="56"/>
      <c r="T721" s="55"/>
      <c r="U721" s="78"/>
      <c r="V721" s="76" t="str">
        <f t="shared" ref="V721:Y784" si="48">IF($G721=V$4,1,"")</f>
        <v/>
      </c>
      <c r="W721" s="48" t="str">
        <f t="shared" si="48"/>
        <v/>
      </c>
      <c r="X721" s="48" t="str">
        <f t="shared" si="48"/>
        <v/>
      </c>
      <c r="Y721" s="48" t="str">
        <f t="shared" si="48"/>
        <v/>
      </c>
      <c r="Z721" s="49" t="str">
        <f t="shared" si="46"/>
        <v/>
      </c>
      <c r="AA721" s="50" t="str">
        <f t="shared" ref="AA721:AD784" si="49">IF($L721=AA$4,1,"")</f>
        <v/>
      </c>
      <c r="AB721" s="48" t="str">
        <f t="shared" si="49"/>
        <v/>
      </c>
      <c r="AC721" s="48" t="str">
        <f t="shared" si="49"/>
        <v/>
      </c>
      <c r="AD721" s="48" t="str">
        <f t="shared" si="49"/>
        <v/>
      </c>
      <c r="AE721" s="48" t="str">
        <f t="shared" si="47"/>
        <v/>
      </c>
    </row>
    <row r="722" spans="1:31" x14ac:dyDescent="0.25">
      <c r="A722" s="2"/>
      <c r="B722" s="2"/>
      <c r="C722" s="2"/>
      <c r="D722" s="2" t="str">
        <f>IF(ISBLANK(C722),"",VLOOKUP(C722,configuration!$G$7:$H$10,2,FALSE))</f>
        <v/>
      </c>
      <c r="E722" s="2"/>
      <c r="F722" s="2"/>
      <c r="G722" s="2"/>
      <c r="H722" s="2" t="str">
        <f>IF(ISBLANK(G722),"",VLOOKUP(G722,configuration!$J$7:$K$10,2,FALSE))</f>
        <v/>
      </c>
      <c r="I722" s="30"/>
      <c r="J722" s="2"/>
      <c r="K722" s="31"/>
      <c r="L722" s="35"/>
      <c r="M722" s="2" t="str">
        <f>IF(ISBLANK(L722),"",VLOOKUP(L722,configuration!$M$7:$N$10,2,FALSE))</f>
        <v/>
      </c>
      <c r="N722" s="30"/>
      <c r="O722" s="2"/>
      <c r="P722" s="31"/>
      <c r="Q722" s="54"/>
      <c r="R722" s="55" t="str">
        <f>IF(ISBLANK(Q722),"",VLOOKUP(Q722,configuration!$P$7:$Q$10,2,FALSE))</f>
        <v/>
      </c>
      <c r="S722" s="56"/>
      <c r="T722" s="55"/>
      <c r="U722" s="78"/>
      <c r="V722" s="76" t="str">
        <f t="shared" si="48"/>
        <v/>
      </c>
      <c r="W722" s="48" t="str">
        <f t="shared" si="48"/>
        <v/>
      </c>
      <c r="X722" s="48" t="str">
        <f t="shared" si="48"/>
        <v/>
      </c>
      <c r="Y722" s="48" t="str">
        <f t="shared" si="48"/>
        <v/>
      </c>
      <c r="Z722" s="49" t="str">
        <f t="shared" si="46"/>
        <v/>
      </c>
      <c r="AA722" s="50" t="str">
        <f t="shared" si="49"/>
        <v/>
      </c>
      <c r="AB722" s="48" t="str">
        <f t="shared" si="49"/>
        <v/>
      </c>
      <c r="AC722" s="48" t="str">
        <f t="shared" si="49"/>
        <v/>
      </c>
      <c r="AD722" s="48" t="str">
        <f t="shared" si="49"/>
        <v/>
      </c>
      <c r="AE722" s="48" t="str">
        <f t="shared" si="47"/>
        <v/>
      </c>
    </row>
    <row r="723" spans="1:31" x14ac:dyDescent="0.25">
      <c r="A723" s="2"/>
      <c r="B723" s="2"/>
      <c r="C723" s="2"/>
      <c r="D723" s="2" t="str">
        <f>IF(ISBLANK(C723),"",VLOOKUP(C723,configuration!$G$7:$H$10,2,FALSE))</f>
        <v/>
      </c>
      <c r="E723" s="2"/>
      <c r="F723" s="2"/>
      <c r="G723" s="2"/>
      <c r="H723" s="2" t="str">
        <f>IF(ISBLANK(G723),"",VLOOKUP(G723,configuration!$J$7:$K$10,2,FALSE))</f>
        <v/>
      </c>
      <c r="I723" s="30"/>
      <c r="J723" s="2"/>
      <c r="K723" s="31"/>
      <c r="L723" s="35"/>
      <c r="M723" s="2" t="str">
        <f>IF(ISBLANK(L723),"",VLOOKUP(L723,configuration!$M$7:$N$10,2,FALSE))</f>
        <v/>
      </c>
      <c r="N723" s="30"/>
      <c r="O723" s="2"/>
      <c r="P723" s="31"/>
      <c r="Q723" s="54"/>
      <c r="R723" s="55" t="str">
        <f>IF(ISBLANK(Q723),"",VLOOKUP(Q723,configuration!$P$7:$Q$10,2,FALSE))</f>
        <v/>
      </c>
      <c r="S723" s="56"/>
      <c r="T723" s="55"/>
      <c r="U723" s="78"/>
      <c r="V723" s="76" t="str">
        <f t="shared" si="48"/>
        <v/>
      </c>
      <c r="W723" s="48" t="str">
        <f t="shared" si="48"/>
        <v/>
      </c>
      <c r="X723" s="48" t="str">
        <f t="shared" si="48"/>
        <v/>
      </c>
      <c r="Y723" s="48" t="str">
        <f t="shared" si="48"/>
        <v/>
      </c>
      <c r="Z723" s="49" t="str">
        <f t="shared" si="46"/>
        <v/>
      </c>
      <c r="AA723" s="50" t="str">
        <f t="shared" si="49"/>
        <v/>
      </c>
      <c r="AB723" s="48" t="str">
        <f t="shared" si="49"/>
        <v/>
      </c>
      <c r="AC723" s="48" t="str">
        <f t="shared" si="49"/>
        <v/>
      </c>
      <c r="AD723" s="48" t="str">
        <f t="shared" si="49"/>
        <v/>
      </c>
      <c r="AE723" s="48" t="str">
        <f t="shared" si="47"/>
        <v/>
      </c>
    </row>
    <row r="724" spans="1:31" x14ac:dyDescent="0.25">
      <c r="A724" s="2"/>
      <c r="B724" s="2"/>
      <c r="C724" s="2"/>
      <c r="D724" s="2" t="str">
        <f>IF(ISBLANK(C724),"",VLOOKUP(C724,configuration!$G$7:$H$10,2,FALSE))</f>
        <v/>
      </c>
      <c r="E724" s="2"/>
      <c r="F724" s="2"/>
      <c r="G724" s="2"/>
      <c r="H724" s="2" t="str">
        <f>IF(ISBLANK(G724),"",VLOOKUP(G724,configuration!$J$7:$K$10,2,FALSE))</f>
        <v/>
      </c>
      <c r="I724" s="30"/>
      <c r="J724" s="2"/>
      <c r="K724" s="31"/>
      <c r="L724" s="35"/>
      <c r="M724" s="2" t="str">
        <f>IF(ISBLANK(L724),"",VLOOKUP(L724,configuration!$M$7:$N$10,2,FALSE))</f>
        <v/>
      </c>
      <c r="N724" s="30"/>
      <c r="O724" s="2"/>
      <c r="P724" s="31"/>
      <c r="Q724" s="54"/>
      <c r="R724" s="55" t="str">
        <f>IF(ISBLANK(Q724),"",VLOOKUP(Q724,configuration!$P$7:$Q$10,2,FALSE))</f>
        <v/>
      </c>
      <c r="S724" s="56"/>
      <c r="T724" s="55"/>
      <c r="U724" s="78"/>
      <c r="V724" s="76" t="str">
        <f t="shared" si="48"/>
        <v/>
      </c>
      <c r="W724" s="48" t="str">
        <f t="shared" si="48"/>
        <v/>
      </c>
      <c r="X724" s="48" t="str">
        <f t="shared" si="48"/>
        <v/>
      </c>
      <c r="Y724" s="48" t="str">
        <f t="shared" si="48"/>
        <v/>
      </c>
      <c r="Z724" s="49" t="str">
        <f t="shared" si="46"/>
        <v/>
      </c>
      <c r="AA724" s="50" t="str">
        <f t="shared" si="49"/>
        <v/>
      </c>
      <c r="AB724" s="48" t="str">
        <f t="shared" si="49"/>
        <v/>
      </c>
      <c r="AC724" s="48" t="str">
        <f t="shared" si="49"/>
        <v/>
      </c>
      <c r="AD724" s="48" t="str">
        <f t="shared" si="49"/>
        <v/>
      </c>
      <c r="AE724" s="48" t="str">
        <f t="shared" si="47"/>
        <v/>
      </c>
    </row>
    <row r="725" spans="1:31" x14ac:dyDescent="0.25">
      <c r="A725" s="2"/>
      <c r="B725" s="2"/>
      <c r="C725" s="2"/>
      <c r="D725" s="2" t="str">
        <f>IF(ISBLANK(C725),"",VLOOKUP(C725,configuration!$G$7:$H$10,2,FALSE))</f>
        <v/>
      </c>
      <c r="E725" s="2"/>
      <c r="F725" s="2"/>
      <c r="G725" s="2"/>
      <c r="H725" s="2" t="str">
        <f>IF(ISBLANK(G725),"",VLOOKUP(G725,configuration!$J$7:$K$10,2,FALSE))</f>
        <v/>
      </c>
      <c r="I725" s="30"/>
      <c r="J725" s="2"/>
      <c r="K725" s="31"/>
      <c r="L725" s="35"/>
      <c r="M725" s="2" t="str">
        <f>IF(ISBLANK(L725),"",VLOOKUP(L725,configuration!$M$7:$N$10,2,FALSE))</f>
        <v/>
      </c>
      <c r="N725" s="30"/>
      <c r="O725" s="2"/>
      <c r="P725" s="31"/>
      <c r="Q725" s="54"/>
      <c r="R725" s="55" t="str">
        <f>IF(ISBLANK(Q725),"",VLOOKUP(Q725,configuration!$P$7:$Q$10,2,FALSE))</f>
        <v/>
      </c>
      <c r="S725" s="56"/>
      <c r="T725" s="55"/>
      <c r="U725" s="78"/>
      <c r="V725" s="76" t="str">
        <f t="shared" si="48"/>
        <v/>
      </c>
      <c r="W725" s="48" t="str">
        <f t="shared" si="48"/>
        <v/>
      </c>
      <c r="X725" s="48" t="str">
        <f t="shared" si="48"/>
        <v/>
      </c>
      <c r="Y725" s="48" t="str">
        <f t="shared" si="48"/>
        <v/>
      </c>
      <c r="Z725" s="49" t="str">
        <f t="shared" si="46"/>
        <v/>
      </c>
      <c r="AA725" s="50" t="str">
        <f t="shared" si="49"/>
        <v/>
      </c>
      <c r="AB725" s="48" t="str">
        <f t="shared" si="49"/>
        <v/>
      </c>
      <c r="AC725" s="48" t="str">
        <f t="shared" si="49"/>
        <v/>
      </c>
      <c r="AD725" s="48" t="str">
        <f t="shared" si="49"/>
        <v/>
      </c>
      <c r="AE725" s="48" t="str">
        <f t="shared" si="47"/>
        <v/>
      </c>
    </row>
    <row r="726" spans="1:31" x14ac:dyDescent="0.25">
      <c r="A726" s="2"/>
      <c r="B726" s="2"/>
      <c r="C726" s="2"/>
      <c r="D726" s="2" t="str">
        <f>IF(ISBLANK(C726),"",VLOOKUP(C726,configuration!$G$7:$H$10,2,FALSE))</f>
        <v/>
      </c>
      <c r="E726" s="2"/>
      <c r="F726" s="2"/>
      <c r="G726" s="2"/>
      <c r="H726" s="2" t="str">
        <f>IF(ISBLANK(G726),"",VLOOKUP(G726,configuration!$J$7:$K$10,2,FALSE))</f>
        <v/>
      </c>
      <c r="I726" s="30"/>
      <c r="J726" s="2"/>
      <c r="K726" s="31"/>
      <c r="L726" s="35"/>
      <c r="M726" s="2" t="str">
        <f>IF(ISBLANK(L726),"",VLOOKUP(L726,configuration!$M$7:$N$10,2,FALSE))</f>
        <v/>
      </c>
      <c r="N726" s="30"/>
      <c r="O726" s="2"/>
      <c r="P726" s="31"/>
      <c r="Q726" s="54"/>
      <c r="R726" s="55" t="str">
        <f>IF(ISBLANK(Q726),"",VLOOKUP(Q726,configuration!$P$7:$Q$10,2,FALSE))</f>
        <v/>
      </c>
      <c r="S726" s="56"/>
      <c r="T726" s="55"/>
      <c r="U726" s="78"/>
      <c r="V726" s="76" t="str">
        <f t="shared" si="48"/>
        <v/>
      </c>
      <c r="W726" s="48" t="str">
        <f t="shared" si="48"/>
        <v/>
      </c>
      <c r="X726" s="48" t="str">
        <f t="shared" si="48"/>
        <v/>
      </c>
      <c r="Y726" s="48" t="str">
        <f t="shared" si="48"/>
        <v/>
      </c>
      <c r="Z726" s="49" t="str">
        <f t="shared" si="46"/>
        <v/>
      </c>
      <c r="AA726" s="50" t="str">
        <f t="shared" si="49"/>
        <v/>
      </c>
      <c r="AB726" s="48" t="str">
        <f t="shared" si="49"/>
        <v/>
      </c>
      <c r="AC726" s="48" t="str">
        <f t="shared" si="49"/>
        <v/>
      </c>
      <c r="AD726" s="48" t="str">
        <f t="shared" si="49"/>
        <v/>
      </c>
      <c r="AE726" s="48" t="str">
        <f t="shared" si="47"/>
        <v/>
      </c>
    </row>
    <row r="727" spans="1:31" x14ac:dyDescent="0.25">
      <c r="A727" s="2"/>
      <c r="B727" s="2"/>
      <c r="C727" s="2"/>
      <c r="D727" s="2" t="str">
        <f>IF(ISBLANK(C727),"",VLOOKUP(C727,configuration!$G$7:$H$10,2,FALSE))</f>
        <v/>
      </c>
      <c r="E727" s="2"/>
      <c r="F727" s="2"/>
      <c r="G727" s="2"/>
      <c r="H727" s="2" t="str">
        <f>IF(ISBLANK(G727),"",VLOOKUP(G727,configuration!$J$7:$K$10,2,FALSE))</f>
        <v/>
      </c>
      <c r="I727" s="30"/>
      <c r="J727" s="2"/>
      <c r="K727" s="31"/>
      <c r="L727" s="35"/>
      <c r="M727" s="2" t="str">
        <f>IF(ISBLANK(L727),"",VLOOKUP(L727,configuration!$M$7:$N$10,2,FALSE))</f>
        <v/>
      </c>
      <c r="N727" s="30"/>
      <c r="O727" s="2"/>
      <c r="P727" s="31"/>
      <c r="Q727" s="54"/>
      <c r="R727" s="55" t="str">
        <f>IF(ISBLANK(Q727),"",VLOOKUP(Q727,configuration!$P$7:$Q$10,2,FALSE))</f>
        <v/>
      </c>
      <c r="S727" s="56"/>
      <c r="T727" s="55"/>
      <c r="U727" s="78"/>
      <c r="V727" s="76" t="str">
        <f t="shared" si="48"/>
        <v/>
      </c>
      <c r="W727" s="48" t="str">
        <f t="shared" si="48"/>
        <v/>
      </c>
      <c r="X727" s="48" t="str">
        <f t="shared" si="48"/>
        <v/>
      </c>
      <c r="Y727" s="48" t="str">
        <f t="shared" si="48"/>
        <v/>
      </c>
      <c r="Z727" s="49" t="str">
        <f t="shared" si="46"/>
        <v/>
      </c>
      <c r="AA727" s="50" t="str">
        <f t="shared" si="49"/>
        <v/>
      </c>
      <c r="AB727" s="48" t="str">
        <f t="shared" si="49"/>
        <v/>
      </c>
      <c r="AC727" s="48" t="str">
        <f t="shared" si="49"/>
        <v/>
      </c>
      <c r="AD727" s="48" t="str">
        <f t="shared" si="49"/>
        <v/>
      </c>
      <c r="AE727" s="48" t="str">
        <f t="shared" si="47"/>
        <v/>
      </c>
    </row>
    <row r="728" spans="1:31" x14ac:dyDescent="0.25">
      <c r="A728" s="2"/>
      <c r="B728" s="2"/>
      <c r="C728" s="2"/>
      <c r="D728" s="2" t="str">
        <f>IF(ISBLANK(C728),"",VLOOKUP(C728,configuration!$G$7:$H$10,2,FALSE))</f>
        <v/>
      </c>
      <c r="E728" s="2"/>
      <c r="F728" s="2"/>
      <c r="G728" s="2"/>
      <c r="H728" s="2" t="str">
        <f>IF(ISBLANK(G728),"",VLOOKUP(G728,configuration!$J$7:$K$10,2,FALSE))</f>
        <v/>
      </c>
      <c r="I728" s="30"/>
      <c r="J728" s="2"/>
      <c r="K728" s="31"/>
      <c r="L728" s="35"/>
      <c r="M728" s="2" t="str">
        <f>IF(ISBLANK(L728),"",VLOOKUP(L728,configuration!$M$7:$N$10,2,FALSE))</f>
        <v/>
      </c>
      <c r="N728" s="30"/>
      <c r="O728" s="2"/>
      <c r="P728" s="31"/>
      <c r="Q728" s="54"/>
      <c r="R728" s="55" t="str">
        <f>IF(ISBLANK(Q728),"",VLOOKUP(Q728,configuration!$P$7:$Q$10,2,FALSE))</f>
        <v/>
      </c>
      <c r="S728" s="56"/>
      <c r="T728" s="55"/>
      <c r="U728" s="78"/>
      <c r="V728" s="76" t="str">
        <f t="shared" si="48"/>
        <v/>
      </c>
      <c r="W728" s="48" t="str">
        <f t="shared" si="48"/>
        <v/>
      </c>
      <c r="X728" s="48" t="str">
        <f t="shared" si="48"/>
        <v/>
      </c>
      <c r="Y728" s="48" t="str">
        <f t="shared" si="48"/>
        <v/>
      </c>
      <c r="Z728" s="49" t="str">
        <f t="shared" si="46"/>
        <v/>
      </c>
      <c r="AA728" s="50" t="str">
        <f t="shared" si="49"/>
        <v/>
      </c>
      <c r="AB728" s="48" t="str">
        <f t="shared" si="49"/>
        <v/>
      </c>
      <c r="AC728" s="48" t="str">
        <f t="shared" si="49"/>
        <v/>
      </c>
      <c r="AD728" s="48" t="str">
        <f t="shared" si="49"/>
        <v/>
      </c>
      <c r="AE728" s="48" t="str">
        <f t="shared" si="47"/>
        <v/>
      </c>
    </row>
    <row r="729" spans="1:31" x14ac:dyDescent="0.25">
      <c r="A729" s="2"/>
      <c r="B729" s="2"/>
      <c r="C729" s="2"/>
      <c r="D729" s="2" t="str">
        <f>IF(ISBLANK(C729),"",VLOOKUP(C729,configuration!$G$7:$H$10,2,FALSE))</f>
        <v/>
      </c>
      <c r="E729" s="2"/>
      <c r="F729" s="2"/>
      <c r="G729" s="2"/>
      <c r="H729" s="2" t="str">
        <f>IF(ISBLANK(G729),"",VLOOKUP(G729,configuration!$J$7:$K$10,2,FALSE))</f>
        <v/>
      </c>
      <c r="I729" s="30"/>
      <c r="J729" s="2"/>
      <c r="K729" s="31"/>
      <c r="L729" s="35"/>
      <c r="M729" s="2" t="str">
        <f>IF(ISBLANK(L729),"",VLOOKUP(L729,configuration!$M$7:$N$10,2,FALSE))</f>
        <v/>
      </c>
      <c r="N729" s="30"/>
      <c r="O729" s="2"/>
      <c r="P729" s="31"/>
      <c r="Q729" s="54"/>
      <c r="R729" s="55" t="str">
        <f>IF(ISBLANK(Q729),"",VLOOKUP(Q729,configuration!$P$7:$Q$10,2,FALSE))</f>
        <v/>
      </c>
      <c r="S729" s="56"/>
      <c r="T729" s="55"/>
      <c r="U729" s="78"/>
      <c r="V729" s="76" t="str">
        <f t="shared" si="48"/>
        <v/>
      </c>
      <c r="W729" s="48" t="str">
        <f t="shared" si="48"/>
        <v/>
      </c>
      <c r="X729" s="48" t="str">
        <f t="shared" si="48"/>
        <v/>
      </c>
      <c r="Y729" s="48" t="str">
        <f t="shared" si="48"/>
        <v/>
      </c>
      <c r="Z729" s="49" t="str">
        <f t="shared" si="46"/>
        <v/>
      </c>
      <c r="AA729" s="50" t="str">
        <f t="shared" si="49"/>
        <v/>
      </c>
      <c r="AB729" s="48" t="str">
        <f t="shared" si="49"/>
        <v/>
      </c>
      <c r="AC729" s="48" t="str">
        <f t="shared" si="49"/>
        <v/>
      </c>
      <c r="AD729" s="48" t="str">
        <f t="shared" si="49"/>
        <v/>
      </c>
      <c r="AE729" s="48" t="str">
        <f t="shared" si="47"/>
        <v/>
      </c>
    </row>
    <row r="730" spans="1:31" x14ac:dyDescent="0.25">
      <c r="A730" s="2"/>
      <c r="B730" s="2"/>
      <c r="C730" s="2"/>
      <c r="D730" s="2" t="str">
        <f>IF(ISBLANK(C730),"",VLOOKUP(C730,configuration!$G$7:$H$10,2,FALSE))</f>
        <v/>
      </c>
      <c r="E730" s="2"/>
      <c r="F730" s="2"/>
      <c r="G730" s="2"/>
      <c r="H730" s="2" t="str">
        <f>IF(ISBLANK(G730),"",VLOOKUP(G730,configuration!$J$7:$K$10,2,FALSE))</f>
        <v/>
      </c>
      <c r="I730" s="30"/>
      <c r="J730" s="2"/>
      <c r="K730" s="31"/>
      <c r="L730" s="35"/>
      <c r="M730" s="2" t="str">
        <f>IF(ISBLANK(L730),"",VLOOKUP(L730,configuration!$M$7:$N$10,2,FALSE))</f>
        <v/>
      </c>
      <c r="N730" s="30"/>
      <c r="O730" s="2"/>
      <c r="P730" s="31"/>
      <c r="Q730" s="54"/>
      <c r="R730" s="55" t="str">
        <f>IF(ISBLANK(Q730),"",VLOOKUP(Q730,configuration!$P$7:$Q$10,2,FALSE))</f>
        <v/>
      </c>
      <c r="S730" s="56"/>
      <c r="T730" s="55"/>
      <c r="U730" s="78"/>
      <c r="V730" s="76" t="str">
        <f t="shared" si="48"/>
        <v/>
      </c>
      <c r="W730" s="48" t="str">
        <f t="shared" si="48"/>
        <v/>
      </c>
      <c r="X730" s="48" t="str">
        <f t="shared" si="48"/>
        <v/>
      </c>
      <c r="Y730" s="48" t="str">
        <f t="shared" si="48"/>
        <v/>
      </c>
      <c r="Z730" s="49" t="str">
        <f t="shared" si="46"/>
        <v/>
      </c>
      <c r="AA730" s="50" t="str">
        <f t="shared" si="49"/>
        <v/>
      </c>
      <c r="AB730" s="48" t="str">
        <f t="shared" si="49"/>
        <v/>
      </c>
      <c r="AC730" s="48" t="str">
        <f t="shared" si="49"/>
        <v/>
      </c>
      <c r="AD730" s="48" t="str">
        <f t="shared" si="49"/>
        <v/>
      </c>
      <c r="AE730" s="48" t="str">
        <f t="shared" si="47"/>
        <v/>
      </c>
    </row>
    <row r="731" spans="1:31" x14ac:dyDescent="0.25">
      <c r="A731" s="2"/>
      <c r="B731" s="2"/>
      <c r="C731" s="2"/>
      <c r="D731" s="2" t="str">
        <f>IF(ISBLANK(C731),"",VLOOKUP(C731,configuration!$G$7:$H$10,2,FALSE))</f>
        <v/>
      </c>
      <c r="E731" s="2"/>
      <c r="F731" s="2"/>
      <c r="G731" s="2"/>
      <c r="H731" s="2" t="str">
        <f>IF(ISBLANK(G731),"",VLOOKUP(G731,configuration!$J$7:$K$10,2,FALSE))</f>
        <v/>
      </c>
      <c r="I731" s="30"/>
      <c r="J731" s="2"/>
      <c r="K731" s="31"/>
      <c r="L731" s="35"/>
      <c r="M731" s="2" t="str">
        <f>IF(ISBLANK(L731),"",VLOOKUP(L731,configuration!$M$7:$N$10,2,FALSE))</f>
        <v/>
      </c>
      <c r="N731" s="30"/>
      <c r="O731" s="2"/>
      <c r="P731" s="31"/>
      <c r="Q731" s="54"/>
      <c r="R731" s="55" t="str">
        <f>IF(ISBLANK(Q731),"",VLOOKUP(Q731,configuration!$P$7:$Q$10,2,FALSE))</f>
        <v/>
      </c>
      <c r="S731" s="56"/>
      <c r="T731" s="55"/>
      <c r="U731" s="78"/>
      <c r="V731" s="76" t="str">
        <f t="shared" si="48"/>
        <v/>
      </c>
      <c r="W731" s="48" t="str">
        <f t="shared" si="48"/>
        <v/>
      </c>
      <c r="X731" s="48" t="str">
        <f t="shared" si="48"/>
        <v/>
      </c>
      <c r="Y731" s="48" t="str">
        <f t="shared" si="48"/>
        <v/>
      </c>
      <c r="Z731" s="49" t="str">
        <f t="shared" si="46"/>
        <v/>
      </c>
      <c r="AA731" s="50" t="str">
        <f t="shared" si="49"/>
        <v/>
      </c>
      <c r="AB731" s="48" t="str">
        <f t="shared" si="49"/>
        <v/>
      </c>
      <c r="AC731" s="48" t="str">
        <f t="shared" si="49"/>
        <v/>
      </c>
      <c r="AD731" s="48" t="str">
        <f t="shared" si="49"/>
        <v/>
      </c>
      <c r="AE731" s="48" t="str">
        <f t="shared" si="47"/>
        <v/>
      </c>
    </row>
    <row r="732" spans="1:31" x14ac:dyDescent="0.25">
      <c r="A732" s="2"/>
      <c r="B732" s="2"/>
      <c r="C732" s="2"/>
      <c r="D732" s="2" t="str">
        <f>IF(ISBLANK(C732),"",VLOOKUP(C732,configuration!$G$7:$H$10,2,FALSE))</f>
        <v/>
      </c>
      <c r="E732" s="2"/>
      <c r="F732" s="2"/>
      <c r="G732" s="2"/>
      <c r="H732" s="2" t="str">
        <f>IF(ISBLANK(G732),"",VLOOKUP(G732,configuration!$J$7:$K$10,2,FALSE))</f>
        <v/>
      </c>
      <c r="I732" s="30"/>
      <c r="J732" s="2"/>
      <c r="K732" s="31"/>
      <c r="L732" s="35"/>
      <c r="M732" s="2" t="str">
        <f>IF(ISBLANK(L732),"",VLOOKUP(L732,configuration!$M$7:$N$10,2,FALSE))</f>
        <v/>
      </c>
      <c r="N732" s="30"/>
      <c r="O732" s="2"/>
      <c r="P732" s="31"/>
      <c r="Q732" s="54"/>
      <c r="R732" s="55" t="str">
        <f>IF(ISBLANK(Q732),"",VLOOKUP(Q732,configuration!$P$7:$Q$10,2,FALSE))</f>
        <v/>
      </c>
      <c r="S732" s="56"/>
      <c r="T732" s="55"/>
      <c r="U732" s="78"/>
      <c r="V732" s="76" t="str">
        <f t="shared" si="48"/>
        <v/>
      </c>
      <c r="W732" s="48" t="str">
        <f t="shared" si="48"/>
        <v/>
      </c>
      <c r="X732" s="48" t="str">
        <f t="shared" si="48"/>
        <v/>
      </c>
      <c r="Y732" s="48" t="str">
        <f t="shared" si="48"/>
        <v/>
      </c>
      <c r="Z732" s="49" t="str">
        <f t="shared" si="46"/>
        <v/>
      </c>
      <c r="AA732" s="50" t="str">
        <f t="shared" si="49"/>
        <v/>
      </c>
      <c r="AB732" s="48" t="str">
        <f t="shared" si="49"/>
        <v/>
      </c>
      <c r="AC732" s="48" t="str">
        <f t="shared" si="49"/>
        <v/>
      </c>
      <c r="AD732" s="48" t="str">
        <f t="shared" si="49"/>
        <v/>
      </c>
      <c r="AE732" s="48" t="str">
        <f t="shared" si="47"/>
        <v/>
      </c>
    </row>
    <row r="733" spans="1:31" x14ac:dyDescent="0.25">
      <c r="A733" s="2"/>
      <c r="B733" s="2"/>
      <c r="C733" s="2"/>
      <c r="D733" s="2" t="str">
        <f>IF(ISBLANK(C733),"",VLOOKUP(C733,configuration!$G$7:$H$10,2,FALSE))</f>
        <v/>
      </c>
      <c r="E733" s="2"/>
      <c r="F733" s="2"/>
      <c r="G733" s="2"/>
      <c r="H733" s="2" t="str">
        <f>IF(ISBLANK(G733),"",VLOOKUP(G733,configuration!$J$7:$K$10,2,FALSE))</f>
        <v/>
      </c>
      <c r="I733" s="30"/>
      <c r="J733" s="2"/>
      <c r="K733" s="31"/>
      <c r="L733" s="35"/>
      <c r="M733" s="2" t="str">
        <f>IF(ISBLANK(L733),"",VLOOKUP(L733,configuration!$M$7:$N$10,2,FALSE))</f>
        <v/>
      </c>
      <c r="N733" s="30"/>
      <c r="O733" s="2"/>
      <c r="P733" s="31"/>
      <c r="Q733" s="54"/>
      <c r="R733" s="55" t="str">
        <f>IF(ISBLANK(Q733),"",VLOOKUP(Q733,configuration!$P$7:$Q$10,2,FALSE))</f>
        <v/>
      </c>
      <c r="S733" s="56"/>
      <c r="T733" s="55"/>
      <c r="U733" s="78"/>
      <c r="V733" s="76" t="str">
        <f t="shared" si="48"/>
        <v/>
      </c>
      <c r="W733" s="48" t="str">
        <f t="shared" si="48"/>
        <v/>
      </c>
      <c r="X733" s="48" t="str">
        <f t="shared" si="48"/>
        <v/>
      </c>
      <c r="Y733" s="48" t="str">
        <f t="shared" si="48"/>
        <v/>
      </c>
      <c r="Z733" s="49" t="str">
        <f t="shared" si="46"/>
        <v/>
      </c>
      <c r="AA733" s="50" t="str">
        <f t="shared" si="49"/>
        <v/>
      </c>
      <c r="AB733" s="48" t="str">
        <f t="shared" si="49"/>
        <v/>
      </c>
      <c r="AC733" s="48" t="str">
        <f t="shared" si="49"/>
        <v/>
      </c>
      <c r="AD733" s="48" t="str">
        <f t="shared" si="49"/>
        <v/>
      </c>
      <c r="AE733" s="48" t="str">
        <f t="shared" si="47"/>
        <v/>
      </c>
    </row>
    <row r="734" spans="1:31" x14ac:dyDescent="0.25">
      <c r="A734" s="2"/>
      <c r="B734" s="2"/>
      <c r="C734" s="2"/>
      <c r="D734" s="2" t="str">
        <f>IF(ISBLANK(C734),"",VLOOKUP(C734,configuration!$G$7:$H$10,2,FALSE))</f>
        <v/>
      </c>
      <c r="E734" s="2"/>
      <c r="F734" s="2"/>
      <c r="G734" s="2"/>
      <c r="H734" s="2" t="str">
        <f>IF(ISBLANK(G734),"",VLOOKUP(G734,configuration!$J$7:$K$10,2,FALSE))</f>
        <v/>
      </c>
      <c r="I734" s="30"/>
      <c r="J734" s="2"/>
      <c r="K734" s="31"/>
      <c r="L734" s="35"/>
      <c r="M734" s="2" t="str">
        <f>IF(ISBLANK(L734),"",VLOOKUP(L734,configuration!$M$7:$N$10,2,FALSE))</f>
        <v/>
      </c>
      <c r="N734" s="30"/>
      <c r="O734" s="2"/>
      <c r="P734" s="31"/>
      <c r="Q734" s="54"/>
      <c r="R734" s="55" t="str">
        <f>IF(ISBLANK(Q734),"",VLOOKUP(Q734,configuration!$P$7:$Q$10,2,FALSE))</f>
        <v/>
      </c>
      <c r="S734" s="56"/>
      <c r="T734" s="55"/>
      <c r="U734" s="78"/>
      <c r="V734" s="76" t="str">
        <f t="shared" si="48"/>
        <v/>
      </c>
      <c r="W734" s="48" t="str">
        <f t="shared" si="48"/>
        <v/>
      </c>
      <c r="X734" s="48" t="str">
        <f t="shared" si="48"/>
        <v/>
      </c>
      <c r="Y734" s="48" t="str">
        <f t="shared" si="48"/>
        <v/>
      </c>
      <c r="Z734" s="49" t="str">
        <f t="shared" si="46"/>
        <v/>
      </c>
      <c r="AA734" s="50" t="str">
        <f t="shared" si="49"/>
        <v/>
      </c>
      <c r="AB734" s="48" t="str">
        <f t="shared" si="49"/>
        <v/>
      </c>
      <c r="AC734" s="48" t="str">
        <f t="shared" si="49"/>
        <v/>
      </c>
      <c r="AD734" s="48" t="str">
        <f t="shared" si="49"/>
        <v/>
      </c>
      <c r="AE734" s="48" t="str">
        <f t="shared" si="47"/>
        <v/>
      </c>
    </row>
    <row r="735" spans="1:31" x14ac:dyDescent="0.25">
      <c r="A735" s="2"/>
      <c r="B735" s="2"/>
      <c r="C735" s="2"/>
      <c r="D735" s="2" t="str">
        <f>IF(ISBLANK(C735),"",VLOOKUP(C735,configuration!$G$7:$H$10,2,FALSE))</f>
        <v/>
      </c>
      <c r="E735" s="2"/>
      <c r="F735" s="2"/>
      <c r="G735" s="2"/>
      <c r="H735" s="2" t="str">
        <f>IF(ISBLANK(G735),"",VLOOKUP(G735,configuration!$J$7:$K$10,2,FALSE))</f>
        <v/>
      </c>
      <c r="I735" s="30"/>
      <c r="J735" s="2"/>
      <c r="K735" s="31"/>
      <c r="L735" s="35"/>
      <c r="M735" s="2" t="str">
        <f>IF(ISBLANK(L735),"",VLOOKUP(L735,configuration!$M$7:$N$10,2,FALSE))</f>
        <v/>
      </c>
      <c r="N735" s="30"/>
      <c r="O735" s="2"/>
      <c r="P735" s="31"/>
      <c r="Q735" s="54"/>
      <c r="R735" s="55" t="str">
        <f>IF(ISBLANK(Q735),"",VLOOKUP(Q735,configuration!$P$7:$Q$10,2,FALSE))</f>
        <v/>
      </c>
      <c r="S735" s="56"/>
      <c r="T735" s="55"/>
      <c r="U735" s="78"/>
      <c r="V735" s="76" t="str">
        <f t="shared" si="48"/>
        <v/>
      </c>
      <c r="W735" s="48" t="str">
        <f t="shared" si="48"/>
        <v/>
      </c>
      <c r="X735" s="48" t="str">
        <f t="shared" si="48"/>
        <v/>
      </c>
      <c r="Y735" s="48" t="str">
        <f t="shared" si="48"/>
        <v/>
      </c>
      <c r="Z735" s="49" t="str">
        <f t="shared" si="46"/>
        <v/>
      </c>
      <c r="AA735" s="50" t="str">
        <f t="shared" si="49"/>
        <v/>
      </c>
      <c r="AB735" s="48" t="str">
        <f t="shared" si="49"/>
        <v/>
      </c>
      <c r="AC735" s="48" t="str">
        <f t="shared" si="49"/>
        <v/>
      </c>
      <c r="AD735" s="48" t="str">
        <f t="shared" si="49"/>
        <v/>
      </c>
      <c r="AE735" s="48" t="str">
        <f t="shared" si="47"/>
        <v/>
      </c>
    </row>
    <row r="736" spans="1:31" x14ac:dyDescent="0.25">
      <c r="A736" s="2"/>
      <c r="B736" s="2"/>
      <c r="C736" s="2"/>
      <c r="D736" s="2" t="str">
        <f>IF(ISBLANK(C736),"",VLOOKUP(C736,configuration!$G$7:$H$10,2,FALSE))</f>
        <v/>
      </c>
      <c r="E736" s="2"/>
      <c r="F736" s="2"/>
      <c r="G736" s="2"/>
      <c r="H736" s="2" t="str">
        <f>IF(ISBLANK(G736),"",VLOOKUP(G736,configuration!$J$7:$K$10,2,FALSE))</f>
        <v/>
      </c>
      <c r="I736" s="30"/>
      <c r="J736" s="2"/>
      <c r="K736" s="31"/>
      <c r="L736" s="35"/>
      <c r="M736" s="2" t="str">
        <f>IF(ISBLANK(L736),"",VLOOKUP(L736,configuration!$M$7:$N$10,2,FALSE))</f>
        <v/>
      </c>
      <c r="N736" s="30"/>
      <c r="O736" s="2"/>
      <c r="P736" s="31"/>
      <c r="Q736" s="54"/>
      <c r="R736" s="55" t="str">
        <f>IF(ISBLANK(Q736),"",VLOOKUP(Q736,configuration!$P$7:$Q$10,2,FALSE))</f>
        <v/>
      </c>
      <c r="S736" s="56"/>
      <c r="T736" s="55"/>
      <c r="U736" s="78"/>
      <c r="V736" s="76" t="str">
        <f t="shared" si="48"/>
        <v/>
      </c>
      <c r="W736" s="48" t="str">
        <f t="shared" si="48"/>
        <v/>
      </c>
      <c r="X736" s="48" t="str">
        <f t="shared" si="48"/>
        <v/>
      </c>
      <c r="Y736" s="48" t="str">
        <f t="shared" si="48"/>
        <v/>
      </c>
      <c r="Z736" s="49" t="str">
        <f t="shared" si="46"/>
        <v/>
      </c>
      <c r="AA736" s="50" t="str">
        <f t="shared" si="49"/>
        <v/>
      </c>
      <c r="AB736" s="48" t="str">
        <f t="shared" si="49"/>
        <v/>
      </c>
      <c r="AC736" s="48" t="str">
        <f t="shared" si="49"/>
        <v/>
      </c>
      <c r="AD736" s="48" t="str">
        <f t="shared" si="49"/>
        <v/>
      </c>
      <c r="AE736" s="48" t="str">
        <f t="shared" si="47"/>
        <v/>
      </c>
    </row>
    <row r="737" spans="1:31" x14ac:dyDescent="0.25">
      <c r="A737" s="2"/>
      <c r="B737" s="2"/>
      <c r="C737" s="2"/>
      <c r="D737" s="2" t="str">
        <f>IF(ISBLANK(C737),"",VLOOKUP(C737,configuration!$G$7:$H$10,2,FALSE))</f>
        <v/>
      </c>
      <c r="E737" s="2"/>
      <c r="F737" s="2"/>
      <c r="G737" s="2"/>
      <c r="H737" s="2" t="str">
        <f>IF(ISBLANK(G737),"",VLOOKUP(G737,configuration!$J$7:$K$10,2,FALSE))</f>
        <v/>
      </c>
      <c r="I737" s="30"/>
      <c r="J737" s="2"/>
      <c r="K737" s="31"/>
      <c r="L737" s="35"/>
      <c r="M737" s="2" t="str">
        <f>IF(ISBLANK(L737),"",VLOOKUP(L737,configuration!$M$7:$N$10,2,FALSE))</f>
        <v/>
      </c>
      <c r="N737" s="30"/>
      <c r="O737" s="2"/>
      <c r="P737" s="31"/>
      <c r="Q737" s="54"/>
      <c r="R737" s="55" t="str">
        <f>IF(ISBLANK(Q737),"",VLOOKUP(Q737,configuration!$P$7:$Q$10,2,FALSE))</f>
        <v/>
      </c>
      <c r="S737" s="56"/>
      <c r="T737" s="55"/>
      <c r="U737" s="78"/>
      <c r="V737" s="76" t="str">
        <f t="shared" si="48"/>
        <v/>
      </c>
      <c r="W737" s="48" t="str">
        <f t="shared" si="48"/>
        <v/>
      </c>
      <c r="X737" s="48" t="str">
        <f t="shared" si="48"/>
        <v/>
      </c>
      <c r="Y737" s="48" t="str">
        <f t="shared" si="48"/>
        <v/>
      </c>
      <c r="Z737" s="49" t="str">
        <f t="shared" si="46"/>
        <v/>
      </c>
      <c r="AA737" s="50" t="str">
        <f t="shared" si="49"/>
        <v/>
      </c>
      <c r="AB737" s="48" t="str">
        <f t="shared" si="49"/>
        <v/>
      </c>
      <c r="AC737" s="48" t="str">
        <f t="shared" si="49"/>
        <v/>
      </c>
      <c r="AD737" s="48" t="str">
        <f t="shared" si="49"/>
        <v/>
      </c>
      <c r="AE737" s="48" t="str">
        <f t="shared" si="47"/>
        <v/>
      </c>
    </row>
    <row r="738" spans="1:31" x14ac:dyDescent="0.25">
      <c r="A738" s="2"/>
      <c r="B738" s="2"/>
      <c r="C738" s="2"/>
      <c r="D738" s="2" t="str">
        <f>IF(ISBLANK(C738),"",VLOOKUP(C738,configuration!$G$7:$H$10,2,FALSE))</f>
        <v/>
      </c>
      <c r="E738" s="2"/>
      <c r="F738" s="2"/>
      <c r="G738" s="2"/>
      <c r="H738" s="2" t="str">
        <f>IF(ISBLANK(G738),"",VLOOKUP(G738,configuration!$J$7:$K$10,2,FALSE))</f>
        <v/>
      </c>
      <c r="I738" s="30"/>
      <c r="J738" s="2"/>
      <c r="K738" s="31"/>
      <c r="L738" s="35"/>
      <c r="M738" s="2" t="str">
        <f>IF(ISBLANK(L738),"",VLOOKUP(L738,configuration!$M$7:$N$10,2,FALSE))</f>
        <v/>
      </c>
      <c r="N738" s="30"/>
      <c r="O738" s="2"/>
      <c r="P738" s="31"/>
      <c r="Q738" s="54"/>
      <c r="R738" s="55" t="str">
        <f>IF(ISBLANK(Q738),"",VLOOKUP(Q738,configuration!$P$7:$Q$10,2,FALSE))</f>
        <v/>
      </c>
      <c r="S738" s="56"/>
      <c r="T738" s="55"/>
      <c r="U738" s="78"/>
      <c r="V738" s="76" t="str">
        <f t="shared" si="48"/>
        <v/>
      </c>
      <c r="W738" s="48" t="str">
        <f t="shared" si="48"/>
        <v/>
      </c>
      <c r="X738" s="48" t="str">
        <f t="shared" si="48"/>
        <v/>
      </c>
      <c r="Y738" s="48" t="str">
        <f t="shared" si="48"/>
        <v/>
      </c>
      <c r="Z738" s="49" t="str">
        <f t="shared" si="46"/>
        <v/>
      </c>
      <c r="AA738" s="50" t="str">
        <f t="shared" si="49"/>
        <v/>
      </c>
      <c r="AB738" s="48" t="str">
        <f t="shared" si="49"/>
        <v/>
      </c>
      <c r="AC738" s="48" t="str">
        <f t="shared" si="49"/>
        <v/>
      </c>
      <c r="AD738" s="48" t="str">
        <f t="shared" si="49"/>
        <v/>
      </c>
      <c r="AE738" s="48" t="str">
        <f t="shared" si="47"/>
        <v/>
      </c>
    </row>
    <row r="739" spans="1:31" x14ac:dyDescent="0.25">
      <c r="A739" s="2"/>
      <c r="B739" s="2"/>
      <c r="C739" s="2"/>
      <c r="D739" s="2" t="str">
        <f>IF(ISBLANK(C739),"",VLOOKUP(C739,configuration!$G$7:$H$10,2,FALSE))</f>
        <v/>
      </c>
      <c r="E739" s="2"/>
      <c r="F739" s="2"/>
      <c r="G739" s="2"/>
      <c r="H739" s="2" t="str">
        <f>IF(ISBLANK(G739),"",VLOOKUP(G739,configuration!$J$7:$K$10,2,FALSE))</f>
        <v/>
      </c>
      <c r="I739" s="30"/>
      <c r="J739" s="2"/>
      <c r="K739" s="31"/>
      <c r="L739" s="35"/>
      <c r="M739" s="2" t="str">
        <f>IF(ISBLANK(L739),"",VLOOKUP(L739,configuration!$M$7:$N$10,2,FALSE))</f>
        <v/>
      </c>
      <c r="N739" s="30"/>
      <c r="O739" s="2"/>
      <c r="P739" s="31"/>
      <c r="Q739" s="54"/>
      <c r="R739" s="55" t="str">
        <f>IF(ISBLANK(Q739),"",VLOOKUP(Q739,configuration!$P$7:$Q$10,2,FALSE))</f>
        <v/>
      </c>
      <c r="S739" s="56"/>
      <c r="T739" s="55"/>
      <c r="U739" s="78"/>
      <c r="V739" s="76" t="str">
        <f t="shared" si="48"/>
        <v/>
      </c>
      <c r="W739" s="48" t="str">
        <f t="shared" si="48"/>
        <v/>
      </c>
      <c r="X739" s="48" t="str">
        <f t="shared" si="48"/>
        <v/>
      </c>
      <c r="Y739" s="48" t="str">
        <f t="shared" si="48"/>
        <v/>
      </c>
      <c r="Z739" s="49" t="str">
        <f t="shared" si="46"/>
        <v/>
      </c>
      <c r="AA739" s="50" t="str">
        <f t="shared" si="49"/>
        <v/>
      </c>
      <c r="AB739" s="48" t="str">
        <f t="shared" si="49"/>
        <v/>
      </c>
      <c r="AC739" s="48" t="str">
        <f t="shared" si="49"/>
        <v/>
      </c>
      <c r="AD739" s="48" t="str">
        <f t="shared" si="49"/>
        <v/>
      </c>
      <c r="AE739" s="48" t="str">
        <f t="shared" si="47"/>
        <v/>
      </c>
    </row>
    <row r="740" spans="1:31" x14ac:dyDescent="0.25">
      <c r="A740" s="2"/>
      <c r="B740" s="2"/>
      <c r="C740" s="2"/>
      <c r="D740" s="2" t="str">
        <f>IF(ISBLANK(C740),"",VLOOKUP(C740,configuration!$G$7:$H$10,2,FALSE))</f>
        <v/>
      </c>
      <c r="E740" s="2"/>
      <c r="F740" s="2"/>
      <c r="G740" s="2"/>
      <c r="H740" s="2" t="str">
        <f>IF(ISBLANK(G740),"",VLOOKUP(G740,configuration!$J$7:$K$10,2,FALSE))</f>
        <v/>
      </c>
      <c r="I740" s="30"/>
      <c r="J740" s="2"/>
      <c r="K740" s="31"/>
      <c r="L740" s="35"/>
      <c r="M740" s="2" t="str">
        <f>IF(ISBLANK(L740),"",VLOOKUP(L740,configuration!$M$7:$N$10,2,FALSE))</f>
        <v/>
      </c>
      <c r="N740" s="30"/>
      <c r="O740" s="2"/>
      <c r="P740" s="31"/>
      <c r="Q740" s="54"/>
      <c r="R740" s="55" t="str">
        <f>IF(ISBLANK(Q740),"",VLOOKUP(Q740,configuration!$P$7:$Q$10,2,FALSE))</f>
        <v/>
      </c>
      <c r="S740" s="56"/>
      <c r="T740" s="55"/>
      <c r="U740" s="78"/>
      <c r="V740" s="76" t="str">
        <f t="shared" si="48"/>
        <v/>
      </c>
      <c r="W740" s="48" t="str">
        <f t="shared" si="48"/>
        <v/>
      </c>
      <c r="X740" s="48" t="str">
        <f t="shared" si="48"/>
        <v/>
      </c>
      <c r="Y740" s="48" t="str">
        <f t="shared" si="48"/>
        <v/>
      </c>
      <c r="Z740" s="49" t="str">
        <f t="shared" si="46"/>
        <v/>
      </c>
      <c r="AA740" s="50" t="str">
        <f t="shared" si="49"/>
        <v/>
      </c>
      <c r="AB740" s="48" t="str">
        <f t="shared" si="49"/>
        <v/>
      </c>
      <c r="AC740" s="48" t="str">
        <f t="shared" si="49"/>
        <v/>
      </c>
      <c r="AD740" s="48" t="str">
        <f t="shared" si="49"/>
        <v/>
      </c>
      <c r="AE740" s="48" t="str">
        <f t="shared" si="47"/>
        <v/>
      </c>
    </row>
    <row r="741" spans="1:31" x14ac:dyDescent="0.25">
      <c r="A741" s="2"/>
      <c r="B741" s="2"/>
      <c r="C741" s="2"/>
      <c r="D741" s="2" t="str">
        <f>IF(ISBLANK(C741),"",VLOOKUP(C741,configuration!$G$7:$H$10,2,FALSE))</f>
        <v/>
      </c>
      <c r="E741" s="2"/>
      <c r="F741" s="2"/>
      <c r="G741" s="2"/>
      <c r="H741" s="2" t="str">
        <f>IF(ISBLANK(G741),"",VLOOKUP(G741,configuration!$J$7:$K$10,2,FALSE))</f>
        <v/>
      </c>
      <c r="I741" s="30"/>
      <c r="J741" s="2"/>
      <c r="K741" s="31"/>
      <c r="L741" s="35"/>
      <c r="M741" s="2" t="str">
        <f>IF(ISBLANK(L741),"",VLOOKUP(L741,configuration!$M$7:$N$10,2,FALSE))</f>
        <v/>
      </c>
      <c r="N741" s="30"/>
      <c r="O741" s="2"/>
      <c r="P741" s="31"/>
      <c r="Q741" s="54"/>
      <c r="R741" s="55" t="str">
        <f>IF(ISBLANK(Q741),"",VLOOKUP(Q741,configuration!$P$7:$Q$10,2,FALSE))</f>
        <v/>
      </c>
      <c r="S741" s="56"/>
      <c r="T741" s="55"/>
      <c r="U741" s="78"/>
      <c r="V741" s="76" t="str">
        <f t="shared" si="48"/>
        <v/>
      </c>
      <c r="W741" s="48" t="str">
        <f t="shared" si="48"/>
        <v/>
      </c>
      <c r="X741" s="48" t="str">
        <f t="shared" si="48"/>
        <v/>
      </c>
      <c r="Y741" s="48" t="str">
        <f t="shared" si="48"/>
        <v/>
      </c>
      <c r="Z741" s="49" t="str">
        <f t="shared" si="46"/>
        <v/>
      </c>
      <c r="AA741" s="50" t="str">
        <f t="shared" si="49"/>
        <v/>
      </c>
      <c r="AB741" s="48" t="str">
        <f t="shared" si="49"/>
        <v/>
      </c>
      <c r="AC741" s="48" t="str">
        <f t="shared" si="49"/>
        <v/>
      </c>
      <c r="AD741" s="48" t="str">
        <f t="shared" si="49"/>
        <v/>
      </c>
      <c r="AE741" s="48" t="str">
        <f t="shared" si="47"/>
        <v/>
      </c>
    </row>
    <row r="742" spans="1:31" x14ac:dyDescent="0.25">
      <c r="A742" s="2"/>
      <c r="B742" s="2"/>
      <c r="C742" s="2"/>
      <c r="D742" s="2" t="str">
        <f>IF(ISBLANK(C742),"",VLOOKUP(C742,configuration!$G$7:$H$10,2,FALSE))</f>
        <v/>
      </c>
      <c r="E742" s="2"/>
      <c r="F742" s="2"/>
      <c r="G742" s="2"/>
      <c r="H742" s="2" t="str">
        <f>IF(ISBLANK(G742),"",VLOOKUP(G742,configuration!$J$7:$K$10,2,FALSE))</f>
        <v/>
      </c>
      <c r="I742" s="30"/>
      <c r="J742" s="2"/>
      <c r="K742" s="31"/>
      <c r="L742" s="35"/>
      <c r="M742" s="2" t="str">
        <f>IF(ISBLANK(L742),"",VLOOKUP(L742,configuration!$M$7:$N$10,2,FALSE))</f>
        <v/>
      </c>
      <c r="N742" s="30"/>
      <c r="O742" s="2"/>
      <c r="P742" s="31"/>
      <c r="Q742" s="54"/>
      <c r="R742" s="55" t="str">
        <f>IF(ISBLANK(Q742),"",VLOOKUP(Q742,configuration!$P$7:$Q$10,2,FALSE))</f>
        <v/>
      </c>
      <c r="S742" s="56"/>
      <c r="T742" s="55"/>
      <c r="U742" s="78"/>
      <c r="V742" s="76" t="str">
        <f t="shared" si="48"/>
        <v/>
      </c>
      <c r="W742" s="48" t="str">
        <f t="shared" si="48"/>
        <v/>
      </c>
      <c r="X742" s="48" t="str">
        <f t="shared" si="48"/>
        <v/>
      </c>
      <c r="Y742" s="48" t="str">
        <f t="shared" si="48"/>
        <v/>
      </c>
      <c r="Z742" s="49" t="str">
        <f t="shared" si="46"/>
        <v/>
      </c>
      <c r="AA742" s="50" t="str">
        <f t="shared" si="49"/>
        <v/>
      </c>
      <c r="AB742" s="48" t="str">
        <f t="shared" si="49"/>
        <v/>
      </c>
      <c r="AC742" s="48" t="str">
        <f t="shared" si="49"/>
        <v/>
      </c>
      <c r="AD742" s="48" t="str">
        <f t="shared" si="49"/>
        <v/>
      </c>
      <c r="AE742" s="48" t="str">
        <f t="shared" si="47"/>
        <v/>
      </c>
    </row>
    <row r="743" spans="1:31" x14ac:dyDescent="0.25">
      <c r="A743" s="2"/>
      <c r="B743" s="2"/>
      <c r="C743" s="2"/>
      <c r="D743" s="2" t="str">
        <f>IF(ISBLANK(C743),"",VLOOKUP(C743,configuration!$G$7:$H$10,2,FALSE))</f>
        <v/>
      </c>
      <c r="E743" s="2"/>
      <c r="F743" s="2"/>
      <c r="G743" s="2"/>
      <c r="H743" s="2" t="str">
        <f>IF(ISBLANK(G743),"",VLOOKUP(G743,configuration!$J$7:$K$10,2,FALSE))</f>
        <v/>
      </c>
      <c r="I743" s="30"/>
      <c r="J743" s="2"/>
      <c r="K743" s="31"/>
      <c r="L743" s="35"/>
      <c r="M743" s="2" t="str">
        <f>IF(ISBLANK(L743),"",VLOOKUP(L743,configuration!$M$7:$N$10,2,FALSE))</f>
        <v/>
      </c>
      <c r="N743" s="30"/>
      <c r="O743" s="2"/>
      <c r="P743" s="31"/>
      <c r="Q743" s="54"/>
      <c r="R743" s="55" t="str">
        <f>IF(ISBLANK(Q743),"",VLOOKUP(Q743,configuration!$P$7:$Q$10,2,FALSE))</f>
        <v/>
      </c>
      <c r="S743" s="56"/>
      <c r="T743" s="55"/>
      <c r="U743" s="78"/>
      <c r="V743" s="76" t="str">
        <f t="shared" si="48"/>
        <v/>
      </c>
      <c r="W743" s="48" t="str">
        <f t="shared" si="48"/>
        <v/>
      </c>
      <c r="X743" s="48" t="str">
        <f t="shared" si="48"/>
        <v/>
      </c>
      <c r="Y743" s="48" t="str">
        <f t="shared" si="48"/>
        <v/>
      </c>
      <c r="Z743" s="49" t="str">
        <f t="shared" si="46"/>
        <v/>
      </c>
      <c r="AA743" s="50" t="str">
        <f t="shared" si="49"/>
        <v/>
      </c>
      <c r="AB743" s="48" t="str">
        <f t="shared" si="49"/>
        <v/>
      </c>
      <c r="AC743" s="48" t="str">
        <f t="shared" si="49"/>
        <v/>
      </c>
      <c r="AD743" s="48" t="str">
        <f t="shared" si="49"/>
        <v/>
      </c>
      <c r="AE743" s="48" t="str">
        <f t="shared" si="47"/>
        <v/>
      </c>
    </row>
    <row r="744" spans="1:31" x14ac:dyDescent="0.25">
      <c r="A744" s="2"/>
      <c r="B744" s="2"/>
      <c r="C744" s="2"/>
      <c r="D744" s="2" t="str">
        <f>IF(ISBLANK(C744),"",VLOOKUP(C744,configuration!$G$7:$H$10,2,FALSE))</f>
        <v/>
      </c>
      <c r="E744" s="2"/>
      <c r="F744" s="2"/>
      <c r="G744" s="2"/>
      <c r="H744" s="2" t="str">
        <f>IF(ISBLANK(G744),"",VLOOKUP(G744,configuration!$J$7:$K$10,2,FALSE))</f>
        <v/>
      </c>
      <c r="I744" s="30"/>
      <c r="J744" s="2"/>
      <c r="K744" s="31"/>
      <c r="L744" s="35"/>
      <c r="M744" s="2" t="str">
        <f>IF(ISBLANK(L744),"",VLOOKUP(L744,configuration!$M$7:$N$10,2,FALSE))</f>
        <v/>
      </c>
      <c r="N744" s="30"/>
      <c r="O744" s="2"/>
      <c r="P744" s="31"/>
      <c r="Q744" s="54"/>
      <c r="R744" s="55" t="str">
        <f>IF(ISBLANK(Q744),"",VLOOKUP(Q744,configuration!$P$7:$Q$10,2,FALSE))</f>
        <v/>
      </c>
      <c r="S744" s="56"/>
      <c r="T744" s="55"/>
      <c r="U744" s="78"/>
      <c r="V744" s="76" t="str">
        <f t="shared" si="48"/>
        <v/>
      </c>
      <c r="W744" s="48" t="str">
        <f t="shared" si="48"/>
        <v/>
      </c>
      <c r="X744" s="48" t="str">
        <f t="shared" si="48"/>
        <v/>
      </c>
      <c r="Y744" s="48" t="str">
        <f t="shared" si="48"/>
        <v/>
      </c>
      <c r="Z744" s="49" t="str">
        <f t="shared" si="46"/>
        <v/>
      </c>
      <c r="AA744" s="50" t="str">
        <f t="shared" si="49"/>
        <v/>
      </c>
      <c r="AB744" s="48" t="str">
        <f t="shared" si="49"/>
        <v/>
      </c>
      <c r="AC744" s="48" t="str">
        <f t="shared" si="49"/>
        <v/>
      </c>
      <c r="AD744" s="48" t="str">
        <f t="shared" si="49"/>
        <v/>
      </c>
      <c r="AE744" s="48" t="str">
        <f t="shared" si="47"/>
        <v/>
      </c>
    </row>
    <row r="745" spans="1:31" x14ac:dyDescent="0.25">
      <c r="A745" s="2"/>
      <c r="B745" s="2"/>
      <c r="C745" s="2"/>
      <c r="D745" s="2" t="str">
        <f>IF(ISBLANK(C745),"",VLOOKUP(C745,configuration!$G$7:$H$10,2,FALSE))</f>
        <v/>
      </c>
      <c r="E745" s="2"/>
      <c r="F745" s="2"/>
      <c r="G745" s="2"/>
      <c r="H745" s="2" t="str">
        <f>IF(ISBLANK(G745),"",VLOOKUP(G745,configuration!$J$7:$K$10,2,FALSE))</f>
        <v/>
      </c>
      <c r="I745" s="30"/>
      <c r="J745" s="2"/>
      <c r="K745" s="31"/>
      <c r="L745" s="35"/>
      <c r="M745" s="2" t="str">
        <f>IF(ISBLANK(L745),"",VLOOKUP(L745,configuration!$M$7:$N$10,2,FALSE))</f>
        <v/>
      </c>
      <c r="N745" s="30"/>
      <c r="O745" s="2"/>
      <c r="P745" s="31"/>
      <c r="Q745" s="54"/>
      <c r="R745" s="55" t="str">
        <f>IF(ISBLANK(Q745),"",VLOOKUP(Q745,configuration!$P$7:$Q$10,2,FALSE))</f>
        <v/>
      </c>
      <c r="S745" s="56"/>
      <c r="T745" s="55"/>
      <c r="U745" s="78"/>
      <c r="V745" s="76" t="str">
        <f t="shared" si="48"/>
        <v/>
      </c>
      <c r="W745" s="48" t="str">
        <f t="shared" si="48"/>
        <v/>
      </c>
      <c r="X745" s="48" t="str">
        <f t="shared" si="48"/>
        <v/>
      </c>
      <c r="Y745" s="48" t="str">
        <f t="shared" si="48"/>
        <v/>
      </c>
      <c r="Z745" s="49" t="str">
        <f t="shared" si="46"/>
        <v/>
      </c>
      <c r="AA745" s="50" t="str">
        <f t="shared" si="49"/>
        <v/>
      </c>
      <c r="AB745" s="48" t="str">
        <f t="shared" si="49"/>
        <v/>
      </c>
      <c r="AC745" s="48" t="str">
        <f t="shared" si="49"/>
        <v/>
      </c>
      <c r="AD745" s="48" t="str">
        <f t="shared" si="49"/>
        <v/>
      </c>
      <c r="AE745" s="48" t="str">
        <f t="shared" si="47"/>
        <v/>
      </c>
    </row>
    <row r="746" spans="1:31" x14ac:dyDescent="0.25">
      <c r="A746" s="2"/>
      <c r="B746" s="2"/>
      <c r="C746" s="2"/>
      <c r="D746" s="2" t="str">
        <f>IF(ISBLANK(C746),"",VLOOKUP(C746,configuration!$G$7:$H$10,2,FALSE))</f>
        <v/>
      </c>
      <c r="E746" s="2"/>
      <c r="F746" s="2"/>
      <c r="G746" s="2"/>
      <c r="H746" s="2" t="str">
        <f>IF(ISBLANK(G746),"",VLOOKUP(G746,configuration!$J$7:$K$10,2,FALSE))</f>
        <v/>
      </c>
      <c r="I746" s="30"/>
      <c r="J746" s="2"/>
      <c r="K746" s="31"/>
      <c r="L746" s="35"/>
      <c r="M746" s="2" t="str">
        <f>IF(ISBLANK(L746),"",VLOOKUP(L746,configuration!$M$7:$N$10,2,FALSE))</f>
        <v/>
      </c>
      <c r="N746" s="30"/>
      <c r="O746" s="2"/>
      <c r="P746" s="31"/>
      <c r="Q746" s="54"/>
      <c r="R746" s="55" t="str">
        <f>IF(ISBLANK(Q746),"",VLOOKUP(Q746,configuration!$P$7:$Q$10,2,FALSE))</f>
        <v/>
      </c>
      <c r="S746" s="56"/>
      <c r="T746" s="55"/>
      <c r="U746" s="78"/>
      <c r="V746" s="76" t="str">
        <f t="shared" si="48"/>
        <v/>
      </c>
      <c r="W746" s="48" t="str">
        <f t="shared" si="48"/>
        <v/>
      </c>
      <c r="X746" s="48" t="str">
        <f t="shared" si="48"/>
        <v/>
      </c>
      <c r="Y746" s="48" t="str">
        <f t="shared" si="48"/>
        <v/>
      </c>
      <c r="Z746" s="49" t="str">
        <f t="shared" si="46"/>
        <v/>
      </c>
      <c r="AA746" s="50" t="str">
        <f t="shared" si="49"/>
        <v/>
      </c>
      <c r="AB746" s="48" t="str">
        <f t="shared" si="49"/>
        <v/>
      </c>
      <c r="AC746" s="48" t="str">
        <f t="shared" si="49"/>
        <v/>
      </c>
      <c r="AD746" s="48" t="str">
        <f t="shared" si="49"/>
        <v/>
      </c>
      <c r="AE746" s="48" t="str">
        <f t="shared" si="47"/>
        <v/>
      </c>
    </row>
    <row r="747" spans="1:31" x14ac:dyDescent="0.25">
      <c r="A747" s="2"/>
      <c r="B747" s="2"/>
      <c r="C747" s="2"/>
      <c r="D747" s="2" t="str">
        <f>IF(ISBLANK(C747),"",VLOOKUP(C747,configuration!$G$7:$H$10,2,FALSE))</f>
        <v/>
      </c>
      <c r="E747" s="2"/>
      <c r="F747" s="2"/>
      <c r="G747" s="2"/>
      <c r="H747" s="2" t="str">
        <f>IF(ISBLANK(G747),"",VLOOKUP(G747,configuration!$J$7:$K$10,2,FALSE))</f>
        <v/>
      </c>
      <c r="I747" s="30"/>
      <c r="J747" s="2"/>
      <c r="K747" s="31"/>
      <c r="L747" s="35"/>
      <c r="M747" s="2" t="str">
        <f>IF(ISBLANK(L747),"",VLOOKUP(L747,configuration!$M$7:$N$10,2,FALSE))</f>
        <v/>
      </c>
      <c r="N747" s="30"/>
      <c r="O747" s="2"/>
      <c r="P747" s="31"/>
      <c r="Q747" s="54"/>
      <c r="R747" s="55" t="str">
        <f>IF(ISBLANK(Q747),"",VLOOKUP(Q747,configuration!$P$7:$Q$10,2,FALSE))</f>
        <v/>
      </c>
      <c r="S747" s="56"/>
      <c r="T747" s="55"/>
      <c r="U747" s="78"/>
      <c r="V747" s="76" t="str">
        <f t="shared" si="48"/>
        <v/>
      </c>
      <c r="W747" s="48" t="str">
        <f t="shared" si="48"/>
        <v/>
      </c>
      <c r="X747" s="48" t="str">
        <f t="shared" si="48"/>
        <v/>
      </c>
      <c r="Y747" s="48" t="str">
        <f t="shared" si="48"/>
        <v/>
      </c>
      <c r="Z747" s="49" t="str">
        <f t="shared" si="46"/>
        <v/>
      </c>
      <c r="AA747" s="50" t="str">
        <f t="shared" si="49"/>
        <v/>
      </c>
      <c r="AB747" s="48" t="str">
        <f t="shared" si="49"/>
        <v/>
      </c>
      <c r="AC747" s="48" t="str">
        <f t="shared" si="49"/>
        <v/>
      </c>
      <c r="AD747" s="48" t="str">
        <f t="shared" si="49"/>
        <v/>
      </c>
      <c r="AE747" s="48" t="str">
        <f t="shared" si="47"/>
        <v/>
      </c>
    </row>
    <row r="748" spans="1:31" x14ac:dyDescent="0.25">
      <c r="A748" s="2"/>
      <c r="B748" s="2"/>
      <c r="C748" s="2"/>
      <c r="D748" s="2" t="str">
        <f>IF(ISBLANK(C748),"",VLOOKUP(C748,configuration!$G$7:$H$10,2,FALSE))</f>
        <v/>
      </c>
      <c r="E748" s="2"/>
      <c r="F748" s="2"/>
      <c r="G748" s="2"/>
      <c r="H748" s="2" t="str">
        <f>IF(ISBLANK(G748),"",VLOOKUP(G748,configuration!$J$7:$K$10,2,FALSE))</f>
        <v/>
      </c>
      <c r="I748" s="30"/>
      <c r="J748" s="2"/>
      <c r="K748" s="31"/>
      <c r="L748" s="35"/>
      <c r="M748" s="2" t="str">
        <f>IF(ISBLANK(L748),"",VLOOKUP(L748,configuration!$M$7:$N$10,2,FALSE))</f>
        <v/>
      </c>
      <c r="N748" s="30"/>
      <c r="O748" s="2"/>
      <c r="P748" s="31"/>
      <c r="Q748" s="54"/>
      <c r="R748" s="55" t="str">
        <f>IF(ISBLANK(Q748),"",VLOOKUP(Q748,configuration!$P$7:$Q$10,2,FALSE))</f>
        <v/>
      </c>
      <c r="S748" s="56"/>
      <c r="T748" s="55"/>
      <c r="U748" s="78"/>
      <c r="V748" s="76" t="str">
        <f t="shared" si="48"/>
        <v/>
      </c>
      <c r="W748" s="48" t="str">
        <f t="shared" si="48"/>
        <v/>
      </c>
      <c r="X748" s="48" t="str">
        <f t="shared" si="48"/>
        <v/>
      </c>
      <c r="Y748" s="48" t="str">
        <f t="shared" si="48"/>
        <v/>
      </c>
      <c r="Z748" s="49" t="str">
        <f t="shared" si="46"/>
        <v/>
      </c>
      <c r="AA748" s="50" t="str">
        <f t="shared" si="49"/>
        <v/>
      </c>
      <c r="AB748" s="48" t="str">
        <f t="shared" si="49"/>
        <v/>
      </c>
      <c r="AC748" s="48" t="str">
        <f t="shared" si="49"/>
        <v/>
      </c>
      <c r="AD748" s="48" t="str">
        <f t="shared" si="49"/>
        <v/>
      </c>
      <c r="AE748" s="48" t="str">
        <f t="shared" si="47"/>
        <v/>
      </c>
    </row>
    <row r="749" spans="1:31" x14ac:dyDescent="0.25">
      <c r="A749" s="2"/>
      <c r="B749" s="2"/>
      <c r="C749" s="2"/>
      <c r="D749" s="2" t="str">
        <f>IF(ISBLANK(C749),"",VLOOKUP(C749,configuration!$G$7:$H$10,2,FALSE))</f>
        <v/>
      </c>
      <c r="E749" s="2"/>
      <c r="F749" s="2"/>
      <c r="G749" s="2"/>
      <c r="H749" s="2" t="str">
        <f>IF(ISBLANK(G749),"",VLOOKUP(G749,configuration!$J$7:$K$10,2,FALSE))</f>
        <v/>
      </c>
      <c r="I749" s="30"/>
      <c r="J749" s="2"/>
      <c r="K749" s="31"/>
      <c r="L749" s="35"/>
      <c r="M749" s="2" t="str">
        <f>IF(ISBLANK(L749),"",VLOOKUP(L749,configuration!$M$7:$N$10,2,FALSE))</f>
        <v/>
      </c>
      <c r="N749" s="30"/>
      <c r="O749" s="2"/>
      <c r="P749" s="31"/>
      <c r="Q749" s="54"/>
      <c r="R749" s="55" t="str">
        <f>IF(ISBLANK(Q749),"",VLOOKUP(Q749,configuration!$P$7:$Q$10,2,FALSE))</f>
        <v/>
      </c>
      <c r="S749" s="56"/>
      <c r="T749" s="55"/>
      <c r="U749" s="78"/>
      <c r="V749" s="76" t="str">
        <f t="shared" si="48"/>
        <v/>
      </c>
      <c r="W749" s="48" t="str">
        <f t="shared" si="48"/>
        <v/>
      </c>
      <c r="X749" s="48" t="str">
        <f t="shared" si="48"/>
        <v/>
      </c>
      <c r="Y749" s="48" t="str">
        <f t="shared" si="48"/>
        <v/>
      </c>
      <c r="Z749" s="49" t="str">
        <f t="shared" si="46"/>
        <v/>
      </c>
      <c r="AA749" s="50" t="str">
        <f t="shared" si="49"/>
        <v/>
      </c>
      <c r="AB749" s="48" t="str">
        <f t="shared" si="49"/>
        <v/>
      </c>
      <c r="AC749" s="48" t="str">
        <f t="shared" si="49"/>
        <v/>
      </c>
      <c r="AD749" s="48" t="str">
        <f t="shared" si="49"/>
        <v/>
      </c>
      <c r="AE749" s="48" t="str">
        <f t="shared" si="47"/>
        <v/>
      </c>
    </row>
    <row r="750" spans="1:31" x14ac:dyDescent="0.25">
      <c r="A750" s="2"/>
      <c r="B750" s="2"/>
      <c r="C750" s="2"/>
      <c r="D750" s="2" t="str">
        <f>IF(ISBLANK(C750),"",VLOOKUP(C750,configuration!$G$7:$H$10,2,FALSE))</f>
        <v/>
      </c>
      <c r="E750" s="2"/>
      <c r="F750" s="2"/>
      <c r="G750" s="2"/>
      <c r="H750" s="2" t="str">
        <f>IF(ISBLANK(G750),"",VLOOKUP(G750,configuration!$J$7:$K$10,2,FALSE))</f>
        <v/>
      </c>
      <c r="I750" s="30"/>
      <c r="J750" s="2"/>
      <c r="K750" s="31"/>
      <c r="L750" s="35"/>
      <c r="M750" s="2" t="str">
        <f>IF(ISBLANK(L750),"",VLOOKUP(L750,configuration!$M$7:$N$10,2,FALSE))</f>
        <v/>
      </c>
      <c r="N750" s="30"/>
      <c r="O750" s="2"/>
      <c r="P750" s="31"/>
      <c r="Q750" s="54"/>
      <c r="R750" s="55" t="str">
        <f>IF(ISBLANK(Q750),"",VLOOKUP(Q750,configuration!$P$7:$Q$10,2,FALSE))</f>
        <v/>
      </c>
      <c r="S750" s="56"/>
      <c r="T750" s="55"/>
      <c r="U750" s="78"/>
      <c r="V750" s="76" t="str">
        <f t="shared" si="48"/>
        <v/>
      </c>
      <c r="W750" s="48" t="str">
        <f t="shared" si="48"/>
        <v/>
      </c>
      <c r="X750" s="48" t="str">
        <f t="shared" si="48"/>
        <v/>
      </c>
      <c r="Y750" s="48" t="str">
        <f t="shared" si="48"/>
        <v/>
      </c>
      <c r="Z750" s="49" t="str">
        <f t="shared" si="46"/>
        <v/>
      </c>
      <c r="AA750" s="50" t="str">
        <f t="shared" si="49"/>
        <v/>
      </c>
      <c r="AB750" s="48" t="str">
        <f t="shared" si="49"/>
        <v/>
      </c>
      <c r="AC750" s="48" t="str">
        <f t="shared" si="49"/>
        <v/>
      </c>
      <c r="AD750" s="48" t="str">
        <f t="shared" si="49"/>
        <v/>
      </c>
      <c r="AE750" s="48" t="str">
        <f t="shared" si="47"/>
        <v/>
      </c>
    </row>
    <row r="751" spans="1:31" x14ac:dyDescent="0.25">
      <c r="A751" s="2"/>
      <c r="B751" s="2"/>
      <c r="C751" s="2"/>
      <c r="D751" s="2" t="str">
        <f>IF(ISBLANK(C751),"",VLOOKUP(C751,configuration!$G$7:$H$10,2,FALSE))</f>
        <v/>
      </c>
      <c r="E751" s="2"/>
      <c r="F751" s="2"/>
      <c r="G751" s="2"/>
      <c r="H751" s="2" t="str">
        <f>IF(ISBLANK(G751),"",VLOOKUP(G751,configuration!$J$7:$K$10,2,FALSE))</f>
        <v/>
      </c>
      <c r="I751" s="30"/>
      <c r="J751" s="2"/>
      <c r="K751" s="31"/>
      <c r="L751" s="35"/>
      <c r="M751" s="2" t="str">
        <f>IF(ISBLANK(L751),"",VLOOKUP(L751,configuration!$M$7:$N$10,2,FALSE))</f>
        <v/>
      </c>
      <c r="N751" s="30"/>
      <c r="O751" s="2"/>
      <c r="P751" s="31"/>
      <c r="Q751" s="54"/>
      <c r="R751" s="55" t="str">
        <f>IF(ISBLANK(Q751),"",VLOOKUP(Q751,configuration!$P$7:$Q$10,2,FALSE))</f>
        <v/>
      </c>
      <c r="S751" s="56"/>
      <c r="T751" s="55"/>
      <c r="U751" s="78"/>
      <c r="V751" s="76" t="str">
        <f t="shared" si="48"/>
        <v/>
      </c>
      <c r="W751" s="48" t="str">
        <f t="shared" si="48"/>
        <v/>
      </c>
      <c r="X751" s="48" t="str">
        <f t="shared" si="48"/>
        <v/>
      </c>
      <c r="Y751" s="48" t="str">
        <f t="shared" si="48"/>
        <v/>
      </c>
      <c r="Z751" s="49" t="str">
        <f t="shared" si="46"/>
        <v/>
      </c>
      <c r="AA751" s="50" t="str">
        <f t="shared" si="49"/>
        <v/>
      </c>
      <c r="AB751" s="48" t="str">
        <f t="shared" si="49"/>
        <v/>
      </c>
      <c r="AC751" s="48" t="str">
        <f t="shared" si="49"/>
        <v/>
      </c>
      <c r="AD751" s="48" t="str">
        <f t="shared" si="49"/>
        <v/>
      </c>
      <c r="AE751" s="48" t="str">
        <f t="shared" si="47"/>
        <v/>
      </c>
    </row>
    <row r="752" spans="1:31" x14ac:dyDescent="0.25">
      <c r="A752" s="2"/>
      <c r="B752" s="2"/>
      <c r="C752" s="2"/>
      <c r="D752" s="2" t="str">
        <f>IF(ISBLANK(C752),"",VLOOKUP(C752,configuration!$G$7:$H$10,2,FALSE))</f>
        <v/>
      </c>
      <c r="E752" s="2"/>
      <c r="F752" s="2"/>
      <c r="G752" s="2"/>
      <c r="H752" s="2" t="str">
        <f>IF(ISBLANK(G752),"",VLOOKUP(G752,configuration!$J$7:$K$10,2,FALSE))</f>
        <v/>
      </c>
      <c r="I752" s="30"/>
      <c r="J752" s="2"/>
      <c r="K752" s="31"/>
      <c r="L752" s="35"/>
      <c r="M752" s="2" t="str">
        <f>IF(ISBLANK(L752),"",VLOOKUP(L752,configuration!$M$7:$N$10,2,FALSE))</f>
        <v/>
      </c>
      <c r="N752" s="30"/>
      <c r="O752" s="2"/>
      <c r="P752" s="31"/>
      <c r="Q752" s="54"/>
      <c r="R752" s="55" t="str">
        <f>IF(ISBLANK(Q752),"",VLOOKUP(Q752,configuration!$P$7:$Q$10,2,FALSE))</f>
        <v/>
      </c>
      <c r="S752" s="56"/>
      <c r="T752" s="55"/>
      <c r="U752" s="78"/>
      <c r="V752" s="76" t="str">
        <f t="shared" si="48"/>
        <v/>
      </c>
      <c r="W752" s="48" t="str">
        <f t="shared" si="48"/>
        <v/>
      </c>
      <c r="X752" s="48" t="str">
        <f t="shared" si="48"/>
        <v/>
      </c>
      <c r="Y752" s="48" t="str">
        <f t="shared" si="48"/>
        <v/>
      </c>
      <c r="Z752" s="49" t="str">
        <f t="shared" si="46"/>
        <v/>
      </c>
      <c r="AA752" s="50" t="str">
        <f t="shared" si="49"/>
        <v/>
      </c>
      <c r="AB752" s="48" t="str">
        <f t="shared" si="49"/>
        <v/>
      </c>
      <c r="AC752" s="48" t="str">
        <f t="shared" si="49"/>
        <v/>
      </c>
      <c r="AD752" s="48" t="str">
        <f t="shared" si="49"/>
        <v/>
      </c>
      <c r="AE752" s="48" t="str">
        <f t="shared" si="47"/>
        <v/>
      </c>
    </row>
    <row r="753" spans="1:31" x14ac:dyDescent="0.25">
      <c r="A753" s="2"/>
      <c r="B753" s="2"/>
      <c r="C753" s="2"/>
      <c r="D753" s="2" t="str">
        <f>IF(ISBLANK(C753),"",VLOOKUP(C753,configuration!$G$7:$H$10,2,FALSE))</f>
        <v/>
      </c>
      <c r="E753" s="2"/>
      <c r="F753" s="2"/>
      <c r="G753" s="2"/>
      <c r="H753" s="2" t="str">
        <f>IF(ISBLANK(G753),"",VLOOKUP(G753,configuration!$J$7:$K$10,2,FALSE))</f>
        <v/>
      </c>
      <c r="I753" s="30"/>
      <c r="J753" s="2"/>
      <c r="K753" s="31"/>
      <c r="L753" s="35"/>
      <c r="M753" s="2" t="str">
        <f>IF(ISBLANK(L753),"",VLOOKUP(L753,configuration!$M$7:$N$10,2,FALSE))</f>
        <v/>
      </c>
      <c r="N753" s="30"/>
      <c r="O753" s="2"/>
      <c r="P753" s="31"/>
      <c r="Q753" s="54"/>
      <c r="R753" s="55" t="str">
        <f>IF(ISBLANK(Q753),"",VLOOKUP(Q753,configuration!$P$7:$Q$10,2,FALSE))</f>
        <v/>
      </c>
      <c r="S753" s="56"/>
      <c r="T753" s="55"/>
      <c r="U753" s="78"/>
      <c r="V753" s="76" t="str">
        <f t="shared" si="48"/>
        <v/>
      </c>
      <c r="W753" s="48" t="str">
        <f t="shared" si="48"/>
        <v/>
      </c>
      <c r="X753" s="48" t="str">
        <f t="shared" si="48"/>
        <v/>
      </c>
      <c r="Y753" s="48" t="str">
        <f t="shared" si="48"/>
        <v/>
      </c>
      <c r="Z753" s="49" t="str">
        <f t="shared" si="46"/>
        <v/>
      </c>
      <c r="AA753" s="50" t="str">
        <f t="shared" si="49"/>
        <v/>
      </c>
      <c r="AB753" s="48" t="str">
        <f t="shared" si="49"/>
        <v/>
      </c>
      <c r="AC753" s="48" t="str">
        <f t="shared" si="49"/>
        <v/>
      </c>
      <c r="AD753" s="48" t="str">
        <f t="shared" si="49"/>
        <v/>
      </c>
      <c r="AE753" s="48" t="str">
        <f t="shared" si="47"/>
        <v/>
      </c>
    </row>
    <row r="754" spans="1:31" x14ac:dyDescent="0.25">
      <c r="A754" s="2"/>
      <c r="B754" s="2"/>
      <c r="C754" s="2"/>
      <c r="D754" s="2" t="str">
        <f>IF(ISBLANK(C754),"",VLOOKUP(C754,configuration!$G$7:$H$10,2,FALSE))</f>
        <v/>
      </c>
      <c r="E754" s="2"/>
      <c r="F754" s="2"/>
      <c r="G754" s="2"/>
      <c r="H754" s="2" t="str">
        <f>IF(ISBLANK(G754),"",VLOOKUP(G754,configuration!$J$7:$K$10,2,FALSE))</f>
        <v/>
      </c>
      <c r="I754" s="30"/>
      <c r="J754" s="2"/>
      <c r="K754" s="31"/>
      <c r="L754" s="35"/>
      <c r="M754" s="2" t="str">
        <f>IF(ISBLANK(L754),"",VLOOKUP(L754,configuration!$M$7:$N$10,2,FALSE))</f>
        <v/>
      </c>
      <c r="N754" s="30"/>
      <c r="O754" s="2"/>
      <c r="P754" s="31"/>
      <c r="Q754" s="54"/>
      <c r="R754" s="55" t="str">
        <f>IF(ISBLANK(Q754),"",VLOOKUP(Q754,configuration!$P$7:$Q$10,2,FALSE))</f>
        <v/>
      </c>
      <c r="S754" s="56"/>
      <c r="T754" s="55"/>
      <c r="U754" s="78"/>
      <c r="V754" s="76" t="str">
        <f t="shared" si="48"/>
        <v/>
      </c>
      <c r="W754" s="48" t="str">
        <f t="shared" si="48"/>
        <v/>
      </c>
      <c r="X754" s="48" t="str">
        <f t="shared" si="48"/>
        <v/>
      </c>
      <c r="Y754" s="48" t="str">
        <f t="shared" si="48"/>
        <v/>
      </c>
      <c r="Z754" s="49" t="str">
        <f t="shared" si="46"/>
        <v/>
      </c>
      <c r="AA754" s="50" t="str">
        <f t="shared" si="49"/>
        <v/>
      </c>
      <c r="AB754" s="48" t="str">
        <f t="shared" si="49"/>
        <v/>
      </c>
      <c r="AC754" s="48" t="str">
        <f t="shared" si="49"/>
        <v/>
      </c>
      <c r="AD754" s="48" t="str">
        <f t="shared" si="49"/>
        <v/>
      </c>
      <c r="AE754" s="48" t="str">
        <f t="shared" si="47"/>
        <v/>
      </c>
    </row>
    <row r="755" spans="1:31" x14ac:dyDescent="0.25">
      <c r="A755" s="2"/>
      <c r="B755" s="2"/>
      <c r="C755" s="2"/>
      <c r="D755" s="2" t="str">
        <f>IF(ISBLANK(C755),"",VLOOKUP(C755,configuration!$G$7:$H$10,2,FALSE))</f>
        <v/>
      </c>
      <c r="E755" s="2"/>
      <c r="F755" s="2"/>
      <c r="G755" s="2"/>
      <c r="H755" s="2" t="str">
        <f>IF(ISBLANK(G755),"",VLOOKUP(G755,configuration!$J$7:$K$10,2,FALSE))</f>
        <v/>
      </c>
      <c r="I755" s="30"/>
      <c r="J755" s="2"/>
      <c r="K755" s="31"/>
      <c r="L755" s="35"/>
      <c r="M755" s="2" t="str">
        <f>IF(ISBLANK(L755),"",VLOOKUP(L755,configuration!$M$7:$N$10,2,FALSE))</f>
        <v/>
      </c>
      <c r="N755" s="30"/>
      <c r="O755" s="2"/>
      <c r="P755" s="31"/>
      <c r="Q755" s="54"/>
      <c r="R755" s="55" t="str">
        <f>IF(ISBLANK(Q755),"",VLOOKUP(Q755,configuration!$P$7:$Q$10,2,FALSE))</f>
        <v/>
      </c>
      <c r="S755" s="56"/>
      <c r="T755" s="55"/>
      <c r="U755" s="78"/>
      <c r="V755" s="76" t="str">
        <f t="shared" si="48"/>
        <v/>
      </c>
      <c r="W755" s="48" t="str">
        <f t="shared" si="48"/>
        <v/>
      </c>
      <c r="X755" s="48" t="str">
        <f t="shared" si="48"/>
        <v/>
      </c>
      <c r="Y755" s="48" t="str">
        <f t="shared" si="48"/>
        <v/>
      </c>
      <c r="Z755" s="49" t="str">
        <f t="shared" si="46"/>
        <v/>
      </c>
      <c r="AA755" s="50" t="str">
        <f t="shared" si="49"/>
        <v/>
      </c>
      <c r="AB755" s="48" t="str">
        <f t="shared" si="49"/>
        <v/>
      </c>
      <c r="AC755" s="48" t="str">
        <f t="shared" si="49"/>
        <v/>
      </c>
      <c r="AD755" s="48" t="str">
        <f t="shared" si="49"/>
        <v/>
      </c>
      <c r="AE755" s="48" t="str">
        <f t="shared" si="47"/>
        <v/>
      </c>
    </row>
    <row r="756" spans="1:31" x14ac:dyDescent="0.25">
      <c r="A756" s="2"/>
      <c r="B756" s="2"/>
      <c r="C756" s="2"/>
      <c r="D756" s="2" t="str">
        <f>IF(ISBLANK(C756),"",VLOOKUP(C756,configuration!$G$7:$H$10,2,FALSE))</f>
        <v/>
      </c>
      <c r="E756" s="2"/>
      <c r="F756" s="2"/>
      <c r="G756" s="2"/>
      <c r="H756" s="2" t="str">
        <f>IF(ISBLANK(G756),"",VLOOKUP(G756,configuration!$J$7:$K$10,2,FALSE))</f>
        <v/>
      </c>
      <c r="I756" s="30"/>
      <c r="J756" s="2"/>
      <c r="K756" s="31"/>
      <c r="L756" s="35"/>
      <c r="M756" s="2" t="str">
        <f>IF(ISBLANK(L756),"",VLOOKUP(L756,configuration!$M$7:$N$10,2,FALSE))</f>
        <v/>
      </c>
      <c r="N756" s="30"/>
      <c r="O756" s="2"/>
      <c r="P756" s="31"/>
      <c r="Q756" s="54"/>
      <c r="R756" s="55" t="str">
        <f>IF(ISBLANK(Q756),"",VLOOKUP(Q756,configuration!$P$7:$Q$10,2,FALSE))</f>
        <v/>
      </c>
      <c r="S756" s="56"/>
      <c r="T756" s="55"/>
      <c r="U756" s="78"/>
      <c r="V756" s="76" t="str">
        <f t="shared" si="48"/>
        <v/>
      </c>
      <c r="W756" s="48" t="str">
        <f t="shared" si="48"/>
        <v/>
      </c>
      <c r="X756" s="48" t="str">
        <f t="shared" si="48"/>
        <v/>
      </c>
      <c r="Y756" s="48" t="str">
        <f t="shared" si="48"/>
        <v/>
      </c>
      <c r="Z756" s="49" t="str">
        <f t="shared" si="46"/>
        <v/>
      </c>
      <c r="AA756" s="50" t="str">
        <f t="shared" si="49"/>
        <v/>
      </c>
      <c r="AB756" s="48" t="str">
        <f t="shared" si="49"/>
        <v/>
      </c>
      <c r="AC756" s="48" t="str">
        <f t="shared" si="49"/>
        <v/>
      </c>
      <c r="AD756" s="48" t="str">
        <f t="shared" si="49"/>
        <v/>
      </c>
      <c r="AE756" s="48" t="str">
        <f t="shared" si="47"/>
        <v/>
      </c>
    </row>
    <row r="757" spans="1:31" x14ac:dyDescent="0.25">
      <c r="A757" s="2"/>
      <c r="B757" s="2"/>
      <c r="C757" s="2"/>
      <c r="D757" s="2" t="str">
        <f>IF(ISBLANK(C757),"",VLOOKUP(C757,configuration!$G$7:$H$10,2,FALSE))</f>
        <v/>
      </c>
      <c r="E757" s="2"/>
      <c r="F757" s="2"/>
      <c r="G757" s="2"/>
      <c r="H757" s="2" t="str">
        <f>IF(ISBLANK(G757),"",VLOOKUP(G757,configuration!$J$7:$K$10,2,FALSE))</f>
        <v/>
      </c>
      <c r="I757" s="30"/>
      <c r="J757" s="2"/>
      <c r="K757" s="31"/>
      <c r="L757" s="35"/>
      <c r="M757" s="2" t="str">
        <f>IF(ISBLANK(L757),"",VLOOKUP(L757,configuration!$M$7:$N$10,2,FALSE))</f>
        <v/>
      </c>
      <c r="N757" s="30"/>
      <c r="O757" s="2"/>
      <c r="P757" s="31"/>
      <c r="Q757" s="54"/>
      <c r="R757" s="55" t="str">
        <f>IF(ISBLANK(Q757),"",VLOOKUP(Q757,configuration!$P$7:$Q$10,2,FALSE))</f>
        <v/>
      </c>
      <c r="S757" s="56"/>
      <c r="T757" s="55"/>
      <c r="U757" s="78"/>
      <c r="V757" s="76" t="str">
        <f t="shared" si="48"/>
        <v/>
      </c>
      <c r="W757" s="48" t="str">
        <f t="shared" si="48"/>
        <v/>
      </c>
      <c r="X757" s="48" t="str">
        <f t="shared" si="48"/>
        <v/>
      </c>
      <c r="Y757" s="48" t="str">
        <f t="shared" si="48"/>
        <v/>
      </c>
      <c r="Z757" s="49" t="str">
        <f t="shared" si="46"/>
        <v/>
      </c>
      <c r="AA757" s="50" t="str">
        <f t="shared" si="49"/>
        <v/>
      </c>
      <c r="AB757" s="48" t="str">
        <f t="shared" si="49"/>
        <v/>
      </c>
      <c r="AC757" s="48" t="str">
        <f t="shared" si="49"/>
        <v/>
      </c>
      <c r="AD757" s="48" t="str">
        <f t="shared" si="49"/>
        <v/>
      </c>
      <c r="AE757" s="48" t="str">
        <f t="shared" si="47"/>
        <v/>
      </c>
    </row>
    <row r="758" spans="1:31" x14ac:dyDescent="0.25">
      <c r="A758" s="2"/>
      <c r="B758" s="2"/>
      <c r="C758" s="2"/>
      <c r="D758" s="2" t="str">
        <f>IF(ISBLANK(C758),"",VLOOKUP(C758,configuration!$G$7:$H$10,2,FALSE))</f>
        <v/>
      </c>
      <c r="E758" s="2"/>
      <c r="F758" s="2"/>
      <c r="G758" s="2"/>
      <c r="H758" s="2" t="str">
        <f>IF(ISBLANK(G758),"",VLOOKUP(G758,configuration!$J$7:$K$10,2,FALSE))</f>
        <v/>
      </c>
      <c r="I758" s="30"/>
      <c r="J758" s="2"/>
      <c r="K758" s="31"/>
      <c r="L758" s="35"/>
      <c r="M758" s="2" t="str">
        <f>IF(ISBLANK(L758),"",VLOOKUP(L758,configuration!$M$7:$N$10,2,FALSE))</f>
        <v/>
      </c>
      <c r="N758" s="30"/>
      <c r="O758" s="2"/>
      <c r="P758" s="31"/>
      <c r="Q758" s="54"/>
      <c r="R758" s="55" t="str">
        <f>IF(ISBLANK(Q758),"",VLOOKUP(Q758,configuration!$P$7:$Q$10,2,FALSE))</f>
        <v/>
      </c>
      <c r="S758" s="56"/>
      <c r="T758" s="55"/>
      <c r="U758" s="78"/>
      <c r="V758" s="76" t="str">
        <f t="shared" si="48"/>
        <v/>
      </c>
      <c r="W758" s="48" t="str">
        <f t="shared" si="48"/>
        <v/>
      </c>
      <c r="X758" s="48" t="str">
        <f t="shared" si="48"/>
        <v/>
      </c>
      <c r="Y758" s="48" t="str">
        <f t="shared" si="48"/>
        <v/>
      </c>
      <c r="Z758" s="49" t="str">
        <f t="shared" si="46"/>
        <v/>
      </c>
      <c r="AA758" s="50" t="str">
        <f t="shared" si="49"/>
        <v/>
      </c>
      <c r="AB758" s="48" t="str">
        <f t="shared" si="49"/>
        <v/>
      </c>
      <c r="AC758" s="48" t="str">
        <f t="shared" si="49"/>
        <v/>
      </c>
      <c r="AD758" s="48" t="str">
        <f t="shared" si="49"/>
        <v/>
      </c>
      <c r="AE758" s="48" t="str">
        <f t="shared" si="47"/>
        <v/>
      </c>
    </row>
    <row r="759" spans="1:31" x14ac:dyDescent="0.25">
      <c r="A759" s="2"/>
      <c r="B759" s="2"/>
      <c r="C759" s="2"/>
      <c r="D759" s="2" t="str">
        <f>IF(ISBLANK(C759),"",VLOOKUP(C759,configuration!$G$7:$H$10,2,FALSE))</f>
        <v/>
      </c>
      <c r="E759" s="2"/>
      <c r="F759" s="2"/>
      <c r="G759" s="2"/>
      <c r="H759" s="2" t="str">
        <f>IF(ISBLANK(G759),"",VLOOKUP(G759,configuration!$J$7:$K$10,2,FALSE))</f>
        <v/>
      </c>
      <c r="I759" s="30"/>
      <c r="J759" s="2"/>
      <c r="K759" s="31"/>
      <c r="L759" s="35"/>
      <c r="M759" s="2" t="str">
        <f>IF(ISBLANK(L759),"",VLOOKUP(L759,configuration!$M$7:$N$10,2,FALSE))</f>
        <v/>
      </c>
      <c r="N759" s="30"/>
      <c r="O759" s="2"/>
      <c r="P759" s="31"/>
      <c r="Q759" s="54"/>
      <c r="R759" s="55" t="str">
        <f>IF(ISBLANK(Q759),"",VLOOKUP(Q759,configuration!$P$7:$Q$10,2,FALSE))</f>
        <v/>
      </c>
      <c r="S759" s="56"/>
      <c r="T759" s="55"/>
      <c r="U759" s="78"/>
      <c r="V759" s="76" t="str">
        <f t="shared" si="48"/>
        <v/>
      </c>
      <c r="W759" s="48" t="str">
        <f t="shared" si="48"/>
        <v/>
      </c>
      <c r="X759" s="48" t="str">
        <f t="shared" si="48"/>
        <v/>
      </c>
      <c r="Y759" s="48" t="str">
        <f t="shared" si="48"/>
        <v/>
      </c>
      <c r="Z759" s="49" t="str">
        <f t="shared" si="46"/>
        <v/>
      </c>
      <c r="AA759" s="50" t="str">
        <f t="shared" si="49"/>
        <v/>
      </c>
      <c r="AB759" s="48" t="str">
        <f t="shared" si="49"/>
        <v/>
      </c>
      <c r="AC759" s="48" t="str">
        <f t="shared" si="49"/>
        <v/>
      </c>
      <c r="AD759" s="48" t="str">
        <f t="shared" si="49"/>
        <v/>
      </c>
      <c r="AE759" s="48" t="str">
        <f t="shared" si="47"/>
        <v/>
      </c>
    </row>
    <row r="760" spans="1:31" x14ac:dyDescent="0.25">
      <c r="A760" s="2"/>
      <c r="B760" s="2"/>
      <c r="C760" s="2"/>
      <c r="D760" s="2" t="str">
        <f>IF(ISBLANK(C760),"",VLOOKUP(C760,configuration!$G$7:$H$10,2,FALSE))</f>
        <v/>
      </c>
      <c r="E760" s="2"/>
      <c r="F760" s="2"/>
      <c r="G760" s="2"/>
      <c r="H760" s="2" t="str">
        <f>IF(ISBLANK(G760),"",VLOOKUP(G760,configuration!$J$7:$K$10,2,FALSE))</f>
        <v/>
      </c>
      <c r="I760" s="30"/>
      <c r="J760" s="2"/>
      <c r="K760" s="31"/>
      <c r="L760" s="35"/>
      <c r="M760" s="2" t="str">
        <f>IF(ISBLANK(L760),"",VLOOKUP(L760,configuration!$M$7:$N$10,2,FALSE))</f>
        <v/>
      </c>
      <c r="N760" s="30"/>
      <c r="O760" s="2"/>
      <c r="P760" s="31"/>
      <c r="Q760" s="54"/>
      <c r="R760" s="55" t="str">
        <f>IF(ISBLANK(Q760),"",VLOOKUP(Q760,configuration!$P$7:$Q$10,2,FALSE))</f>
        <v/>
      </c>
      <c r="S760" s="56"/>
      <c r="T760" s="55"/>
      <c r="U760" s="78"/>
      <c r="V760" s="76" t="str">
        <f t="shared" si="48"/>
        <v/>
      </c>
      <c r="W760" s="48" t="str">
        <f t="shared" si="48"/>
        <v/>
      </c>
      <c r="X760" s="48" t="str">
        <f t="shared" si="48"/>
        <v/>
      </c>
      <c r="Y760" s="48" t="str">
        <f t="shared" si="48"/>
        <v/>
      </c>
      <c r="Z760" s="49" t="str">
        <f t="shared" si="46"/>
        <v/>
      </c>
      <c r="AA760" s="50" t="str">
        <f t="shared" si="49"/>
        <v/>
      </c>
      <c r="AB760" s="48" t="str">
        <f t="shared" si="49"/>
        <v/>
      </c>
      <c r="AC760" s="48" t="str">
        <f t="shared" si="49"/>
        <v/>
      </c>
      <c r="AD760" s="48" t="str">
        <f t="shared" si="49"/>
        <v/>
      </c>
      <c r="AE760" s="48" t="str">
        <f t="shared" si="47"/>
        <v/>
      </c>
    </row>
    <row r="761" spans="1:31" x14ac:dyDescent="0.25">
      <c r="A761" s="2"/>
      <c r="B761" s="2"/>
      <c r="C761" s="2"/>
      <c r="D761" s="2" t="str">
        <f>IF(ISBLANK(C761),"",VLOOKUP(C761,configuration!$G$7:$H$10,2,FALSE))</f>
        <v/>
      </c>
      <c r="E761" s="2"/>
      <c r="F761" s="2"/>
      <c r="G761" s="2"/>
      <c r="H761" s="2" t="str">
        <f>IF(ISBLANK(G761),"",VLOOKUP(G761,configuration!$J$7:$K$10,2,FALSE))</f>
        <v/>
      </c>
      <c r="I761" s="30"/>
      <c r="J761" s="2"/>
      <c r="K761" s="31"/>
      <c r="L761" s="35"/>
      <c r="M761" s="2" t="str">
        <f>IF(ISBLANK(L761),"",VLOOKUP(L761,configuration!$M$7:$N$10,2,FALSE))</f>
        <v/>
      </c>
      <c r="N761" s="30"/>
      <c r="O761" s="2"/>
      <c r="P761" s="31"/>
      <c r="Q761" s="54"/>
      <c r="R761" s="55" t="str">
        <f>IF(ISBLANK(Q761),"",VLOOKUP(Q761,configuration!$P$7:$Q$10,2,FALSE))</f>
        <v/>
      </c>
      <c r="S761" s="56"/>
      <c r="T761" s="55"/>
      <c r="U761" s="78"/>
      <c r="V761" s="76" t="str">
        <f t="shared" si="48"/>
        <v/>
      </c>
      <c r="W761" s="48" t="str">
        <f t="shared" si="48"/>
        <v/>
      </c>
      <c r="X761" s="48" t="str">
        <f t="shared" si="48"/>
        <v/>
      </c>
      <c r="Y761" s="48" t="str">
        <f t="shared" si="48"/>
        <v/>
      </c>
      <c r="Z761" s="49" t="str">
        <f t="shared" si="46"/>
        <v/>
      </c>
      <c r="AA761" s="50" t="str">
        <f t="shared" si="49"/>
        <v/>
      </c>
      <c r="AB761" s="48" t="str">
        <f t="shared" si="49"/>
        <v/>
      </c>
      <c r="AC761" s="48" t="str">
        <f t="shared" si="49"/>
        <v/>
      </c>
      <c r="AD761" s="48" t="str">
        <f t="shared" si="49"/>
        <v/>
      </c>
      <c r="AE761" s="48" t="str">
        <f t="shared" si="47"/>
        <v/>
      </c>
    </row>
    <row r="762" spans="1:31" x14ac:dyDescent="0.25">
      <c r="A762" s="2"/>
      <c r="B762" s="2"/>
      <c r="C762" s="2"/>
      <c r="D762" s="2" t="str">
        <f>IF(ISBLANK(C762),"",VLOOKUP(C762,configuration!$G$7:$H$10,2,FALSE))</f>
        <v/>
      </c>
      <c r="E762" s="2"/>
      <c r="F762" s="2"/>
      <c r="G762" s="2"/>
      <c r="H762" s="2" t="str">
        <f>IF(ISBLANK(G762),"",VLOOKUP(G762,configuration!$J$7:$K$10,2,FALSE))</f>
        <v/>
      </c>
      <c r="I762" s="30"/>
      <c r="J762" s="2"/>
      <c r="K762" s="31"/>
      <c r="L762" s="35"/>
      <c r="M762" s="2" t="str">
        <f>IF(ISBLANK(L762),"",VLOOKUP(L762,configuration!$M$7:$N$10,2,FALSE))</f>
        <v/>
      </c>
      <c r="N762" s="30"/>
      <c r="O762" s="2"/>
      <c r="P762" s="31"/>
      <c r="Q762" s="54"/>
      <c r="R762" s="55" t="str">
        <f>IF(ISBLANK(Q762),"",VLOOKUP(Q762,configuration!$P$7:$Q$10,2,FALSE))</f>
        <v/>
      </c>
      <c r="S762" s="56"/>
      <c r="T762" s="55"/>
      <c r="U762" s="78"/>
      <c r="V762" s="76" t="str">
        <f t="shared" si="48"/>
        <v/>
      </c>
      <c r="W762" s="48" t="str">
        <f t="shared" si="48"/>
        <v/>
      </c>
      <c r="X762" s="48" t="str">
        <f t="shared" si="48"/>
        <v/>
      </c>
      <c r="Y762" s="48" t="str">
        <f t="shared" si="48"/>
        <v/>
      </c>
      <c r="Z762" s="49" t="str">
        <f t="shared" si="46"/>
        <v/>
      </c>
      <c r="AA762" s="50" t="str">
        <f t="shared" si="49"/>
        <v/>
      </c>
      <c r="AB762" s="48" t="str">
        <f t="shared" si="49"/>
        <v/>
      </c>
      <c r="AC762" s="48" t="str">
        <f t="shared" si="49"/>
        <v/>
      </c>
      <c r="AD762" s="48" t="str">
        <f t="shared" si="49"/>
        <v/>
      </c>
      <c r="AE762" s="48" t="str">
        <f t="shared" si="47"/>
        <v/>
      </c>
    </row>
    <row r="763" spans="1:31" x14ac:dyDescent="0.25">
      <c r="A763" s="2"/>
      <c r="B763" s="2"/>
      <c r="C763" s="2"/>
      <c r="D763" s="2" t="str">
        <f>IF(ISBLANK(C763),"",VLOOKUP(C763,configuration!$G$7:$H$10,2,FALSE))</f>
        <v/>
      </c>
      <c r="E763" s="2"/>
      <c r="F763" s="2"/>
      <c r="G763" s="2"/>
      <c r="H763" s="2" t="str">
        <f>IF(ISBLANK(G763),"",VLOOKUP(G763,configuration!$J$7:$K$10,2,FALSE))</f>
        <v/>
      </c>
      <c r="I763" s="30"/>
      <c r="J763" s="2"/>
      <c r="K763" s="31"/>
      <c r="L763" s="35"/>
      <c r="M763" s="2" t="str">
        <f>IF(ISBLANK(L763),"",VLOOKUP(L763,configuration!$M$7:$N$10,2,FALSE))</f>
        <v/>
      </c>
      <c r="N763" s="30"/>
      <c r="O763" s="2"/>
      <c r="P763" s="31"/>
      <c r="Q763" s="54"/>
      <c r="R763" s="55" t="str">
        <f>IF(ISBLANK(Q763),"",VLOOKUP(Q763,configuration!$P$7:$Q$10,2,FALSE))</f>
        <v/>
      </c>
      <c r="S763" s="56"/>
      <c r="T763" s="55"/>
      <c r="U763" s="78"/>
      <c r="V763" s="76" t="str">
        <f t="shared" si="48"/>
        <v/>
      </c>
      <c r="W763" s="48" t="str">
        <f t="shared" si="48"/>
        <v/>
      </c>
      <c r="X763" s="48" t="str">
        <f t="shared" si="48"/>
        <v/>
      </c>
      <c r="Y763" s="48" t="str">
        <f t="shared" si="48"/>
        <v/>
      </c>
      <c r="Z763" s="49" t="str">
        <f t="shared" si="46"/>
        <v/>
      </c>
      <c r="AA763" s="50" t="str">
        <f t="shared" si="49"/>
        <v/>
      </c>
      <c r="AB763" s="48" t="str">
        <f t="shared" si="49"/>
        <v/>
      </c>
      <c r="AC763" s="48" t="str">
        <f t="shared" si="49"/>
        <v/>
      </c>
      <c r="AD763" s="48" t="str">
        <f t="shared" si="49"/>
        <v/>
      </c>
      <c r="AE763" s="48" t="str">
        <f t="shared" si="47"/>
        <v/>
      </c>
    </row>
    <row r="764" spans="1:31" x14ac:dyDescent="0.25">
      <c r="A764" s="2"/>
      <c r="B764" s="2"/>
      <c r="C764" s="2"/>
      <c r="D764" s="2" t="str">
        <f>IF(ISBLANK(C764),"",VLOOKUP(C764,configuration!$G$7:$H$10,2,FALSE))</f>
        <v/>
      </c>
      <c r="E764" s="2"/>
      <c r="F764" s="2"/>
      <c r="G764" s="2"/>
      <c r="H764" s="2" t="str">
        <f>IF(ISBLANK(G764),"",VLOOKUP(G764,configuration!$J$7:$K$10,2,FALSE))</f>
        <v/>
      </c>
      <c r="I764" s="30"/>
      <c r="J764" s="2"/>
      <c r="K764" s="31"/>
      <c r="L764" s="35"/>
      <c r="M764" s="2" t="str">
        <f>IF(ISBLANK(L764),"",VLOOKUP(L764,configuration!$M$7:$N$10,2,FALSE))</f>
        <v/>
      </c>
      <c r="N764" s="30"/>
      <c r="O764" s="2"/>
      <c r="P764" s="31"/>
      <c r="Q764" s="54"/>
      <c r="R764" s="55" t="str">
        <f>IF(ISBLANK(Q764),"",VLOOKUP(Q764,configuration!$P$7:$Q$10,2,FALSE))</f>
        <v/>
      </c>
      <c r="S764" s="56"/>
      <c r="T764" s="55"/>
      <c r="U764" s="78"/>
      <c r="V764" s="76" t="str">
        <f t="shared" si="48"/>
        <v/>
      </c>
      <c r="W764" s="48" t="str">
        <f t="shared" si="48"/>
        <v/>
      </c>
      <c r="X764" s="48" t="str">
        <f t="shared" si="48"/>
        <v/>
      </c>
      <c r="Y764" s="48" t="str">
        <f t="shared" si="48"/>
        <v/>
      </c>
      <c r="Z764" s="49" t="str">
        <f t="shared" si="46"/>
        <v/>
      </c>
      <c r="AA764" s="50" t="str">
        <f t="shared" si="49"/>
        <v/>
      </c>
      <c r="AB764" s="48" t="str">
        <f t="shared" si="49"/>
        <v/>
      </c>
      <c r="AC764" s="48" t="str">
        <f t="shared" si="49"/>
        <v/>
      </c>
      <c r="AD764" s="48" t="str">
        <f t="shared" si="49"/>
        <v/>
      </c>
      <c r="AE764" s="48" t="str">
        <f t="shared" si="47"/>
        <v/>
      </c>
    </row>
    <row r="765" spans="1:31" x14ac:dyDescent="0.25">
      <c r="A765" s="2"/>
      <c r="B765" s="2"/>
      <c r="C765" s="2"/>
      <c r="D765" s="2" t="str">
        <f>IF(ISBLANK(C765),"",VLOOKUP(C765,configuration!$G$7:$H$10,2,FALSE))</f>
        <v/>
      </c>
      <c r="E765" s="2"/>
      <c r="F765" s="2"/>
      <c r="G765" s="2"/>
      <c r="H765" s="2" t="str">
        <f>IF(ISBLANK(G765),"",VLOOKUP(G765,configuration!$J$7:$K$10,2,FALSE))</f>
        <v/>
      </c>
      <c r="I765" s="30"/>
      <c r="J765" s="2"/>
      <c r="K765" s="31"/>
      <c r="L765" s="35"/>
      <c r="M765" s="2" t="str">
        <f>IF(ISBLANK(L765),"",VLOOKUP(L765,configuration!$M$7:$N$10,2,FALSE))</f>
        <v/>
      </c>
      <c r="N765" s="30"/>
      <c r="O765" s="2"/>
      <c r="P765" s="31"/>
      <c r="Q765" s="54"/>
      <c r="R765" s="55" t="str">
        <f>IF(ISBLANK(Q765),"",VLOOKUP(Q765,configuration!$P$7:$Q$10,2,FALSE))</f>
        <v/>
      </c>
      <c r="S765" s="56"/>
      <c r="T765" s="55"/>
      <c r="U765" s="78"/>
      <c r="V765" s="76" t="str">
        <f t="shared" si="48"/>
        <v/>
      </c>
      <c r="W765" s="48" t="str">
        <f t="shared" si="48"/>
        <v/>
      </c>
      <c r="X765" s="48" t="str">
        <f t="shared" si="48"/>
        <v/>
      </c>
      <c r="Y765" s="48" t="str">
        <f t="shared" si="48"/>
        <v/>
      </c>
      <c r="Z765" s="49" t="str">
        <f t="shared" si="46"/>
        <v/>
      </c>
      <c r="AA765" s="50" t="str">
        <f t="shared" si="49"/>
        <v/>
      </c>
      <c r="AB765" s="48" t="str">
        <f t="shared" si="49"/>
        <v/>
      </c>
      <c r="AC765" s="48" t="str">
        <f t="shared" si="49"/>
        <v/>
      </c>
      <c r="AD765" s="48" t="str">
        <f t="shared" si="49"/>
        <v/>
      </c>
      <c r="AE765" s="48" t="str">
        <f t="shared" si="47"/>
        <v/>
      </c>
    </row>
    <row r="766" spans="1:31" x14ac:dyDescent="0.25">
      <c r="A766" s="2"/>
      <c r="B766" s="2"/>
      <c r="C766" s="2"/>
      <c r="D766" s="2" t="str">
        <f>IF(ISBLANK(C766),"",VLOOKUP(C766,configuration!$G$7:$H$10,2,FALSE))</f>
        <v/>
      </c>
      <c r="E766" s="2"/>
      <c r="F766" s="2"/>
      <c r="G766" s="2"/>
      <c r="H766" s="2" t="str">
        <f>IF(ISBLANK(G766),"",VLOOKUP(G766,configuration!$J$7:$K$10,2,FALSE))</f>
        <v/>
      </c>
      <c r="I766" s="30"/>
      <c r="J766" s="2"/>
      <c r="K766" s="31"/>
      <c r="L766" s="35"/>
      <c r="M766" s="2" t="str">
        <f>IF(ISBLANK(L766),"",VLOOKUP(L766,configuration!$M$7:$N$10,2,FALSE))</f>
        <v/>
      </c>
      <c r="N766" s="30"/>
      <c r="O766" s="2"/>
      <c r="P766" s="31"/>
      <c r="Q766" s="54"/>
      <c r="R766" s="55" t="str">
        <f>IF(ISBLANK(Q766),"",VLOOKUP(Q766,configuration!$P$7:$Q$10,2,FALSE))</f>
        <v/>
      </c>
      <c r="S766" s="56"/>
      <c r="T766" s="55"/>
      <c r="U766" s="78"/>
      <c r="V766" s="76" t="str">
        <f t="shared" si="48"/>
        <v/>
      </c>
      <c r="W766" s="48" t="str">
        <f t="shared" si="48"/>
        <v/>
      </c>
      <c r="X766" s="48" t="str">
        <f t="shared" si="48"/>
        <v/>
      </c>
      <c r="Y766" s="48" t="str">
        <f t="shared" si="48"/>
        <v/>
      </c>
      <c r="Z766" s="49" t="str">
        <f t="shared" si="46"/>
        <v/>
      </c>
      <c r="AA766" s="50" t="str">
        <f t="shared" si="49"/>
        <v/>
      </c>
      <c r="AB766" s="48" t="str">
        <f t="shared" si="49"/>
        <v/>
      </c>
      <c r="AC766" s="48" t="str">
        <f t="shared" si="49"/>
        <v/>
      </c>
      <c r="AD766" s="48" t="str">
        <f t="shared" si="49"/>
        <v/>
      </c>
      <c r="AE766" s="48" t="str">
        <f t="shared" si="47"/>
        <v/>
      </c>
    </row>
    <row r="767" spans="1:31" x14ac:dyDescent="0.25">
      <c r="A767" s="2"/>
      <c r="B767" s="2"/>
      <c r="C767" s="2"/>
      <c r="D767" s="2" t="str">
        <f>IF(ISBLANK(C767),"",VLOOKUP(C767,configuration!$G$7:$H$10,2,FALSE))</f>
        <v/>
      </c>
      <c r="E767" s="2"/>
      <c r="F767" s="2"/>
      <c r="G767" s="2"/>
      <c r="H767" s="2" t="str">
        <f>IF(ISBLANK(G767),"",VLOOKUP(G767,configuration!$J$7:$K$10,2,FALSE))</f>
        <v/>
      </c>
      <c r="I767" s="30"/>
      <c r="J767" s="2"/>
      <c r="K767" s="31"/>
      <c r="L767" s="35"/>
      <c r="M767" s="2" t="str">
        <f>IF(ISBLANK(L767),"",VLOOKUP(L767,configuration!$M$7:$N$10,2,FALSE))</f>
        <v/>
      </c>
      <c r="N767" s="30"/>
      <c r="O767" s="2"/>
      <c r="P767" s="31"/>
      <c r="Q767" s="54"/>
      <c r="R767" s="55" t="str">
        <f>IF(ISBLANK(Q767),"",VLOOKUP(Q767,configuration!$P$7:$Q$10,2,FALSE))</f>
        <v/>
      </c>
      <c r="S767" s="56"/>
      <c r="T767" s="55"/>
      <c r="U767" s="78"/>
      <c r="V767" s="76" t="str">
        <f t="shared" si="48"/>
        <v/>
      </c>
      <c r="W767" s="48" t="str">
        <f t="shared" si="48"/>
        <v/>
      </c>
      <c r="X767" s="48" t="str">
        <f t="shared" si="48"/>
        <v/>
      </c>
      <c r="Y767" s="48" t="str">
        <f t="shared" si="48"/>
        <v/>
      </c>
      <c r="Z767" s="49" t="str">
        <f t="shared" si="46"/>
        <v/>
      </c>
      <c r="AA767" s="50" t="str">
        <f t="shared" si="49"/>
        <v/>
      </c>
      <c r="AB767" s="48" t="str">
        <f t="shared" si="49"/>
        <v/>
      </c>
      <c r="AC767" s="48" t="str">
        <f t="shared" si="49"/>
        <v/>
      </c>
      <c r="AD767" s="48" t="str">
        <f t="shared" si="49"/>
        <v/>
      </c>
      <c r="AE767" s="48" t="str">
        <f t="shared" si="47"/>
        <v/>
      </c>
    </row>
    <row r="768" spans="1:31" x14ac:dyDescent="0.25">
      <c r="A768" s="2"/>
      <c r="B768" s="2"/>
      <c r="C768" s="2"/>
      <c r="D768" s="2" t="str">
        <f>IF(ISBLANK(C768),"",VLOOKUP(C768,configuration!$G$7:$H$10,2,FALSE))</f>
        <v/>
      </c>
      <c r="E768" s="2"/>
      <c r="F768" s="2"/>
      <c r="G768" s="2"/>
      <c r="H768" s="2" t="str">
        <f>IF(ISBLANK(G768),"",VLOOKUP(G768,configuration!$J$7:$K$10,2,FALSE))</f>
        <v/>
      </c>
      <c r="I768" s="30"/>
      <c r="J768" s="2"/>
      <c r="K768" s="31"/>
      <c r="L768" s="35"/>
      <c r="M768" s="2" t="str">
        <f>IF(ISBLANK(L768),"",VLOOKUP(L768,configuration!$M$7:$N$10,2,FALSE))</f>
        <v/>
      </c>
      <c r="N768" s="30"/>
      <c r="O768" s="2"/>
      <c r="P768" s="31"/>
      <c r="Q768" s="54"/>
      <c r="R768" s="55" t="str">
        <f>IF(ISBLANK(Q768),"",VLOOKUP(Q768,configuration!$P$7:$Q$10,2,FALSE))</f>
        <v/>
      </c>
      <c r="S768" s="56"/>
      <c r="T768" s="55"/>
      <c r="U768" s="78"/>
      <c r="V768" s="76" t="str">
        <f t="shared" si="48"/>
        <v/>
      </c>
      <c r="W768" s="48" t="str">
        <f t="shared" si="48"/>
        <v/>
      </c>
      <c r="X768" s="48" t="str">
        <f t="shared" si="48"/>
        <v/>
      </c>
      <c r="Y768" s="48" t="str">
        <f t="shared" si="48"/>
        <v/>
      </c>
      <c r="Z768" s="49" t="str">
        <f t="shared" si="46"/>
        <v/>
      </c>
      <c r="AA768" s="50" t="str">
        <f t="shared" si="49"/>
        <v/>
      </c>
      <c r="AB768" s="48" t="str">
        <f t="shared" si="49"/>
        <v/>
      </c>
      <c r="AC768" s="48" t="str">
        <f t="shared" si="49"/>
        <v/>
      </c>
      <c r="AD768" s="48" t="str">
        <f t="shared" si="49"/>
        <v/>
      </c>
      <c r="AE768" s="48" t="str">
        <f t="shared" si="47"/>
        <v/>
      </c>
    </row>
    <row r="769" spans="1:31" x14ac:dyDescent="0.25">
      <c r="A769" s="2"/>
      <c r="B769" s="2"/>
      <c r="C769" s="2"/>
      <c r="D769" s="2" t="str">
        <f>IF(ISBLANK(C769),"",VLOOKUP(C769,configuration!$G$7:$H$10,2,FALSE))</f>
        <v/>
      </c>
      <c r="E769" s="2"/>
      <c r="F769" s="2"/>
      <c r="G769" s="2"/>
      <c r="H769" s="2" t="str">
        <f>IF(ISBLANK(G769),"",VLOOKUP(G769,configuration!$J$7:$K$10,2,FALSE))</f>
        <v/>
      </c>
      <c r="I769" s="30"/>
      <c r="J769" s="2"/>
      <c r="K769" s="31"/>
      <c r="L769" s="35"/>
      <c r="M769" s="2" t="str">
        <f>IF(ISBLANK(L769),"",VLOOKUP(L769,configuration!$M$7:$N$10,2,FALSE))</f>
        <v/>
      </c>
      <c r="N769" s="30"/>
      <c r="O769" s="2"/>
      <c r="P769" s="31"/>
      <c r="Q769" s="54"/>
      <c r="R769" s="55" t="str">
        <f>IF(ISBLANK(Q769),"",VLOOKUP(Q769,configuration!$P$7:$Q$10,2,FALSE))</f>
        <v/>
      </c>
      <c r="S769" s="56"/>
      <c r="T769" s="55"/>
      <c r="U769" s="78"/>
      <c r="V769" s="76" t="str">
        <f t="shared" si="48"/>
        <v/>
      </c>
      <c r="W769" s="48" t="str">
        <f t="shared" si="48"/>
        <v/>
      </c>
      <c r="X769" s="48" t="str">
        <f t="shared" si="48"/>
        <v/>
      </c>
      <c r="Y769" s="48" t="str">
        <f t="shared" si="48"/>
        <v/>
      </c>
      <c r="Z769" s="49" t="str">
        <f t="shared" si="46"/>
        <v/>
      </c>
      <c r="AA769" s="50" t="str">
        <f t="shared" si="49"/>
        <v/>
      </c>
      <c r="AB769" s="48" t="str">
        <f t="shared" si="49"/>
        <v/>
      </c>
      <c r="AC769" s="48" t="str">
        <f t="shared" si="49"/>
        <v/>
      </c>
      <c r="AD769" s="48" t="str">
        <f t="shared" si="49"/>
        <v/>
      </c>
      <c r="AE769" s="48" t="str">
        <f t="shared" si="47"/>
        <v/>
      </c>
    </row>
    <row r="770" spans="1:31" x14ac:dyDescent="0.25">
      <c r="A770" s="2"/>
      <c r="B770" s="2"/>
      <c r="C770" s="2"/>
      <c r="D770" s="2" t="str">
        <f>IF(ISBLANK(C770),"",VLOOKUP(C770,configuration!$G$7:$H$10,2,FALSE))</f>
        <v/>
      </c>
      <c r="E770" s="2"/>
      <c r="F770" s="2"/>
      <c r="G770" s="2"/>
      <c r="H770" s="2" t="str">
        <f>IF(ISBLANK(G770),"",VLOOKUP(G770,configuration!$J$7:$K$10,2,FALSE))</f>
        <v/>
      </c>
      <c r="I770" s="30"/>
      <c r="J770" s="2"/>
      <c r="K770" s="31"/>
      <c r="L770" s="35"/>
      <c r="M770" s="2" t="str">
        <f>IF(ISBLANK(L770),"",VLOOKUP(L770,configuration!$M$7:$N$10,2,FALSE))</f>
        <v/>
      </c>
      <c r="N770" s="30"/>
      <c r="O770" s="2"/>
      <c r="P770" s="31"/>
      <c r="Q770" s="54"/>
      <c r="R770" s="55" t="str">
        <f>IF(ISBLANK(Q770),"",VLOOKUP(Q770,configuration!$P$7:$Q$10,2,FALSE))</f>
        <v/>
      </c>
      <c r="S770" s="56"/>
      <c r="T770" s="55"/>
      <c r="U770" s="78"/>
      <c r="V770" s="76" t="str">
        <f t="shared" si="48"/>
        <v/>
      </c>
      <c r="W770" s="48" t="str">
        <f t="shared" si="48"/>
        <v/>
      </c>
      <c r="X770" s="48" t="str">
        <f t="shared" si="48"/>
        <v/>
      </c>
      <c r="Y770" s="48" t="str">
        <f t="shared" si="48"/>
        <v/>
      </c>
      <c r="Z770" s="49" t="str">
        <f t="shared" si="46"/>
        <v/>
      </c>
      <c r="AA770" s="50" t="str">
        <f t="shared" si="49"/>
        <v/>
      </c>
      <c r="AB770" s="48" t="str">
        <f t="shared" si="49"/>
        <v/>
      </c>
      <c r="AC770" s="48" t="str">
        <f t="shared" si="49"/>
        <v/>
      </c>
      <c r="AD770" s="48" t="str">
        <f t="shared" si="49"/>
        <v/>
      </c>
      <c r="AE770" s="48" t="str">
        <f t="shared" si="47"/>
        <v/>
      </c>
    </row>
    <row r="771" spans="1:31" x14ac:dyDescent="0.25">
      <c r="A771" s="2"/>
      <c r="B771" s="2"/>
      <c r="C771" s="2"/>
      <c r="D771" s="2" t="str">
        <f>IF(ISBLANK(C771),"",VLOOKUP(C771,configuration!$G$7:$H$10,2,FALSE))</f>
        <v/>
      </c>
      <c r="E771" s="2"/>
      <c r="F771" s="2"/>
      <c r="G771" s="2"/>
      <c r="H771" s="2" t="str">
        <f>IF(ISBLANK(G771),"",VLOOKUP(G771,configuration!$J$7:$K$10,2,FALSE))</f>
        <v/>
      </c>
      <c r="I771" s="30"/>
      <c r="J771" s="2"/>
      <c r="K771" s="31"/>
      <c r="L771" s="35"/>
      <c r="M771" s="2" t="str">
        <f>IF(ISBLANK(L771),"",VLOOKUP(L771,configuration!$M$7:$N$10,2,FALSE))</f>
        <v/>
      </c>
      <c r="N771" s="30"/>
      <c r="O771" s="2"/>
      <c r="P771" s="31"/>
      <c r="Q771" s="54"/>
      <c r="R771" s="55" t="str">
        <f>IF(ISBLANK(Q771),"",VLOOKUP(Q771,configuration!$P$7:$Q$10,2,FALSE))</f>
        <v/>
      </c>
      <c r="S771" s="56"/>
      <c r="T771" s="55"/>
      <c r="U771" s="78"/>
      <c r="V771" s="76" t="str">
        <f t="shared" si="48"/>
        <v/>
      </c>
      <c r="W771" s="48" t="str">
        <f t="shared" si="48"/>
        <v/>
      </c>
      <c r="X771" s="48" t="str">
        <f t="shared" si="48"/>
        <v/>
      </c>
      <c r="Y771" s="48" t="str">
        <f t="shared" si="48"/>
        <v/>
      </c>
      <c r="Z771" s="49" t="str">
        <f t="shared" si="46"/>
        <v/>
      </c>
      <c r="AA771" s="50" t="str">
        <f t="shared" si="49"/>
        <v/>
      </c>
      <c r="AB771" s="48" t="str">
        <f t="shared" si="49"/>
        <v/>
      </c>
      <c r="AC771" s="48" t="str">
        <f t="shared" si="49"/>
        <v/>
      </c>
      <c r="AD771" s="48" t="str">
        <f t="shared" si="49"/>
        <v/>
      </c>
      <c r="AE771" s="48" t="str">
        <f t="shared" si="47"/>
        <v/>
      </c>
    </row>
    <row r="772" spans="1:31" x14ac:dyDescent="0.25">
      <c r="A772" s="2"/>
      <c r="B772" s="2"/>
      <c r="C772" s="2"/>
      <c r="D772" s="2" t="str">
        <f>IF(ISBLANK(C772),"",VLOOKUP(C772,configuration!$G$7:$H$10,2,FALSE))</f>
        <v/>
      </c>
      <c r="E772" s="2"/>
      <c r="F772" s="2"/>
      <c r="G772" s="2"/>
      <c r="H772" s="2" t="str">
        <f>IF(ISBLANK(G772),"",VLOOKUP(G772,configuration!$J$7:$K$10,2,FALSE))</f>
        <v/>
      </c>
      <c r="I772" s="30"/>
      <c r="J772" s="2"/>
      <c r="K772" s="31"/>
      <c r="L772" s="35"/>
      <c r="M772" s="2" t="str">
        <f>IF(ISBLANK(L772),"",VLOOKUP(L772,configuration!$M$7:$N$10,2,FALSE))</f>
        <v/>
      </c>
      <c r="N772" s="30"/>
      <c r="O772" s="2"/>
      <c r="P772" s="31"/>
      <c r="Q772" s="54"/>
      <c r="R772" s="55" t="str">
        <f>IF(ISBLANK(Q772),"",VLOOKUP(Q772,configuration!$P$7:$Q$10,2,FALSE))</f>
        <v/>
      </c>
      <c r="S772" s="56"/>
      <c r="T772" s="55"/>
      <c r="U772" s="78"/>
      <c r="V772" s="76" t="str">
        <f t="shared" si="48"/>
        <v/>
      </c>
      <c r="W772" s="48" t="str">
        <f t="shared" si="48"/>
        <v/>
      </c>
      <c r="X772" s="48" t="str">
        <f t="shared" si="48"/>
        <v/>
      </c>
      <c r="Y772" s="48" t="str">
        <f t="shared" si="48"/>
        <v/>
      </c>
      <c r="Z772" s="49" t="str">
        <f t="shared" si="46"/>
        <v/>
      </c>
      <c r="AA772" s="50" t="str">
        <f t="shared" si="49"/>
        <v/>
      </c>
      <c r="AB772" s="48" t="str">
        <f t="shared" si="49"/>
        <v/>
      </c>
      <c r="AC772" s="48" t="str">
        <f t="shared" si="49"/>
        <v/>
      </c>
      <c r="AD772" s="48" t="str">
        <f t="shared" si="49"/>
        <v/>
      </c>
      <c r="AE772" s="48" t="str">
        <f t="shared" si="47"/>
        <v/>
      </c>
    </row>
    <row r="773" spans="1:31" x14ac:dyDescent="0.25">
      <c r="A773" s="2"/>
      <c r="B773" s="2"/>
      <c r="C773" s="2"/>
      <c r="D773" s="2" t="str">
        <f>IF(ISBLANK(C773),"",VLOOKUP(C773,configuration!$G$7:$H$10,2,FALSE))</f>
        <v/>
      </c>
      <c r="E773" s="2"/>
      <c r="F773" s="2"/>
      <c r="G773" s="2"/>
      <c r="H773" s="2" t="str">
        <f>IF(ISBLANK(G773),"",VLOOKUP(G773,configuration!$J$7:$K$10,2,FALSE))</f>
        <v/>
      </c>
      <c r="I773" s="30"/>
      <c r="J773" s="2"/>
      <c r="K773" s="31"/>
      <c r="L773" s="35"/>
      <c r="M773" s="2" t="str">
        <f>IF(ISBLANK(L773),"",VLOOKUP(L773,configuration!$M$7:$N$10,2,FALSE))</f>
        <v/>
      </c>
      <c r="N773" s="30"/>
      <c r="O773" s="2"/>
      <c r="P773" s="31"/>
      <c r="Q773" s="54"/>
      <c r="R773" s="55" t="str">
        <f>IF(ISBLANK(Q773),"",VLOOKUP(Q773,configuration!$P$7:$Q$10,2,FALSE))</f>
        <v/>
      </c>
      <c r="S773" s="56"/>
      <c r="T773" s="55"/>
      <c r="U773" s="78"/>
      <c r="V773" s="76" t="str">
        <f t="shared" si="48"/>
        <v/>
      </c>
      <c r="W773" s="48" t="str">
        <f t="shared" si="48"/>
        <v/>
      </c>
      <c r="X773" s="48" t="str">
        <f t="shared" si="48"/>
        <v/>
      </c>
      <c r="Y773" s="48" t="str">
        <f t="shared" si="48"/>
        <v/>
      </c>
      <c r="Z773" s="49" t="str">
        <f t="shared" si="46"/>
        <v/>
      </c>
      <c r="AA773" s="50" t="str">
        <f t="shared" si="49"/>
        <v/>
      </c>
      <c r="AB773" s="48" t="str">
        <f t="shared" si="49"/>
        <v/>
      </c>
      <c r="AC773" s="48" t="str">
        <f t="shared" si="49"/>
        <v/>
      </c>
      <c r="AD773" s="48" t="str">
        <f t="shared" si="49"/>
        <v/>
      </c>
      <c r="AE773" s="48" t="str">
        <f t="shared" si="47"/>
        <v/>
      </c>
    </row>
    <row r="774" spans="1:31" x14ac:dyDescent="0.25">
      <c r="A774" s="2"/>
      <c r="B774" s="2"/>
      <c r="C774" s="2"/>
      <c r="D774" s="2" t="str">
        <f>IF(ISBLANK(C774),"",VLOOKUP(C774,configuration!$G$7:$H$10,2,FALSE))</f>
        <v/>
      </c>
      <c r="E774" s="2"/>
      <c r="F774" s="2"/>
      <c r="G774" s="2"/>
      <c r="H774" s="2" t="str">
        <f>IF(ISBLANK(G774),"",VLOOKUP(G774,configuration!$J$7:$K$10,2,FALSE))</f>
        <v/>
      </c>
      <c r="I774" s="30"/>
      <c r="J774" s="2"/>
      <c r="K774" s="31"/>
      <c r="L774" s="35"/>
      <c r="M774" s="2" t="str">
        <f>IF(ISBLANK(L774),"",VLOOKUP(L774,configuration!$M$7:$N$10,2,FALSE))</f>
        <v/>
      </c>
      <c r="N774" s="30"/>
      <c r="O774" s="2"/>
      <c r="P774" s="31"/>
      <c r="Q774" s="54"/>
      <c r="R774" s="55" t="str">
        <f>IF(ISBLANK(Q774),"",VLOOKUP(Q774,configuration!$P$7:$Q$10,2,FALSE))</f>
        <v/>
      </c>
      <c r="S774" s="56"/>
      <c r="T774" s="55"/>
      <c r="U774" s="78"/>
      <c r="V774" s="76" t="str">
        <f t="shared" si="48"/>
        <v/>
      </c>
      <c r="W774" s="48" t="str">
        <f t="shared" si="48"/>
        <v/>
      </c>
      <c r="X774" s="48" t="str">
        <f t="shared" si="48"/>
        <v/>
      </c>
      <c r="Y774" s="48" t="str">
        <f t="shared" si="48"/>
        <v/>
      </c>
      <c r="Z774" s="49" t="str">
        <f t="shared" ref="Z774:Z837" si="50">IF(AND($G774="",A774&lt;&gt;""),1,"")</f>
        <v/>
      </c>
      <c r="AA774" s="50" t="str">
        <f t="shared" si="49"/>
        <v/>
      </c>
      <c r="AB774" s="48" t="str">
        <f t="shared" si="49"/>
        <v/>
      </c>
      <c r="AC774" s="48" t="str">
        <f t="shared" si="49"/>
        <v/>
      </c>
      <c r="AD774" s="48" t="str">
        <f t="shared" si="49"/>
        <v/>
      </c>
      <c r="AE774" s="48" t="str">
        <f t="shared" ref="AE774:AE837" si="51">IF(AND($L774="",A774&lt;&gt;""),1,"")</f>
        <v/>
      </c>
    </row>
    <row r="775" spans="1:31" x14ac:dyDescent="0.25">
      <c r="A775" s="2"/>
      <c r="B775" s="2"/>
      <c r="C775" s="2"/>
      <c r="D775" s="2" t="str">
        <f>IF(ISBLANK(C775),"",VLOOKUP(C775,configuration!$G$7:$H$10,2,FALSE))</f>
        <v/>
      </c>
      <c r="E775" s="2"/>
      <c r="F775" s="2"/>
      <c r="G775" s="2"/>
      <c r="H775" s="2" t="str">
        <f>IF(ISBLANK(G775),"",VLOOKUP(G775,configuration!$J$7:$K$10,2,FALSE))</f>
        <v/>
      </c>
      <c r="I775" s="30"/>
      <c r="J775" s="2"/>
      <c r="K775" s="31"/>
      <c r="L775" s="35"/>
      <c r="M775" s="2" t="str">
        <f>IF(ISBLANK(L775),"",VLOOKUP(L775,configuration!$M$7:$N$10,2,FALSE))</f>
        <v/>
      </c>
      <c r="N775" s="30"/>
      <c r="O775" s="2"/>
      <c r="P775" s="31"/>
      <c r="Q775" s="54"/>
      <c r="R775" s="55" t="str">
        <f>IF(ISBLANK(Q775),"",VLOOKUP(Q775,configuration!$P$7:$Q$10,2,FALSE))</f>
        <v/>
      </c>
      <c r="S775" s="56"/>
      <c r="T775" s="55"/>
      <c r="U775" s="78"/>
      <c r="V775" s="76" t="str">
        <f t="shared" si="48"/>
        <v/>
      </c>
      <c r="W775" s="48" t="str">
        <f t="shared" si="48"/>
        <v/>
      </c>
      <c r="X775" s="48" t="str">
        <f t="shared" si="48"/>
        <v/>
      </c>
      <c r="Y775" s="48" t="str">
        <f t="shared" si="48"/>
        <v/>
      </c>
      <c r="Z775" s="49" t="str">
        <f t="shared" si="50"/>
        <v/>
      </c>
      <c r="AA775" s="50" t="str">
        <f t="shared" si="49"/>
        <v/>
      </c>
      <c r="AB775" s="48" t="str">
        <f t="shared" si="49"/>
        <v/>
      </c>
      <c r="AC775" s="48" t="str">
        <f t="shared" si="49"/>
        <v/>
      </c>
      <c r="AD775" s="48" t="str">
        <f t="shared" si="49"/>
        <v/>
      </c>
      <c r="AE775" s="48" t="str">
        <f t="shared" si="51"/>
        <v/>
      </c>
    </row>
    <row r="776" spans="1:31" x14ac:dyDescent="0.25">
      <c r="A776" s="2"/>
      <c r="B776" s="2"/>
      <c r="C776" s="2"/>
      <c r="D776" s="2" t="str">
        <f>IF(ISBLANK(C776),"",VLOOKUP(C776,configuration!$G$7:$H$10,2,FALSE))</f>
        <v/>
      </c>
      <c r="E776" s="2"/>
      <c r="F776" s="2"/>
      <c r="G776" s="2"/>
      <c r="H776" s="2" t="str">
        <f>IF(ISBLANK(G776),"",VLOOKUP(G776,configuration!$J$7:$K$10,2,FALSE))</f>
        <v/>
      </c>
      <c r="I776" s="30"/>
      <c r="J776" s="2"/>
      <c r="K776" s="31"/>
      <c r="L776" s="35"/>
      <c r="M776" s="2" t="str">
        <f>IF(ISBLANK(L776),"",VLOOKUP(L776,configuration!$M$7:$N$10,2,FALSE))</f>
        <v/>
      </c>
      <c r="N776" s="30"/>
      <c r="O776" s="2"/>
      <c r="P776" s="31"/>
      <c r="Q776" s="54"/>
      <c r="R776" s="55" t="str">
        <f>IF(ISBLANK(Q776),"",VLOOKUP(Q776,configuration!$P$7:$Q$10,2,FALSE))</f>
        <v/>
      </c>
      <c r="S776" s="56"/>
      <c r="T776" s="55"/>
      <c r="U776" s="78"/>
      <c r="V776" s="76" t="str">
        <f t="shared" si="48"/>
        <v/>
      </c>
      <c r="W776" s="48" t="str">
        <f t="shared" si="48"/>
        <v/>
      </c>
      <c r="X776" s="48" t="str">
        <f t="shared" si="48"/>
        <v/>
      </c>
      <c r="Y776" s="48" t="str">
        <f t="shared" si="48"/>
        <v/>
      </c>
      <c r="Z776" s="49" t="str">
        <f t="shared" si="50"/>
        <v/>
      </c>
      <c r="AA776" s="50" t="str">
        <f t="shared" si="49"/>
        <v/>
      </c>
      <c r="AB776" s="48" t="str">
        <f t="shared" si="49"/>
        <v/>
      </c>
      <c r="AC776" s="48" t="str">
        <f t="shared" si="49"/>
        <v/>
      </c>
      <c r="AD776" s="48" t="str">
        <f t="shared" si="49"/>
        <v/>
      </c>
      <c r="AE776" s="48" t="str">
        <f t="shared" si="51"/>
        <v/>
      </c>
    </row>
    <row r="777" spans="1:31" x14ac:dyDescent="0.25">
      <c r="A777" s="2"/>
      <c r="B777" s="2"/>
      <c r="C777" s="2"/>
      <c r="D777" s="2" t="str">
        <f>IF(ISBLANK(C777),"",VLOOKUP(C777,configuration!$G$7:$H$10,2,FALSE))</f>
        <v/>
      </c>
      <c r="E777" s="2"/>
      <c r="F777" s="2"/>
      <c r="G777" s="2"/>
      <c r="H777" s="2" t="str">
        <f>IF(ISBLANK(G777),"",VLOOKUP(G777,configuration!$J$7:$K$10,2,FALSE))</f>
        <v/>
      </c>
      <c r="I777" s="30"/>
      <c r="J777" s="2"/>
      <c r="K777" s="31"/>
      <c r="L777" s="35"/>
      <c r="M777" s="2" t="str">
        <f>IF(ISBLANK(L777),"",VLOOKUP(L777,configuration!$M$7:$N$10,2,FALSE))</f>
        <v/>
      </c>
      <c r="N777" s="30"/>
      <c r="O777" s="2"/>
      <c r="P777" s="31"/>
      <c r="Q777" s="54"/>
      <c r="R777" s="55" t="str">
        <f>IF(ISBLANK(Q777),"",VLOOKUP(Q777,configuration!$P$7:$Q$10,2,FALSE))</f>
        <v/>
      </c>
      <c r="S777" s="56"/>
      <c r="T777" s="55"/>
      <c r="U777" s="78"/>
      <c r="V777" s="76" t="str">
        <f t="shared" si="48"/>
        <v/>
      </c>
      <c r="W777" s="48" t="str">
        <f t="shared" si="48"/>
        <v/>
      </c>
      <c r="X777" s="48" t="str">
        <f t="shared" si="48"/>
        <v/>
      </c>
      <c r="Y777" s="48" t="str">
        <f t="shared" si="48"/>
        <v/>
      </c>
      <c r="Z777" s="49" t="str">
        <f t="shared" si="50"/>
        <v/>
      </c>
      <c r="AA777" s="50" t="str">
        <f t="shared" si="49"/>
        <v/>
      </c>
      <c r="AB777" s="48" t="str">
        <f t="shared" si="49"/>
        <v/>
      </c>
      <c r="AC777" s="48" t="str">
        <f t="shared" si="49"/>
        <v/>
      </c>
      <c r="AD777" s="48" t="str">
        <f t="shared" si="49"/>
        <v/>
      </c>
      <c r="AE777" s="48" t="str">
        <f t="shared" si="51"/>
        <v/>
      </c>
    </row>
    <row r="778" spans="1:31" x14ac:dyDescent="0.25">
      <c r="A778" s="2"/>
      <c r="B778" s="2"/>
      <c r="C778" s="2"/>
      <c r="D778" s="2" t="str">
        <f>IF(ISBLANK(C778),"",VLOOKUP(C778,configuration!$G$7:$H$10,2,FALSE))</f>
        <v/>
      </c>
      <c r="E778" s="2"/>
      <c r="F778" s="2"/>
      <c r="G778" s="2"/>
      <c r="H778" s="2" t="str">
        <f>IF(ISBLANK(G778),"",VLOOKUP(G778,configuration!$J$7:$K$10,2,FALSE))</f>
        <v/>
      </c>
      <c r="I778" s="30"/>
      <c r="J778" s="2"/>
      <c r="K778" s="31"/>
      <c r="L778" s="35"/>
      <c r="M778" s="2" t="str">
        <f>IF(ISBLANK(L778),"",VLOOKUP(L778,configuration!$M$7:$N$10,2,FALSE))</f>
        <v/>
      </c>
      <c r="N778" s="30"/>
      <c r="O778" s="2"/>
      <c r="P778" s="31"/>
      <c r="Q778" s="54"/>
      <c r="R778" s="55" t="str">
        <f>IF(ISBLANK(Q778),"",VLOOKUP(Q778,configuration!$P$7:$Q$10,2,FALSE))</f>
        <v/>
      </c>
      <c r="S778" s="56"/>
      <c r="T778" s="55"/>
      <c r="U778" s="78"/>
      <c r="V778" s="76" t="str">
        <f t="shared" si="48"/>
        <v/>
      </c>
      <c r="W778" s="48" t="str">
        <f t="shared" si="48"/>
        <v/>
      </c>
      <c r="X778" s="48" t="str">
        <f t="shared" si="48"/>
        <v/>
      </c>
      <c r="Y778" s="48" t="str">
        <f t="shared" si="48"/>
        <v/>
      </c>
      <c r="Z778" s="49" t="str">
        <f t="shared" si="50"/>
        <v/>
      </c>
      <c r="AA778" s="50" t="str">
        <f t="shared" si="49"/>
        <v/>
      </c>
      <c r="AB778" s="48" t="str">
        <f t="shared" si="49"/>
        <v/>
      </c>
      <c r="AC778" s="48" t="str">
        <f t="shared" si="49"/>
        <v/>
      </c>
      <c r="AD778" s="48" t="str">
        <f t="shared" si="49"/>
        <v/>
      </c>
      <c r="AE778" s="48" t="str">
        <f t="shared" si="51"/>
        <v/>
      </c>
    </row>
    <row r="779" spans="1:31" x14ac:dyDescent="0.25">
      <c r="A779" s="2"/>
      <c r="B779" s="2"/>
      <c r="C779" s="2"/>
      <c r="D779" s="2" t="str">
        <f>IF(ISBLANK(C779),"",VLOOKUP(C779,configuration!$G$7:$H$10,2,FALSE))</f>
        <v/>
      </c>
      <c r="E779" s="2"/>
      <c r="F779" s="2"/>
      <c r="G779" s="2"/>
      <c r="H779" s="2" t="str">
        <f>IF(ISBLANK(G779),"",VLOOKUP(G779,configuration!$J$7:$K$10,2,FALSE))</f>
        <v/>
      </c>
      <c r="I779" s="30"/>
      <c r="J779" s="2"/>
      <c r="K779" s="31"/>
      <c r="L779" s="35"/>
      <c r="M779" s="2" t="str">
        <f>IF(ISBLANK(L779),"",VLOOKUP(L779,configuration!$M$7:$N$10,2,FALSE))</f>
        <v/>
      </c>
      <c r="N779" s="30"/>
      <c r="O779" s="2"/>
      <c r="P779" s="31"/>
      <c r="Q779" s="54"/>
      <c r="R779" s="55" t="str">
        <f>IF(ISBLANK(Q779),"",VLOOKUP(Q779,configuration!$P$7:$Q$10,2,FALSE))</f>
        <v/>
      </c>
      <c r="S779" s="56"/>
      <c r="T779" s="55"/>
      <c r="U779" s="78"/>
      <c r="V779" s="76" t="str">
        <f t="shared" si="48"/>
        <v/>
      </c>
      <c r="W779" s="48" t="str">
        <f t="shared" si="48"/>
        <v/>
      </c>
      <c r="X779" s="48" t="str">
        <f t="shared" si="48"/>
        <v/>
      </c>
      <c r="Y779" s="48" t="str">
        <f t="shared" si="48"/>
        <v/>
      </c>
      <c r="Z779" s="49" t="str">
        <f t="shared" si="50"/>
        <v/>
      </c>
      <c r="AA779" s="50" t="str">
        <f t="shared" si="49"/>
        <v/>
      </c>
      <c r="AB779" s="48" t="str">
        <f t="shared" si="49"/>
        <v/>
      </c>
      <c r="AC779" s="48" t="str">
        <f t="shared" si="49"/>
        <v/>
      </c>
      <c r="AD779" s="48" t="str">
        <f t="shared" si="49"/>
        <v/>
      </c>
      <c r="AE779" s="48" t="str">
        <f t="shared" si="51"/>
        <v/>
      </c>
    </row>
    <row r="780" spans="1:31" x14ac:dyDescent="0.25">
      <c r="A780" s="2"/>
      <c r="B780" s="2"/>
      <c r="C780" s="2"/>
      <c r="D780" s="2" t="str">
        <f>IF(ISBLANK(C780),"",VLOOKUP(C780,configuration!$G$7:$H$10,2,FALSE))</f>
        <v/>
      </c>
      <c r="E780" s="2"/>
      <c r="F780" s="2"/>
      <c r="G780" s="2"/>
      <c r="H780" s="2" t="str">
        <f>IF(ISBLANK(G780),"",VLOOKUP(G780,configuration!$J$7:$K$10,2,FALSE))</f>
        <v/>
      </c>
      <c r="I780" s="30"/>
      <c r="J780" s="2"/>
      <c r="K780" s="31"/>
      <c r="L780" s="35"/>
      <c r="M780" s="2" t="str">
        <f>IF(ISBLANK(L780),"",VLOOKUP(L780,configuration!$M$7:$N$10,2,FALSE))</f>
        <v/>
      </c>
      <c r="N780" s="30"/>
      <c r="O780" s="2"/>
      <c r="P780" s="31"/>
      <c r="Q780" s="54"/>
      <c r="R780" s="55" t="str">
        <f>IF(ISBLANK(Q780),"",VLOOKUP(Q780,configuration!$P$7:$Q$10,2,FALSE))</f>
        <v/>
      </c>
      <c r="S780" s="56"/>
      <c r="T780" s="55"/>
      <c r="U780" s="78"/>
      <c r="V780" s="76" t="str">
        <f t="shared" si="48"/>
        <v/>
      </c>
      <c r="W780" s="48" t="str">
        <f t="shared" si="48"/>
        <v/>
      </c>
      <c r="X780" s="48" t="str">
        <f t="shared" si="48"/>
        <v/>
      </c>
      <c r="Y780" s="48" t="str">
        <f t="shared" si="48"/>
        <v/>
      </c>
      <c r="Z780" s="49" t="str">
        <f t="shared" si="50"/>
        <v/>
      </c>
      <c r="AA780" s="50" t="str">
        <f t="shared" si="49"/>
        <v/>
      </c>
      <c r="AB780" s="48" t="str">
        <f t="shared" si="49"/>
        <v/>
      </c>
      <c r="AC780" s="48" t="str">
        <f t="shared" si="49"/>
        <v/>
      </c>
      <c r="AD780" s="48" t="str">
        <f t="shared" si="49"/>
        <v/>
      </c>
      <c r="AE780" s="48" t="str">
        <f t="shared" si="51"/>
        <v/>
      </c>
    </row>
    <row r="781" spans="1:31" x14ac:dyDescent="0.25">
      <c r="A781" s="2"/>
      <c r="B781" s="2"/>
      <c r="C781" s="2"/>
      <c r="D781" s="2" t="str">
        <f>IF(ISBLANK(C781),"",VLOOKUP(C781,configuration!$G$7:$H$10,2,FALSE))</f>
        <v/>
      </c>
      <c r="E781" s="2"/>
      <c r="F781" s="2"/>
      <c r="G781" s="2"/>
      <c r="H781" s="2" t="str">
        <f>IF(ISBLANK(G781),"",VLOOKUP(G781,configuration!$J$7:$K$10,2,FALSE))</f>
        <v/>
      </c>
      <c r="I781" s="30"/>
      <c r="J781" s="2"/>
      <c r="K781" s="31"/>
      <c r="L781" s="35"/>
      <c r="M781" s="2" t="str">
        <f>IF(ISBLANK(L781),"",VLOOKUP(L781,configuration!$M$7:$N$10,2,FALSE))</f>
        <v/>
      </c>
      <c r="N781" s="30"/>
      <c r="O781" s="2"/>
      <c r="P781" s="31"/>
      <c r="Q781" s="54"/>
      <c r="R781" s="55" t="str">
        <f>IF(ISBLANK(Q781),"",VLOOKUP(Q781,configuration!$P$7:$Q$10,2,FALSE))</f>
        <v/>
      </c>
      <c r="S781" s="56"/>
      <c r="T781" s="55"/>
      <c r="U781" s="78"/>
      <c r="V781" s="76" t="str">
        <f t="shared" si="48"/>
        <v/>
      </c>
      <c r="W781" s="48" t="str">
        <f t="shared" si="48"/>
        <v/>
      </c>
      <c r="X781" s="48" t="str">
        <f t="shared" si="48"/>
        <v/>
      </c>
      <c r="Y781" s="48" t="str">
        <f t="shared" si="48"/>
        <v/>
      </c>
      <c r="Z781" s="49" t="str">
        <f t="shared" si="50"/>
        <v/>
      </c>
      <c r="AA781" s="50" t="str">
        <f t="shared" si="49"/>
        <v/>
      </c>
      <c r="AB781" s="48" t="str">
        <f t="shared" si="49"/>
        <v/>
      </c>
      <c r="AC781" s="48" t="str">
        <f t="shared" si="49"/>
        <v/>
      </c>
      <c r="AD781" s="48" t="str">
        <f t="shared" si="49"/>
        <v/>
      </c>
      <c r="AE781" s="48" t="str">
        <f t="shared" si="51"/>
        <v/>
      </c>
    </row>
    <row r="782" spans="1:31" x14ac:dyDescent="0.25">
      <c r="A782" s="2"/>
      <c r="B782" s="2"/>
      <c r="C782" s="2"/>
      <c r="D782" s="2" t="str">
        <f>IF(ISBLANK(C782),"",VLOOKUP(C782,configuration!$G$7:$H$10,2,FALSE))</f>
        <v/>
      </c>
      <c r="E782" s="2"/>
      <c r="F782" s="2"/>
      <c r="G782" s="2"/>
      <c r="H782" s="2" t="str">
        <f>IF(ISBLANK(G782),"",VLOOKUP(G782,configuration!$J$7:$K$10,2,FALSE))</f>
        <v/>
      </c>
      <c r="I782" s="30"/>
      <c r="J782" s="2"/>
      <c r="K782" s="31"/>
      <c r="L782" s="35"/>
      <c r="M782" s="2" t="str">
        <f>IF(ISBLANK(L782),"",VLOOKUP(L782,configuration!$M$7:$N$10,2,FALSE))</f>
        <v/>
      </c>
      <c r="N782" s="30"/>
      <c r="O782" s="2"/>
      <c r="P782" s="31"/>
      <c r="Q782" s="54"/>
      <c r="R782" s="55" t="str">
        <f>IF(ISBLANK(Q782),"",VLOOKUP(Q782,configuration!$P$7:$Q$10,2,FALSE))</f>
        <v/>
      </c>
      <c r="S782" s="56"/>
      <c r="T782" s="55"/>
      <c r="U782" s="78"/>
      <c r="V782" s="76" t="str">
        <f t="shared" si="48"/>
        <v/>
      </c>
      <c r="W782" s="48" t="str">
        <f t="shared" si="48"/>
        <v/>
      </c>
      <c r="X782" s="48" t="str">
        <f t="shared" si="48"/>
        <v/>
      </c>
      <c r="Y782" s="48" t="str">
        <f t="shared" si="48"/>
        <v/>
      </c>
      <c r="Z782" s="49" t="str">
        <f t="shared" si="50"/>
        <v/>
      </c>
      <c r="AA782" s="50" t="str">
        <f t="shared" si="49"/>
        <v/>
      </c>
      <c r="AB782" s="48" t="str">
        <f t="shared" si="49"/>
        <v/>
      </c>
      <c r="AC782" s="48" t="str">
        <f t="shared" si="49"/>
        <v/>
      </c>
      <c r="AD782" s="48" t="str">
        <f t="shared" si="49"/>
        <v/>
      </c>
      <c r="AE782" s="48" t="str">
        <f t="shared" si="51"/>
        <v/>
      </c>
    </row>
    <row r="783" spans="1:31" x14ac:dyDescent="0.25">
      <c r="A783" s="2"/>
      <c r="B783" s="2"/>
      <c r="C783" s="2"/>
      <c r="D783" s="2" t="str">
        <f>IF(ISBLANK(C783),"",VLOOKUP(C783,configuration!$G$7:$H$10,2,FALSE))</f>
        <v/>
      </c>
      <c r="E783" s="2"/>
      <c r="F783" s="2"/>
      <c r="G783" s="2"/>
      <c r="H783" s="2" t="str">
        <f>IF(ISBLANK(G783),"",VLOOKUP(G783,configuration!$J$7:$K$10,2,FALSE))</f>
        <v/>
      </c>
      <c r="I783" s="30"/>
      <c r="J783" s="2"/>
      <c r="K783" s="31"/>
      <c r="L783" s="35"/>
      <c r="M783" s="2" t="str">
        <f>IF(ISBLANK(L783),"",VLOOKUP(L783,configuration!$M$7:$N$10,2,FALSE))</f>
        <v/>
      </c>
      <c r="N783" s="30"/>
      <c r="O783" s="2"/>
      <c r="P783" s="31"/>
      <c r="Q783" s="54"/>
      <c r="R783" s="55" t="str">
        <f>IF(ISBLANK(Q783),"",VLOOKUP(Q783,configuration!$P$7:$Q$10,2,FALSE))</f>
        <v/>
      </c>
      <c r="S783" s="56"/>
      <c r="T783" s="55"/>
      <c r="U783" s="78"/>
      <c r="V783" s="76" t="str">
        <f t="shared" si="48"/>
        <v/>
      </c>
      <c r="W783" s="48" t="str">
        <f t="shared" si="48"/>
        <v/>
      </c>
      <c r="X783" s="48" t="str">
        <f t="shared" si="48"/>
        <v/>
      </c>
      <c r="Y783" s="48" t="str">
        <f t="shared" si="48"/>
        <v/>
      </c>
      <c r="Z783" s="49" t="str">
        <f t="shared" si="50"/>
        <v/>
      </c>
      <c r="AA783" s="50" t="str">
        <f t="shared" si="49"/>
        <v/>
      </c>
      <c r="AB783" s="48" t="str">
        <f t="shared" si="49"/>
        <v/>
      </c>
      <c r="AC783" s="48" t="str">
        <f t="shared" si="49"/>
        <v/>
      </c>
      <c r="AD783" s="48" t="str">
        <f t="shared" si="49"/>
        <v/>
      </c>
      <c r="AE783" s="48" t="str">
        <f t="shared" si="51"/>
        <v/>
      </c>
    </row>
    <row r="784" spans="1:31" x14ac:dyDescent="0.25">
      <c r="A784" s="2"/>
      <c r="B784" s="2"/>
      <c r="C784" s="2"/>
      <c r="D784" s="2" t="str">
        <f>IF(ISBLANK(C784),"",VLOOKUP(C784,configuration!$G$7:$H$10,2,FALSE))</f>
        <v/>
      </c>
      <c r="E784" s="2"/>
      <c r="F784" s="2"/>
      <c r="G784" s="2"/>
      <c r="H784" s="2" t="str">
        <f>IF(ISBLANK(G784),"",VLOOKUP(G784,configuration!$J$7:$K$10,2,FALSE))</f>
        <v/>
      </c>
      <c r="I784" s="30"/>
      <c r="J784" s="2"/>
      <c r="K784" s="31"/>
      <c r="L784" s="35"/>
      <c r="M784" s="2" t="str">
        <f>IF(ISBLANK(L784),"",VLOOKUP(L784,configuration!$M$7:$N$10,2,FALSE))</f>
        <v/>
      </c>
      <c r="N784" s="30"/>
      <c r="O784" s="2"/>
      <c r="P784" s="31"/>
      <c r="Q784" s="54"/>
      <c r="R784" s="55" t="str">
        <f>IF(ISBLANK(Q784),"",VLOOKUP(Q784,configuration!$P$7:$Q$10,2,FALSE))</f>
        <v/>
      </c>
      <c r="S784" s="56"/>
      <c r="T784" s="55"/>
      <c r="U784" s="78"/>
      <c r="V784" s="76" t="str">
        <f t="shared" si="48"/>
        <v/>
      </c>
      <c r="W784" s="48" t="str">
        <f t="shared" si="48"/>
        <v/>
      </c>
      <c r="X784" s="48" t="str">
        <f t="shared" si="48"/>
        <v/>
      </c>
      <c r="Y784" s="48" t="str">
        <f t="shared" ref="V784:Y847" si="52">IF($G784=Y$4,1,"")</f>
        <v/>
      </c>
      <c r="Z784" s="49" t="str">
        <f t="shared" si="50"/>
        <v/>
      </c>
      <c r="AA784" s="50" t="str">
        <f t="shared" si="49"/>
        <v/>
      </c>
      <c r="AB784" s="48" t="str">
        <f t="shared" si="49"/>
        <v/>
      </c>
      <c r="AC784" s="48" t="str">
        <f t="shared" si="49"/>
        <v/>
      </c>
      <c r="AD784" s="48" t="str">
        <f t="shared" ref="AA784:AD847" si="53">IF($L784=AD$4,1,"")</f>
        <v/>
      </c>
      <c r="AE784" s="48" t="str">
        <f t="shared" si="51"/>
        <v/>
      </c>
    </row>
    <row r="785" spans="1:31" x14ac:dyDescent="0.25">
      <c r="A785" s="2"/>
      <c r="B785" s="2"/>
      <c r="C785" s="2"/>
      <c r="D785" s="2" t="str">
        <f>IF(ISBLANK(C785),"",VLOOKUP(C785,configuration!$G$7:$H$10,2,FALSE))</f>
        <v/>
      </c>
      <c r="E785" s="2"/>
      <c r="F785" s="2"/>
      <c r="G785" s="2"/>
      <c r="H785" s="2" t="str">
        <f>IF(ISBLANK(G785),"",VLOOKUP(G785,configuration!$J$7:$K$10,2,FALSE))</f>
        <v/>
      </c>
      <c r="I785" s="30"/>
      <c r="J785" s="2"/>
      <c r="K785" s="31"/>
      <c r="L785" s="35"/>
      <c r="M785" s="2" t="str">
        <f>IF(ISBLANK(L785),"",VLOOKUP(L785,configuration!$M$7:$N$10,2,FALSE))</f>
        <v/>
      </c>
      <c r="N785" s="30"/>
      <c r="O785" s="2"/>
      <c r="P785" s="31"/>
      <c r="Q785" s="54"/>
      <c r="R785" s="55" t="str">
        <f>IF(ISBLANK(Q785),"",VLOOKUP(Q785,configuration!$P$7:$Q$10,2,FALSE))</f>
        <v/>
      </c>
      <c r="S785" s="56"/>
      <c r="T785" s="55"/>
      <c r="U785" s="78"/>
      <c r="V785" s="76" t="str">
        <f>IF($G785=V$4,1,"")</f>
        <v/>
      </c>
      <c r="W785" s="48" t="str">
        <f>IF($G785=W$4,1,"")</f>
        <v/>
      </c>
      <c r="X785" s="48" t="str">
        <f>IF($G785=X$4,1,"")</f>
        <v/>
      </c>
      <c r="Y785" s="48" t="str">
        <f t="shared" si="52"/>
        <v/>
      </c>
      <c r="Z785" s="49" t="str">
        <f t="shared" si="50"/>
        <v/>
      </c>
      <c r="AA785" s="50" t="str">
        <f>IF($L785=AA$4,1,"")</f>
        <v/>
      </c>
      <c r="AB785" s="48" t="str">
        <f>IF($L785=AB$4,1,"")</f>
        <v/>
      </c>
      <c r="AC785" s="48" t="str">
        <f>IF($L785=AC$4,1,"")</f>
        <v/>
      </c>
      <c r="AD785" s="48" t="str">
        <f t="shared" si="53"/>
        <v/>
      </c>
      <c r="AE785" s="48" t="str">
        <f t="shared" si="51"/>
        <v/>
      </c>
    </row>
    <row r="786" spans="1:31" x14ac:dyDescent="0.25">
      <c r="A786" s="2"/>
      <c r="B786" s="2"/>
      <c r="C786" s="2"/>
      <c r="D786" s="2" t="str">
        <f>IF(ISBLANK(C786),"",VLOOKUP(C786,configuration!$G$7:$H$10,2,FALSE))</f>
        <v/>
      </c>
      <c r="E786" s="2"/>
      <c r="F786" s="2"/>
      <c r="G786" s="2"/>
      <c r="H786" s="2" t="str">
        <f>IF(ISBLANK(G786),"",VLOOKUP(G786,configuration!$J$7:$K$10,2,FALSE))</f>
        <v/>
      </c>
      <c r="I786" s="30"/>
      <c r="J786" s="2"/>
      <c r="K786" s="31"/>
      <c r="L786" s="35"/>
      <c r="M786" s="2" t="str">
        <f>IF(ISBLANK(L786),"",VLOOKUP(L786,configuration!$M$7:$N$10,2,FALSE))</f>
        <v/>
      </c>
      <c r="N786" s="30"/>
      <c r="O786" s="2"/>
      <c r="P786" s="31"/>
      <c r="Q786" s="54"/>
      <c r="R786" s="55" t="str">
        <f>IF(ISBLANK(Q786),"",VLOOKUP(Q786,configuration!$P$7:$Q$10,2,FALSE))</f>
        <v/>
      </c>
      <c r="S786" s="56"/>
      <c r="T786" s="55"/>
      <c r="U786" s="78"/>
      <c r="V786" s="76" t="str">
        <f t="shared" si="52"/>
        <v/>
      </c>
      <c r="W786" s="48" t="str">
        <f t="shared" si="52"/>
        <v/>
      </c>
      <c r="X786" s="48" t="str">
        <f t="shared" si="52"/>
        <v/>
      </c>
      <c r="Y786" s="48" t="str">
        <f t="shared" si="52"/>
        <v/>
      </c>
      <c r="Z786" s="49" t="str">
        <f t="shared" si="50"/>
        <v/>
      </c>
      <c r="AA786" s="50" t="str">
        <f t="shared" si="53"/>
        <v/>
      </c>
      <c r="AB786" s="48" t="str">
        <f t="shared" si="53"/>
        <v/>
      </c>
      <c r="AC786" s="48" t="str">
        <f t="shared" si="53"/>
        <v/>
      </c>
      <c r="AD786" s="48" t="str">
        <f t="shared" si="53"/>
        <v/>
      </c>
      <c r="AE786" s="48" t="str">
        <f t="shared" si="51"/>
        <v/>
      </c>
    </row>
    <row r="787" spans="1:31" x14ac:dyDescent="0.25">
      <c r="A787" s="2"/>
      <c r="B787" s="2"/>
      <c r="C787" s="2"/>
      <c r="D787" s="2" t="str">
        <f>IF(ISBLANK(C787),"",VLOOKUP(C787,configuration!$G$7:$H$10,2,FALSE))</f>
        <v/>
      </c>
      <c r="E787" s="2"/>
      <c r="F787" s="2"/>
      <c r="G787" s="2"/>
      <c r="H787" s="2" t="str">
        <f>IF(ISBLANK(G787),"",VLOOKUP(G787,configuration!$J$7:$K$10,2,FALSE))</f>
        <v/>
      </c>
      <c r="I787" s="30"/>
      <c r="J787" s="2"/>
      <c r="K787" s="31"/>
      <c r="L787" s="35"/>
      <c r="M787" s="2" t="str">
        <f>IF(ISBLANK(L787),"",VLOOKUP(L787,configuration!$M$7:$N$10,2,FALSE))</f>
        <v/>
      </c>
      <c r="N787" s="30"/>
      <c r="O787" s="2"/>
      <c r="P787" s="31"/>
      <c r="Q787" s="54"/>
      <c r="R787" s="55" t="str">
        <f>IF(ISBLANK(Q787),"",VLOOKUP(Q787,configuration!$P$7:$Q$10,2,FALSE))</f>
        <v/>
      </c>
      <c r="S787" s="56"/>
      <c r="T787" s="55"/>
      <c r="U787" s="78"/>
      <c r="V787" s="76" t="str">
        <f t="shared" si="52"/>
        <v/>
      </c>
      <c r="W787" s="48" t="str">
        <f t="shared" si="52"/>
        <v/>
      </c>
      <c r="X787" s="48" t="str">
        <f t="shared" si="52"/>
        <v/>
      </c>
      <c r="Y787" s="48" t="str">
        <f t="shared" si="52"/>
        <v/>
      </c>
      <c r="Z787" s="49" t="str">
        <f t="shared" si="50"/>
        <v/>
      </c>
      <c r="AA787" s="50" t="str">
        <f t="shared" si="53"/>
        <v/>
      </c>
      <c r="AB787" s="48" t="str">
        <f t="shared" si="53"/>
        <v/>
      </c>
      <c r="AC787" s="48" t="str">
        <f t="shared" si="53"/>
        <v/>
      </c>
      <c r="AD787" s="48" t="str">
        <f t="shared" si="53"/>
        <v/>
      </c>
      <c r="AE787" s="48" t="str">
        <f t="shared" si="51"/>
        <v/>
      </c>
    </row>
    <row r="788" spans="1:31" x14ac:dyDescent="0.25">
      <c r="A788" s="2"/>
      <c r="B788" s="2"/>
      <c r="C788" s="2"/>
      <c r="D788" s="2" t="str">
        <f>IF(ISBLANK(C788),"",VLOOKUP(C788,configuration!$G$7:$H$10,2,FALSE))</f>
        <v/>
      </c>
      <c r="E788" s="2"/>
      <c r="F788" s="2"/>
      <c r="G788" s="2"/>
      <c r="H788" s="2" t="str">
        <f>IF(ISBLANK(G788),"",VLOOKUP(G788,configuration!$J$7:$K$10,2,FALSE))</f>
        <v/>
      </c>
      <c r="I788" s="30"/>
      <c r="J788" s="2"/>
      <c r="K788" s="31"/>
      <c r="L788" s="35"/>
      <c r="M788" s="2" t="str">
        <f>IF(ISBLANK(L788),"",VLOOKUP(L788,configuration!$M$7:$N$10,2,FALSE))</f>
        <v/>
      </c>
      <c r="N788" s="30"/>
      <c r="O788" s="2"/>
      <c r="P788" s="31"/>
      <c r="Q788" s="54"/>
      <c r="R788" s="55" t="str">
        <f>IF(ISBLANK(Q788),"",VLOOKUP(Q788,configuration!$P$7:$Q$10,2,FALSE))</f>
        <v/>
      </c>
      <c r="S788" s="56"/>
      <c r="T788" s="55"/>
      <c r="U788" s="78"/>
      <c r="V788" s="76" t="str">
        <f t="shared" si="52"/>
        <v/>
      </c>
      <c r="W788" s="48" t="str">
        <f t="shared" si="52"/>
        <v/>
      </c>
      <c r="X788" s="48" t="str">
        <f t="shared" si="52"/>
        <v/>
      </c>
      <c r="Y788" s="48" t="str">
        <f t="shared" si="52"/>
        <v/>
      </c>
      <c r="Z788" s="49" t="str">
        <f t="shared" si="50"/>
        <v/>
      </c>
      <c r="AA788" s="50" t="str">
        <f t="shared" si="53"/>
        <v/>
      </c>
      <c r="AB788" s="48" t="str">
        <f t="shared" si="53"/>
        <v/>
      </c>
      <c r="AC788" s="48" t="str">
        <f t="shared" si="53"/>
        <v/>
      </c>
      <c r="AD788" s="48" t="str">
        <f t="shared" si="53"/>
        <v/>
      </c>
      <c r="AE788" s="48" t="str">
        <f t="shared" si="51"/>
        <v/>
      </c>
    </row>
    <row r="789" spans="1:31" x14ac:dyDescent="0.25">
      <c r="A789" s="2"/>
      <c r="B789" s="2"/>
      <c r="C789" s="2"/>
      <c r="D789" s="2" t="str">
        <f>IF(ISBLANK(C789),"",VLOOKUP(C789,configuration!$G$7:$H$10,2,FALSE))</f>
        <v/>
      </c>
      <c r="E789" s="2"/>
      <c r="F789" s="2"/>
      <c r="G789" s="2"/>
      <c r="H789" s="2" t="str">
        <f>IF(ISBLANK(G789),"",VLOOKUP(G789,configuration!$J$7:$K$10,2,FALSE))</f>
        <v/>
      </c>
      <c r="I789" s="30"/>
      <c r="J789" s="2"/>
      <c r="K789" s="31"/>
      <c r="L789" s="35"/>
      <c r="M789" s="2" t="str">
        <f>IF(ISBLANK(L789),"",VLOOKUP(L789,configuration!$M$7:$N$10,2,FALSE))</f>
        <v/>
      </c>
      <c r="N789" s="30"/>
      <c r="O789" s="2"/>
      <c r="P789" s="31"/>
      <c r="Q789" s="54"/>
      <c r="R789" s="55" t="str">
        <f>IF(ISBLANK(Q789),"",VLOOKUP(Q789,configuration!$P$7:$Q$10,2,FALSE))</f>
        <v/>
      </c>
      <c r="S789" s="56"/>
      <c r="T789" s="55"/>
      <c r="U789" s="78"/>
      <c r="V789" s="76" t="str">
        <f t="shared" si="52"/>
        <v/>
      </c>
      <c r="W789" s="48" t="str">
        <f t="shared" si="52"/>
        <v/>
      </c>
      <c r="X789" s="48" t="str">
        <f t="shared" si="52"/>
        <v/>
      </c>
      <c r="Y789" s="48" t="str">
        <f t="shared" si="52"/>
        <v/>
      </c>
      <c r="Z789" s="49" t="str">
        <f t="shared" si="50"/>
        <v/>
      </c>
      <c r="AA789" s="50" t="str">
        <f t="shared" si="53"/>
        <v/>
      </c>
      <c r="AB789" s="48" t="str">
        <f t="shared" si="53"/>
        <v/>
      </c>
      <c r="AC789" s="48" t="str">
        <f t="shared" si="53"/>
        <v/>
      </c>
      <c r="AD789" s="48" t="str">
        <f t="shared" si="53"/>
        <v/>
      </c>
      <c r="AE789" s="48" t="str">
        <f t="shared" si="51"/>
        <v/>
      </c>
    </row>
    <row r="790" spans="1:31" x14ac:dyDescent="0.25">
      <c r="A790" s="2"/>
      <c r="B790" s="2"/>
      <c r="C790" s="2"/>
      <c r="D790" s="2" t="str">
        <f>IF(ISBLANK(C790),"",VLOOKUP(C790,configuration!$G$7:$H$10,2,FALSE))</f>
        <v/>
      </c>
      <c r="E790" s="2"/>
      <c r="F790" s="2"/>
      <c r="G790" s="2"/>
      <c r="H790" s="2" t="str">
        <f>IF(ISBLANK(G790),"",VLOOKUP(G790,configuration!$J$7:$K$10,2,FALSE))</f>
        <v/>
      </c>
      <c r="I790" s="30"/>
      <c r="J790" s="2"/>
      <c r="K790" s="31"/>
      <c r="L790" s="35"/>
      <c r="M790" s="2" t="str">
        <f>IF(ISBLANK(L790),"",VLOOKUP(L790,configuration!$M$7:$N$10,2,FALSE))</f>
        <v/>
      </c>
      <c r="N790" s="30"/>
      <c r="O790" s="2"/>
      <c r="P790" s="31"/>
      <c r="Q790" s="54"/>
      <c r="R790" s="55" t="str">
        <f>IF(ISBLANK(Q790),"",VLOOKUP(Q790,configuration!$P$7:$Q$10,2,FALSE))</f>
        <v/>
      </c>
      <c r="S790" s="56"/>
      <c r="T790" s="55"/>
      <c r="U790" s="78"/>
      <c r="V790" s="76" t="str">
        <f t="shared" si="52"/>
        <v/>
      </c>
      <c r="W790" s="48" t="str">
        <f t="shared" si="52"/>
        <v/>
      </c>
      <c r="X790" s="48" t="str">
        <f t="shared" si="52"/>
        <v/>
      </c>
      <c r="Y790" s="48" t="str">
        <f t="shared" si="52"/>
        <v/>
      </c>
      <c r="Z790" s="49" t="str">
        <f t="shared" si="50"/>
        <v/>
      </c>
      <c r="AA790" s="50" t="str">
        <f t="shared" si="53"/>
        <v/>
      </c>
      <c r="AB790" s="48" t="str">
        <f t="shared" si="53"/>
        <v/>
      </c>
      <c r="AC790" s="48" t="str">
        <f t="shared" si="53"/>
        <v/>
      </c>
      <c r="AD790" s="48" t="str">
        <f t="shared" si="53"/>
        <v/>
      </c>
      <c r="AE790" s="48" t="str">
        <f t="shared" si="51"/>
        <v/>
      </c>
    </row>
    <row r="791" spans="1:31" x14ac:dyDescent="0.25">
      <c r="A791" s="2"/>
      <c r="B791" s="2"/>
      <c r="C791" s="2"/>
      <c r="D791" s="2" t="str">
        <f>IF(ISBLANK(C791),"",VLOOKUP(C791,configuration!$G$7:$H$10,2,FALSE))</f>
        <v/>
      </c>
      <c r="E791" s="2"/>
      <c r="F791" s="2"/>
      <c r="G791" s="2"/>
      <c r="H791" s="2" t="str">
        <f>IF(ISBLANK(G791),"",VLOOKUP(G791,configuration!$J$7:$K$10,2,FALSE))</f>
        <v/>
      </c>
      <c r="I791" s="30"/>
      <c r="J791" s="2"/>
      <c r="K791" s="31"/>
      <c r="L791" s="35"/>
      <c r="M791" s="2" t="str">
        <f>IF(ISBLANK(L791),"",VLOOKUP(L791,configuration!$M$7:$N$10,2,FALSE))</f>
        <v/>
      </c>
      <c r="N791" s="30"/>
      <c r="O791" s="2"/>
      <c r="P791" s="31"/>
      <c r="Q791" s="54"/>
      <c r="R791" s="55" t="str">
        <f>IF(ISBLANK(Q791),"",VLOOKUP(Q791,configuration!$P$7:$Q$10,2,FALSE))</f>
        <v/>
      </c>
      <c r="S791" s="56"/>
      <c r="T791" s="55"/>
      <c r="U791" s="78"/>
      <c r="V791" s="76" t="str">
        <f t="shared" si="52"/>
        <v/>
      </c>
      <c r="W791" s="48" t="str">
        <f t="shared" si="52"/>
        <v/>
      </c>
      <c r="X791" s="48" t="str">
        <f t="shared" si="52"/>
        <v/>
      </c>
      <c r="Y791" s="48" t="str">
        <f t="shared" si="52"/>
        <v/>
      </c>
      <c r="Z791" s="49" t="str">
        <f t="shared" si="50"/>
        <v/>
      </c>
      <c r="AA791" s="50" t="str">
        <f t="shared" si="53"/>
        <v/>
      </c>
      <c r="AB791" s="48" t="str">
        <f t="shared" si="53"/>
        <v/>
      </c>
      <c r="AC791" s="48" t="str">
        <f t="shared" si="53"/>
        <v/>
      </c>
      <c r="AD791" s="48" t="str">
        <f t="shared" si="53"/>
        <v/>
      </c>
      <c r="AE791" s="48" t="str">
        <f t="shared" si="51"/>
        <v/>
      </c>
    </row>
    <row r="792" spans="1:31" x14ac:dyDescent="0.25">
      <c r="A792" s="2"/>
      <c r="B792" s="2"/>
      <c r="C792" s="2"/>
      <c r="D792" s="2" t="str">
        <f>IF(ISBLANK(C792),"",VLOOKUP(C792,configuration!$G$7:$H$10,2,FALSE))</f>
        <v/>
      </c>
      <c r="E792" s="2"/>
      <c r="F792" s="2"/>
      <c r="G792" s="2"/>
      <c r="H792" s="2" t="str">
        <f>IF(ISBLANK(G792),"",VLOOKUP(G792,configuration!$J$7:$K$10,2,FALSE))</f>
        <v/>
      </c>
      <c r="I792" s="30"/>
      <c r="J792" s="2"/>
      <c r="K792" s="31"/>
      <c r="L792" s="35"/>
      <c r="M792" s="2" t="str">
        <f>IF(ISBLANK(L792),"",VLOOKUP(L792,configuration!$M$7:$N$10,2,FALSE))</f>
        <v/>
      </c>
      <c r="N792" s="30"/>
      <c r="O792" s="2"/>
      <c r="P792" s="31"/>
      <c r="Q792" s="54"/>
      <c r="R792" s="55" t="str">
        <f>IF(ISBLANK(Q792),"",VLOOKUP(Q792,configuration!$P$7:$Q$10,2,FALSE))</f>
        <v/>
      </c>
      <c r="S792" s="56"/>
      <c r="T792" s="55"/>
      <c r="U792" s="78"/>
      <c r="V792" s="76" t="str">
        <f t="shared" si="52"/>
        <v/>
      </c>
      <c r="W792" s="48" t="str">
        <f t="shared" si="52"/>
        <v/>
      </c>
      <c r="X792" s="48" t="str">
        <f t="shared" si="52"/>
        <v/>
      </c>
      <c r="Y792" s="48" t="str">
        <f t="shared" si="52"/>
        <v/>
      </c>
      <c r="Z792" s="49" t="str">
        <f t="shared" si="50"/>
        <v/>
      </c>
      <c r="AA792" s="50" t="str">
        <f t="shared" si="53"/>
        <v/>
      </c>
      <c r="AB792" s="48" t="str">
        <f t="shared" si="53"/>
        <v/>
      </c>
      <c r="AC792" s="48" t="str">
        <f t="shared" si="53"/>
        <v/>
      </c>
      <c r="AD792" s="48" t="str">
        <f t="shared" si="53"/>
        <v/>
      </c>
      <c r="AE792" s="48" t="str">
        <f t="shared" si="51"/>
        <v/>
      </c>
    </row>
    <row r="793" spans="1:31" x14ac:dyDescent="0.25">
      <c r="A793" s="2"/>
      <c r="B793" s="2"/>
      <c r="C793" s="2"/>
      <c r="D793" s="2" t="str">
        <f>IF(ISBLANK(C793),"",VLOOKUP(C793,configuration!$G$7:$H$10,2,FALSE))</f>
        <v/>
      </c>
      <c r="E793" s="2"/>
      <c r="F793" s="2"/>
      <c r="G793" s="2"/>
      <c r="H793" s="2" t="str">
        <f>IF(ISBLANK(G793),"",VLOOKUP(G793,configuration!$J$7:$K$10,2,FALSE))</f>
        <v/>
      </c>
      <c r="I793" s="30"/>
      <c r="J793" s="2"/>
      <c r="K793" s="31"/>
      <c r="L793" s="35"/>
      <c r="M793" s="2" t="str">
        <f>IF(ISBLANK(L793),"",VLOOKUP(L793,configuration!$M$7:$N$10,2,FALSE))</f>
        <v/>
      </c>
      <c r="N793" s="30"/>
      <c r="O793" s="2"/>
      <c r="P793" s="31"/>
      <c r="Q793" s="54"/>
      <c r="R793" s="55" t="str">
        <f>IF(ISBLANK(Q793),"",VLOOKUP(Q793,configuration!$P$7:$Q$10,2,FALSE))</f>
        <v/>
      </c>
      <c r="S793" s="56"/>
      <c r="T793" s="55"/>
      <c r="U793" s="78"/>
      <c r="V793" s="76" t="str">
        <f t="shared" si="52"/>
        <v/>
      </c>
      <c r="W793" s="48" t="str">
        <f t="shared" si="52"/>
        <v/>
      </c>
      <c r="X793" s="48" t="str">
        <f t="shared" si="52"/>
        <v/>
      </c>
      <c r="Y793" s="48" t="str">
        <f t="shared" si="52"/>
        <v/>
      </c>
      <c r="Z793" s="49" t="str">
        <f t="shared" si="50"/>
        <v/>
      </c>
      <c r="AA793" s="50" t="str">
        <f t="shared" si="53"/>
        <v/>
      </c>
      <c r="AB793" s="48" t="str">
        <f t="shared" si="53"/>
        <v/>
      </c>
      <c r="AC793" s="48" t="str">
        <f t="shared" si="53"/>
        <v/>
      </c>
      <c r="AD793" s="48" t="str">
        <f t="shared" si="53"/>
        <v/>
      </c>
      <c r="AE793" s="48" t="str">
        <f t="shared" si="51"/>
        <v/>
      </c>
    </row>
    <row r="794" spans="1:31" x14ac:dyDescent="0.25">
      <c r="A794" s="2"/>
      <c r="B794" s="2"/>
      <c r="C794" s="2"/>
      <c r="D794" s="2" t="str">
        <f>IF(ISBLANK(C794),"",VLOOKUP(C794,configuration!$G$7:$H$10,2,FALSE))</f>
        <v/>
      </c>
      <c r="E794" s="2"/>
      <c r="F794" s="2"/>
      <c r="G794" s="2"/>
      <c r="H794" s="2" t="str">
        <f>IF(ISBLANK(G794),"",VLOOKUP(G794,configuration!$J$7:$K$10,2,FALSE))</f>
        <v/>
      </c>
      <c r="I794" s="30"/>
      <c r="J794" s="2"/>
      <c r="K794" s="31"/>
      <c r="L794" s="35"/>
      <c r="M794" s="2" t="str">
        <f>IF(ISBLANK(L794),"",VLOOKUP(L794,configuration!$M$7:$N$10,2,FALSE))</f>
        <v/>
      </c>
      <c r="N794" s="30"/>
      <c r="O794" s="2"/>
      <c r="P794" s="31"/>
      <c r="Q794" s="54"/>
      <c r="R794" s="55" t="str">
        <f>IF(ISBLANK(Q794),"",VLOOKUP(Q794,configuration!$P$7:$Q$10,2,FALSE))</f>
        <v/>
      </c>
      <c r="S794" s="56"/>
      <c r="T794" s="55"/>
      <c r="U794" s="78"/>
      <c r="V794" s="76" t="str">
        <f t="shared" si="52"/>
        <v/>
      </c>
      <c r="W794" s="48" t="str">
        <f t="shared" si="52"/>
        <v/>
      </c>
      <c r="X794" s="48" t="str">
        <f t="shared" si="52"/>
        <v/>
      </c>
      <c r="Y794" s="48" t="str">
        <f t="shared" si="52"/>
        <v/>
      </c>
      <c r="Z794" s="49" t="str">
        <f t="shared" si="50"/>
        <v/>
      </c>
      <c r="AA794" s="50" t="str">
        <f t="shared" si="53"/>
        <v/>
      </c>
      <c r="AB794" s="48" t="str">
        <f t="shared" si="53"/>
        <v/>
      </c>
      <c r="AC794" s="48" t="str">
        <f t="shared" si="53"/>
        <v/>
      </c>
      <c r="AD794" s="48" t="str">
        <f t="shared" si="53"/>
        <v/>
      </c>
      <c r="AE794" s="48" t="str">
        <f t="shared" si="51"/>
        <v/>
      </c>
    </row>
    <row r="795" spans="1:31" x14ac:dyDescent="0.25">
      <c r="A795" s="2"/>
      <c r="B795" s="2"/>
      <c r="C795" s="2"/>
      <c r="D795" s="2" t="str">
        <f>IF(ISBLANK(C795),"",VLOOKUP(C795,configuration!$G$7:$H$10,2,FALSE))</f>
        <v/>
      </c>
      <c r="E795" s="2"/>
      <c r="F795" s="2"/>
      <c r="G795" s="2"/>
      <c r="H795" s="2" t="str">
        <f>IF(ISBLANK(G795),"",VLOOKUP(G795,configuration!$J$7:$K$10,2,FALSE))</f>
        <v/>
      </c>
      <c r="I795" s="30"/>
      <c r="J795" s="2"/>
      <c r="K795" s="31"/>
      <c r="L795" s="35"/>
      <c r="M795" s="2" t="str">
        <f>IF(ISBLANK(L795),"",VLOOKUP(L795,configuration!$M$7:$N$10,2,FALSE))</f>
        <v/>
      </c>
      <c r="N795" s="30"/>
      <c r="O795" s="2"/>
      <c r="P795" s="31"/>
      <c r="Q795" s="54"/>
      <c r="R795" s="55" t="str">
        <f>IF(ISBLANK(Q795),"",VLOOKUP(Q795,configuration!$P$7:$Q$10,2,FALSE))</f>
        <v/>
      </c>
      <c r="S795" s="56"/>
      <c r="T795" s="55"/>
      <c r="U795" s="78"/>
      <c r="V795" s="76" t="str">
        <f t="shared" si="52"/>
        <v/>
      </c>
      <c r="W795" s="48" t="str">
        <f t="shared" si="52"/>
        <v/>
      </c>
      <c r="X795" s="48" t="str">
        <f t="shared" si="52"/>
        <v/>
      </c>
      <c r="Y795" s="48" t="str">
        <f t="shared" si="52"/>
        <v/>
      </c>
      <c r="Z795" s="49" t="str">
        <f t="shared" si="50"/>
        <v/>
      </c>
      <c r="AA795" s="50" t="str">
        <f t="shared" si="53"/>
        <v/>
      </c>
      <c r="AB795" s="48" t="str">
        <f t="shared" si="53"/>
        <v/>
      </c>
      <c r="AC795" s="48" t="str">
        <f t="shared" si="53"/>
        <v/>
      </c>
      <c r="AD795" s="48" t="str">
        <f t="shared" si="53"/>
        <v/>
      </c>
      <c r="AE795" s="48" t="str">
        <f t="shared" si="51"/>
        <v/>
      </c>
    </row>
    <row r="796" spans="1:31" x14ac:dyDescent="0.25">
      <c r="A796" s="2"/>
      <c r="B796" s="2"/>
      <c r="C796" s="2"/>
      <c r="D796" s="2" t="str">
        <f>IF(ISBLANK(C796),"",VLOOKUP(C796,configuration!$G$7:$H$10,2,FALSE))</f>
        <v/>
      </c>
      <c r="E796" s="2"/>
      <c r="F796" s="2"/>
      <c r="G796" s="2"/>
      <c r="H796" s="2" t="str">
        <f>IF(ISBLANK(G796),"",VLOOKUP(G796,configuration!$J$7:$K$10,2,FALSE))</f>
        <v/>
      </c>
      <c r="I796" s="30"/>
      <c r="J796" s="2"/>
      <c r="K796" s="31"/>
      <c r="L796" s="35"/>
      <c r="M796" s="2" t="str">
        <f>IF(ISBLANK(L796),"",VLOOKUP(L796,configuration!$M$7:$N$10,2,FALSE))</f>
        <v/>
      </c>
      <c r="N796" s="30"/>
      <c r="O796" s="2"/>
      <c r="P796" s="31"/>
      <c r="Q796" s="54"/>
      <c r="R796" s="55" t="str">
        <f>IF(ISBLANK(Q796),"",VLOOKUP(Q796,configuration!$P$7:$Q$10,2,FALSE))</f>
        <v/>
      </c>
      <c r="S796" s="56"/>
      <c r="T796" s="55"/>
      <c r="U796" s="78"/>
      <c r="V796" s="76" t="str">
        <f t="shared" si="52"/>
        <v/>
      </c>
      <c r="W796" s="48" t="str">
        <f t="shared" si="52"/>
        <v/>
      </c>
      <c r="X796" s="48" t="str">
        <f t="shared" si="52"/>
        <v/>
      </c>
      <c r="Y796" s="48" t="str">
        <f t="shared" si="52"/>
        <v/>
      </c>
      <c r="Z796" s="49" t="str">
        <f t="shared" si="50"/>
        <v/>
      </c>
      <c r="AA796" s="50" t="str">
        <f t="shared" si="53"/>
        <v/>
      </c>
      <c r="AB796" s="48" t="str">
        <f t="shared" si="53"/>
        <v/>
      </c>
      <c r="AC796" s="48" t="str">
        <f t="shared" si="53"/>
        <v/>
      </c>
      <c r="AD796" s="48" t="str">
        <f t="shared" si="53"/>
        <v/>
      </c>
      <c r="AE796" s="48" t="str">
        <f t="shared" si="51"/>
        <v/>
      </c>
    </row>
    <row r="797" spans="1:31" x14ac:dyDescent="0.25">
      <c r="A797" s="2"/>
      <c r="B797" s="2"/>
      <c r="C797" s="2"/>
      <c r="D797" s="2" t="str">
        <f>IF(ISBLANK(C797),"",VLOOKUP(C797,configuration!$G$7:$H$10,2,FALSE))</f>
        <v/>
      </c>
      <c r="E797" s="2"/>
      <c r="F797" s="2"/>
      <c r="G797" s="2"/>
      <c r="H797" s="2" t="str">
        <f>IF(ISBLANK(G797),"",VLOOKUP(G797,configuration!$J$7:$K$10,2,FALSE))</f>
        <v/>
      </c>
      <c r="I797" s="30"/>
      <c r="J797" s="2"/>
      <c r="K797" s="31"/>
      <c r="L797" s="35"/>
      <c r="M797" s="2" t="str">
        <f>IF(ISBLANK(L797),"",VLOOKUP(L797,configuration!$M$7:$N$10,2,FALSE))</f>
        <v/>
      </c>
      <c r="N797" s="30"/>
      <c r="O797" s="2"/>
      <c r="P797" s="31"/>
      <c r="Q797" s="54"/>
      <c r="R797" s="55" t="str">
        <f>IF(ISBLANK(Q797),"",VLOOKUP(Q797,configuration!$P$7:$Q$10,2,FALSE))</f>
        <v/>
      </c>
      <c r="S797" s="56"/>
      <c r="T797" s="55"/>
      <c r="U797" s="78"/>
      <c r="V797" s="76" t="str">
        <f t="shared" si="52"/>
        <v/>
      </c>
      <c r="W797" s="48" t="str">
        <f t="shared" si="52"/>
        <v/>
      </c>
      <c r="X797" s="48" t="str">
        <f t="shared" si="52"/>
        <v/>
      </c>
      <c r="Y797" s="48" t="str">
        <f t="shared" si="52"/>
        <v/>
      </c>
      <c r="Z797" s="49" t="str">
        <f t="shared" si="50"/>
        <v/>
      </c>
      <c r="AA797" s="50" t="str">
        <f t="shared" si="53"/>
        <v/>
      </c>
      <c r="AB797" s="48" t="str">
        <f t="shared" si="53"/>
        <v/>
      </c>
      <c r="AC797" s="48" t="str">
        <f t="shared" si="53"/>
        <v/>
      </c>
      <c r="AD797" s="48" t="str">
        <f t="shared" si="53"/>
        <v/>
      </c>
      <c r="AE797" s="48" t="str">
        <f t="shared" si="51"/>
        <v/>
      </c>
    </row>
    <row r="798" spans="1:31" x14ac:dyDescent="0.25">
      <c r="A798" s="2"/>
      <c r="B798" s="2"/>
      <c r="C798" s="2"/>
      <c r="D798" s="2" t="str">
        <f>IF(ISBLANK(C798),"",VLOOKUP(C798,configuration!$G$7:$H$10,2,FALSE))</f>
        <v/>
      </c>
      <c r="E798" s="2"/>
      <c r="F798" s="2"/>
      <c r="G798" s="2"/>
      <c r="H798" s="2" t="str">
        <f>IF(ISBLANK(G798),"",VLOOKUP(G798,configuration!$J$7:$K$10,2,FALSE))</f>
        <v/>
      </c>
      <c r="I798" s="30"/>
      <c r="J798" s="2"/>
      <c r="K798" s="31"/>
      <c r="L798" s="35"/>
      <c r="M798" s="2" t="str">
        <f>IF(ISBLANK(L798),"",VLOOKUP(L798,configuration!$M$7:$N$10,2,FALSE))</f>
        <v/>
      </c>
      <c r="N798" s="30"/>
      <c r="O798" s="2"/>
      <c r="P798" s="31"/>
      <c r="Q798" s="54"/>
      <c r="R798" s="55" t="str">
        <f>IF(ISBLANK(Q798),"",VLOOKUP(Q798,configuration!$P$7:$Q$10,2,FALSE))</f>
        <v/>
      </c>
      <c r="S798" s="56"/>
      <c r="T798" s="55"/>
      <c r="U798" s="78"/>
      <c r="V798" s="76" t="str">
        <f t="shared" si="52"/>
        <v/>
      </c>
      <c r="W798" s="48" t="str">
        <f t="shared" si="52"/>
        <v/>
      </c>
      <c r="X798" s="48" t="str">
        <f t="shared" si="52"/>
        <v/>
      </c>
      <c r="Y798" s="48" t="str">
        <f t="shared" si="52"/>
        <v/>
      </c>
      <c r="Z798" s="49" t="str">
        <f t="shared" si="50"/>
        <v/>
      </c>
      <c r="AA798" s="50" t="str">
        <f t="shared" si="53"/>
        <v/>
      </c>
      <c r="AB798" s="48" t="str">
        <f t="shared" si="53"/>
        <v/>
      </c>
      <c r="AC798" s="48" t="str">
        <f t="shared" si="53"/>
        <v/>
      </c>
      <c r="AD798" s="48" t="str">
        <f t="shared" si="53"/>
        <v/>
      </c>
      <c r="AE798" s="48" t="str">
        <f t="shared" si="51"/>
        <v/>
      </c>
    </row>
    <row r="799" spans="1:31" x14ac:dyDescent="0.25">
      <c r="A799" s="2"/>
      <c r="B799" s="2"/>
      <c r="C799" s="2"/>
      <c r="D799" s="2" t="str">
        <f>IF(ISBLANK(C799),"",VLOOKUP(C799,configuration!$G$7:$H$10,2,FALSE))</f>
        <v/>
      </c>
      <c r="E799" s="2"/>
      <c r="F799" s="2"/>
      <c r="G799" s="2"/>
      <c r="H799" s="2" t="str">
        <f>IF(ISBLANK(G799),"",VLOOKUP(G799,configuration!$J$7:$K$10,2,FALSE))</f>
        <v/>
      </c>
      <c r="I799" s="30"/>
      <c r="J799" s="2"/>
      <c r="K799" s="31"/>
      <c r="L799" s="35"/>
      <c r="M799" s="2" t="str">
        <f>IF(ISBLANK(L799),"",VLOOKUP(L799,configuration!$M$7:$N$10,2,FALSE))</f>
        <v/>
      </c>
      <c r="N799" s="30"/>
      <c r="O799" s="2"/>
      <c r="P799" s="31"/>
      <c r="Q799" s="54"/>
      <c r="R799" s="55" t="str">
        <f>IF(ISBLANK(Q799),"",VLOOKUP(Q799,configuration!$P$7:$Q$10,2,FALSE))</f>
        <v/>
      </c>
      <c r="S799" s="56"/>
      <c r="T799" s="55"/>
      <c r="U799" s="78"/>
      <c r="V799" s="76" t="str">
        <f t="shared" si="52"/>
        <v/>
      </c>
      <c r="W799" s="48" t="str">
        <f t="shared" si="52"/>
        <v/>
      </c>
      <c r="X799" s="48" t="str">
        <f t="shared" si="52"/>
        <v/>
      </c>
      <c r="Y799" s="48" t="str">
        <f t="shared" si="52"/>
        <v/>
      </c>
      <c r="Z799" s="49" t="str">
        <f t="shared" si="50"/>
        <v/>
      </c>
      <c r="AA799" s="50" t="str">
        <f t="shared" si="53"/>
        <v/>
      </c>
      <c r="AB799" s="48" t="str">
        <f t="shared" si="53"/>
        <v/>
      </c>
      <c r="AC799" s="48" t="str">
        <f t="shared" si="53"/>
        <v/>
      </c>
      <c r="AD799" s="48" t="str">
        <f t="shared" si="53"/>
        <v/>
      </c>
      <c r="AE799" s="48" t="str">
        <f t="shared" si="51"/>
        <v/>
      </c>
    </row>
    <row r="800" spans="1:31" x14ac:dyDescent="0.25">
      <c r="A800" s="2"/>
      <c r="B800" s="2"/>
      <c r="C800" s="2"/>
      <c r="D800" s="2" t="str">
        <f>IF(ISBLANK(C800),"",VLOOKUP(C800,configuration!$G$7:$H$10,2,FALSE))</f>
        <v/>
      </c>
      <c r="E800" s="2"/>
      <c r="F800" s="2"/>
      <c r="G800" s="2"/>
      <c r="H800" s="2" t="str">
        <f>IF(ISBLANK(G800),"",VLOOKUP(G800,configuration!$J$7:$K$10,2,FALSE))</f>
        <v/>
      </c>
      <c r="I800" s="30"/>
      <c r="J800" s="2"/>
      <c r="K800" s="31"/>
      <c r="L800" s="35"/>
      <c r="M800" s="2" t="str">
        <f>IF(ISBLANK(L800),"",VLOOKUP(L800,configuration!$M$7:$N$10,2,FALSE))</f>
        <v/>
      </c>
      <c r="N800" s="30"/>
      <c r="O800" s="2"/>
      <c r="P800" s="31"/>
      <c r="Q800" s="54"/>
      <c r="R800" s="55" t="str">
        <f>IF(ISBLANK(Q800),"",VLOOKUP(Q800,configuration!$P$7:$Q$10,2,FALSE))</f>
        <v/>
      </c>
      <c r="S800" s="56"/>
      <c r="T800" s="55"/>
      <c r="U800" s="78"/>
      <c r="V800" s="76" t="str">
        <f t="shared" si="52"/>
        <v/>
      </c>
      <c r="W800" s="48" t="str">
        <f t="shared" si="52"/>
        <v/>
      </c>
      <c r="X800" s="48" t="str">
        <f t="shared" si="52"/>
        <v/>
      </c>
      <c r="Y800" s="48" t="str">
        <f t="shared" si="52"/>
        <v/>
      </c>
      <c r="Z800" s="49" t="str">
        <f t="shared" si="50"/>
        <v/>
      </c>
      <c r="AA800" s="50" t="str">
        <f t="shared" si="53"/>
        <v/>
      </c>
      <c r="AB800" s="48" t="str">
        <f t="shared" si="53"/>
        <v/>
      </c>
      <c r="AC800" s="48" t="str">
        <f t="shared" si="53"/>
        <v/>
      </c>
      <c r="AD800" s="48" t="str">
        <f t="shared" si="53"/>
        <v/>
      </c>
      <c r="AE800" s="48" t="str">
        <f t="shared" si="51"/>
        <v/>
      </c>
    </row>
    <row r="801" spans="1:31" x14ac:dyDescent="0.25">
      <c r="A801" s="2"/>
      <c r="B801" s="2"/>
      <c r="C801" s="2"/>
      <c r="D801" s="2" t="str">
        <f>IF(ISBLANK(C801),"",VLOOKUP(C801,configuration!$G$7:$H$10,2,FALSE))</f>
        <v/>
      </c>
      <c r="E801" s="2"/>
      <c r="F801" s="2"/>
      <c r="G801" s="2"/>
      <c r="H801" s="2" t="str">
        <f>IF(ISBLANK(G801),"",VLOOKUP(G801,configuration!$J$7:$K$10,2,FALSE))</f>
        <v/>
      </c>
      <c r="I801" s="30"/>
      <c r="J801" s="2"/>
      <c r="K801" s="31"/>
      <c r="L801" s="35"/>
      <c r="M801" s="2" t="str">
        <f>IF(ISBLANK(L801),"",VLOOKUP(L801,configuration!$M$7:$N$10,2,FALSE))</f>
        <v/>
      </c>
      <c r="N801" s="30"/>
      <c r="O801" s="2"/>
      <c r="P801" s="31"/>
      <c r="Q801" s="54"/>
      <c r="R801" s="55" t="str">
        <f>IF(ISBLANK(Q801),"",VLOOKUP(Q801,configuration!$P$7:$Q$10,2,FALSE))</f>
        <v/>
      </c>
      <c r="S801" s="56"/>
      <c r="T801" s="55"/>
      <c r="U801" s="78"/>
      <c r="V801" s="76" t="str">
        <f t="shared" si="52"/>
        <v/>
      </c>
      <c r="W801" s="48" t="str">
        <f t="shared" si="52"/>
        <v/>
      </c>
      <c r="X801" s="48" t="str">
        <f t="shared" si="52"/>
        <v/>
      </c>
      <c r="Y801" s="48" t="str">
        <f t="shared" si="52"/>
        <v/>
      </c>
      <c r="Z801" s="49" t="str">
        <f t="shared" si="50"/>
        <v/>
      </c>
      <c r="AA801" s="50" t="str">
        <f t="shared" si="53"/>
        <v/>
      </c>
      <c r="AB801" s="48" t="str">
        <f t="shared" si="53"/>
        <v/>
      </c>
      <c r="AC801" s="48" t="str">
        <f t="shared" si="53"/>
        <v/>
      </c>
      <c r="AD801" s="48" t="str">
        <f t="shared" si="53"/>
        <v/>
      </c>
      <c r="AE801" s="48" t="str">
        <f t="shared" si="51"/>
        <v/>
      </c>
    </row>
    <row r="802" spans="1:31" x14ac:dyDescent="0.25">
      <c r="A802" s="2"/>
      <c r="B802" s="2"/>
      <c r="C802" s="2"/>
      <c r="D802" s="2" t="str">
        <f>IF(ISBLANK(C802),"",VLOOKUP(C802,configuration!$G$7:$H$10,2,FALSE))</f>
        <v/>
      </c>
      <c r="E802" s="2"/>
      <c r="F802" s="2"/>
      <c r="G802" s="2"/>
      <c r="H802" s="2" t="str">
        <f>IF(ISBLANK(G802),"",VLOOKUP(G802,configuration!$J$7:$K$10,2,FALSE))</f>
        <v/>
      </c>
      <c r="I802" s="30"/>
      <c r="J802" s="2"/>
      <c r="K802" s="31"/>
      <c r="L802" s="35"/>
      <c r="M802" s="2" t="str">
        <f>IF(ISBLANK(L802),"",VLOOKUP(L802,configuration!$M$7:$N$10,2,FALSE))</f>
        <v/>
      </c>
      <c r="N802" s="30"/>
      <c r="O802" s="2"/>
      <c r="P802" s="31"/>
      <c r="Q802" s="54"/>
      <c r="R802" s="55" t="str">
        <f>IF(ISBLANK(Q802),"",VLOOKUP(Q802,configuration!$P$7:$Q$10,2,FALSE))</f>
        <v/>
      </c>
      <c r="S802" s="56"/>
      <c r="T802" s="55"/>
      <c r="U802" s="78"/>
      <c r="V802" s="76" t="str">
        <f t="shared" si="52"/>
        <v/>
      </c>
      <c r="W802" s="48" t="str">
        <f t="shared" si="52"/>
        <v/>
      </c>
      <c r="X802" s="48" t="str">
        <f t="shared" si="52"/>
        <v/>
      </c>
      <c r="Y802" s="48" t="str">
        <f t="shared" si="52"/>
        <v/>
      </c>
      <c r="Z802" s="49" t="str">
        <f t="shared" si="50"/>
        <v/>
      </c>
      <c r="AA802" s="50" t="str">
        <f t="shared" si="53"/>
        <v/>
      </c>
      <c r="AB802" s="48" t="str">
        <f t="shared" si="53"/>
        <v/>
      </c>
      <c r="AC802" s="48" t="str">
        <f t="shared" si="53"/>
        <v/>
      </c>
      <c r="AD802" s="48" t="str">
        <f t="shared" si="53"/>
        <v/>
      </c>
      <c r="AE802" s="48" t="str">
        <f t="shared" si="51"/>
        <v/>
      </c>
    </row>
    <row r="803" spans="1:31" x14ac:dyDescent="0.25">
      <c r="A803" s="2"/>
      <c r="B803" s="2"/>
      <c r="C803" s="2"/>
      <c r="D803" s="2" t="str">
        <f>IF(ISBLANK(C803),"",VLOOKUP(C803,configuration!$G$7:$H$10,2,FALSE))</f>
        <v/>
      </c>
      <c r="E803" s="2"/>
      <c r="F803" s="2"/>
      <c r="G803" s="2"/>
      <c r="H803" s="2" t="str">
        <f>IF(ISBLANK(G803),"",VLOOKUP(G803,configuration!$J$7:$K$10,2,FALSE))</f>
        <v/>
      </c>
      <c r="I803" s="30"/>
      <c r="J803" s="2"/>
      <c r="K803" s="31"/>
      <c r="L803" s="35"/>
      <c r="M803" s="2" t="str">
        <f>IF(ISBLANK(L803),"",VLOOKUP(L803,configuration!$M$7:$N$10,2,FALSE))</f>
        <v/>
      </c>
      <c r="N803" s="30"/>
      <c r="O803" s="2"/>
      <c r="P803" s="31"/>
      <c r="Q803" s="54"/>
      <c r="R803" s="55" t="str">
        <f>IF(ISBLANK(Q803),"",VLOOKUP(Q803,configuration!$P$7:$Q$10,2,FALSE))</f>
        <v/>
      </c>
      <c r="S803" s="56"/>
      <c r="T803" s="55"/>
      <c r="U803" s="78"/>
      <c r="V803" s="76" t="str">
        <f t="shared" si="52"/>
        <v/>
      </c>
      <c r="W803" s="48" t="str">
        <f t="shared" si="52"/>
        <v/>
      </c>
      <c r="X803" s="48" t="str">
        <f t="shared" si="52"/>
        <v/>
      </c>
      <c r="Y803" s="48" t="str">
        <f t="shared" si="52"/>
        <v/>
      </c>
      <c r="Z803" s="49" t="str">
        <f t="shared" si="50"/>
        <v/>
      </c>
      <c r="AA803" s="50" t="str">
        <f t="shared" si="53"/>
        <v/>
      </c>
      <c r="AB803" s="48" t="str">
        <f t="shared" si="53"/>
        <v/>
      </c>
      <c r="AC803" s="48" t="str">
        <f t="shared" si="53"/>
        <v/>
      </c>
      <c r="AD803" s="48" t="str">
        <f t="shared" si="53"/>
        <v/>
      </c>
      <c r="AE803" s="48" t="str">
        <f t="shared" si="51"/>
        <v/>
      </c>
    </row>
    <row r="804" spans="1:31" x14ac:dyDescent="0.25">
      <c r="A804" s="2"/>
      <c r="B804" s="2"/>
      <c r="C804" s="2"/>
      <c r="D804" s="2" t="str">
        <f>IF(ISBLANK(C804),"",VLOOKUP(C804,configuration!$G$7:$H$10,2,FALSE))</f>
        <v/>
      </c>
      <c r="E804" s="2"/>
      <c r="F804" s="2"/>
      <c r="G804" s="2"/>
      <c r="H804" s="2" t="str">
        <f>IF(ISBLANK(G804),"",VLOOKUP(G804,configuration!$J$7:$K$10,2,FALSE))</f>
        <v/>
      </c>
      <c r="I804" s="30"/>
      <c r="J804" s="2"/>
      <c r="K804" s="31"/>
      <c r="L804" s="35"/>
      <c r="M804" s="2" t="str">
        <f>IF(ISBLANK(L804),"",VLOOKUP(L804,configuration!$M$7:$N$10,2,FALSE))</f>
        <v/>
      </c>
      <c r="N804" s="30"/>
      <c r="O804" s="2"/>
      <c r="P804" s="31"/>
      <c r="Q804" s="54"/>
      <c r="R804" s="55" t="str">
        <f>IF(ISBLANK(Q804),"",VLOOKUP(Q804,configuration!$P$7:$Q$10,2,FALSE))</f>
        <v/>
      </c>
      <c r="S804" s="56"/>
      <c r="T804" s="55"/>
      <c r="U804" s="78"/>
      <c r="V804" s="76" t="str">
        <f t="shared" si="52"/>
        <v/>
      </c>
      <c r="W804" s="48" t="str">
        <f t="shared" si="52"/>
        <v/>
      </c>
      <c r="X804" s="48" t="str">
        <f t="shared" si="52"/>
        <v/>
      </c>
      <c r="Y804" s="48" t="str">
        <f t="shared" si="52"/>
        <v/>
      </c>
      <c r="Z804" s="49" t="str">
        <f t="shared" si="50"/>
        <v/>
      </c>
      <c r="AA804" s="50" t="str">
        <f t="shared" si="53"/>
        <v/>
      </c>
      <c r="AB804" s="48" t="str">
        <f t="shared" si="53"/>
        <v/>
      </c>
      <c r="AC804" s="48" t="str">
        <f t="shared" si="53"/>
        <v/>
      </c>
      <c r="AD804" s="48" t="str">
        <f t="shared" si="53"/>
        <v/>
      </c>
      <c r="AE804" s="48" t="str">
        <f t="shared" si="51"/>
        <v/>
      </c>
    </row>
    <row r="805" spans="1:31" x14ac:dyDescent="0.25">
      <c r="A805" s="2"/>
      <c r="B805" s="2"/>
      <c r="C805" s="2"/>
      <c r="D805" s="2" t="str">
        <f>IF(ISBLANK(C805),"",VLOOKUP(C805,configuration!$G$7:$H$10,2,FALSE))</f>
        <v/>
      </c>
      <c r="E805" s="2"/>
      <c r="F805" s="2"/>
      <c r="G805" s="2"/>
      <c r="H805" s="2" t="str">
        <f>IF(ISBLANK(G805),"",VLOOKUP(G805,configuration!$J$7:$K$10,2,FALSE))</f>
        <v/>
      </c>
      <c r="I805" s="30"/>
      <c r="J805" s="2"/>
      <c r="K805" s="31"/>
      <c r="L805" s="35"/>
      <c r="M805" s="2" t="str">
        <f>IF(ISBLANK(L805),"",VLOOKUP(L805,configuration!$M$7:$N$10,2,FALSE))</f>
        <v/>
      </c>
      <c r="N805" s="30"/>
      <c r="O805" s="2"/>
      <c r="P805" s="31"/>
      <c r="Q805" s="54"/>
      <c r="R805" s="55" t="str">
        <f>IF(ISBLANK(Q805),"",VLOOKUP(Q805,configuration!$P$7:$Q$10,2,FALSE))</f>
        <v/>
      </c>
      <c r="S805" s="56"/>
      <c r="T805" s="55"/>
      <c r="U805" s="78"/>
      <c r="V805" s="76" t="str">
        <f t="shared" si="52"/>
        <v/>
      </c>
      <c r="W805" s="48" t="str">
        <f t="shared" si="52"/>
        <v/>
      </c>
      <c r="X805" s="48" t="str">
        <f t="shared" si="52"/>
        <v/>
      </c>
      <c r="Y805" s="48" t="str">
        <f t="shared" si="52"/>
        <v/>
      </c>
      <c r="Z805" s="49" t="str">
        <f t="shared" si="50"/>
        <v/>
      </c>
      <c r="AA805" s="50" t="str">
        <f t="shared" si="53"/>
        <v/>
      </c>
      <c r="AB805" s="48" t="str">
        <f t="shared" si="53"/>
        <v/>
      </c>
      <c r="AC805" s="48" t="str">
        <f t="shared" si="53"/>
        <v/>
      </c>
      <c r="AD805" s="48" t="str">
        <f t="shared" si="53"/>
        <v/>
      </c>
      <c r="AE805" s="48" t="str">
        <f t="shared" si="51"/>
        <v/>
      </c>
    </row>
    <row r="806" spans="1:31" x14ac:dyDescent="0.25">
      <c r="A806" s="2"/>
      <c r="B806" s="2"/>
      <c r="C806" s="2"/>
      <c r="D806" s="2" t="str">
        <f>IF(ISBLANK(C806),"",VLOOKUP(C806,configuration!$G$7:$H$10,2,FALSE))</f>
        <v/>
      </c>
      <c r="E806" s="2"/>
      <c r="F806" s="2"/>
      <c r="G806" s="2"/>
      <c r="H806" s="2" t="str">
        <f>IF(ISBLANK(G806),"",VLOOKUP(G806,configuration!$J$7:$K$10,2,FALSE))</f>
        <v/>
      </c>
      <c r="I806" s="30"/>
      <c r="J806" s="2"/>
      <c r="K806" s="31"/>
      <c r="L806" s="35"/>
      <c r="M806" s="2" t="str">
        <f>IF(ISBLANK(L806),"",VLOOKUP(L806,configuration!$M$7:$N$10,2,FALSE))</f>
        <v/>
      </c>
      <c r="N806" s="30"/>
      <c r="O806" s="2"/>
      <c r="P806" s="31"/>
      <c r="Q806" s="54"/>
      <c r="R806" s="55" t="str">
        <f>IF(ISBLANK(Q806),"",VLOOKUP(Q806,configuration!$P$7:$Q$10,2,FALSE))</f>
        <v/>
      </c>
      <c r="S806" s="56"/>
      <c r="T806" s="55"/>
      <c r="U806" s="78"/>
      <c r="V806" s="76" t="str">
        <f t="shared" si="52"/>
        <v/>
      </c>
      <c r="W806" s="48" t="str">
        <f t="shared" si="52"/>
        <v/>
      </c>
      <c r="X806" s="48" t="str">
        <f t="shared" si="52"/>
        <v/>
      </c>
      <c r="Y806" s="48" t="str">
        <f t="shared" si="52"/>
        <v/>
      </c>
      <c r="Z806" s="49" t="str">
        <f t="shared" si="50"/>
        <v/>
      </c>
      <c r="AA806" s="50" t="str">
        <f t="shared" si="53"/>
        <v/>
      </c>
      <c r="AB806" s="48" t="str">
        <f t="shared" si="53"/>
        <v/>
      </c>
      <c r="AC806" s="48" t="str">
        <f t="shared" si="53"/>
        <v/>
      </c>
      <c r="AD806" s="48" t="str">
        <f t="shared" si="53"/>
        <v/>
      </c>
      <c r="AE806" s="48" t="str">
        <f t="shared" si="51"/>
        <v/>
      </c>
    </row>
    <row r="807" spans="1:31" x14ac:dyDescent="0.25">
      <c r="A807" s="2"/>
      <c r="B807" s="2"/>
      <c r="C807" s="2"/>
      <c r="D807" s="2" t="str">
        <f>IF(ISBLANK(C807),"",VLOOKUP(C807,configuration!$G$7:$H$10,2,FALSE))</f>
        <v/>
      </c>
      <c r="E807" s="2"/>
      <c r="F807" s="2"/>
      <c r="G807" s="2"/>
      <c r="H807" s="2" t="str">
        <f>IF(ISBLANK(G807),"",VLOOKUP(G807,configuration!$J$7:$K$10,2,FALSE))</f>
        <v/>
      </c>
      <c r="I807" s="30"/>
      <c r="J807" s="2"/>
      <c r="K807" s="31"/>
      <c r="L807" s="35"/>
      <c r="M807" s="2" t="str">
        <f>IF(ISBLANK(L807),"",VLOOKUP(L807,configuration!$M$7:$N$10,2,FALSE))</f>
        <v/>
      </c>
      <c r="N807" s="30"/>
      <c r="O807" s="2"/>
      <c r="P807" s="31"/>
      <c r="Q807" s="54"/>
      <c r="R807" s="55" t="str">
        <f>IF(ISBLANK(Q807),"",VLOOKUP(Q807,configuration!$P$7:$Q$10,2,FALSE))</f>
        <v/>
      </c>
      <c r="S807" s="56"/>
      <c r="T807" s="55"/>
      <c r="U807" s="78"/>
      <c r="V807" s="76" t="str">
        <f t="shared" si="52"/>
        <v/>
      </c>
      <c r="W807" s="48" t="str">
        <f t="shared" si="52"/>
        <v/>
      </c>
      <c r="X807" s="48" t="str">
        <f t="shared" si="52"/>
        <v/>
      </c>
      <c r="Y807" s="48" t="str">
        <f t="shared" si="52"/>
        <v/>
      </c>
      <c r="Z807" s="49" t="str">
        <f t="shared" si="50"/>
        <v/>
      </c>
      <c r="AA807" s="50" t="str">
        <f t="shared" si="53"/>
        <v/>
      </c>
      <c r="AB807" s="48" t="str">
        <f t="shared" si="53"/>
        <v/>
      </c>
      <c r="AC807" s="48" t="str">
        <f t="shared" si="53"/>
        <v/>
      </c>
      <c r="AD807" s="48" t="str">
        <f t="shared" si="53"/>
        <v/>
      </c>
      <c r="AE807" s="48" t="str">
        <f t="shared" si="51"/>
        <v/>
      </c>
    </row>
    <row r="808" spans="1:31" x14ac:dyDescent="0.25">
      <c r="A808" s="2"/>
      <c r="B808" s="2"/>
      <c r="C808" s="2"/>
      <c r="D808" s="2" t="str">
        <f>IF(ISBLANK(C808),"",VLOOKUP(C808,configuration!$G$7:$H$10,2,FALSE))</f>
        <v/>
      </c>
      <c r="E808" s="2"/>
      <c r="F808" s="2"/>
      <c r="G808" s="2"/>
      <c r="H808" s="2" t="str">
        <f>IF(ISBLANK(G808),"",VLOOKUP(G808,configuration!$J$7:$K$10,2,FALSE))</f>
        <v/>
      </c>
      <c r="I808" s="30"/>
      <c r="J808" s="2"/>
      <c r="K808" s="31"/>
      <c r="L808" s="35"/>
      <c r="M808" s="2" t="str">
        <f>IF(ISBLANK(L808),"",VLOOKUP(L808,configuration!$M$7:$N$10,2,FALSE))</f>
        <v/>
      </c>
      <c r="N808" s="30"/>
      <c r="O808" s="2"/>
      <c r="P808" s="31"/>
      <c r="Q808" s="54"/>
      <c r="R808" s="55" t="str">
        <f>IF(ISBLANK(Q808),"",VLOOKUP(Q808,configuration!$P$7:$Q$10,2,FALSE))</f>
        <v/>
      </c>
      <c r="S808" s="56"/>
      <c r="T808" s="55"/>
      <c r="U808" s="78"/>
      <c r="V808" s="76" t="str">
        <f t="shared" si="52"/>
        <v/>
      </c>
      <c r="W808" s="48" t="str">
        <f t="shared" si="52"/>
        <v/>
      </c>
      <c r="X808" s="48" t="str">
        <f t="shared" si="52"/>
        <v/>
      </c>
      <c r="Y808" s="48" t="str">
        <f t="shared" si="52"/>
        <v/>
      </c>
      <c r="Z808" s="49" t="str">
        <f t="shared" si="50"/>
        <v/>
      </c>
      <c r="AA808" s="50" t="str">
        <f t="shared" si="53"/>
        <v/>
      </c>
      <c r="AB808" s="48" t="str">
        <f t="shared" si="53"/>
        <v/>
      </c>
      <c r="AC808" s="48" t="str">
        <f t="shared" si="53"/>
        <v/>
      </c>
      <c r="AD808" s="48" t="str">
        <f t="shared" si="53"/>
        <v/>
      </c>
      <c r="AE808" s="48" t="str">
        <f t="shared" si="51"/>
        <v/>
      </c>
    </row>
    <row r="809" spans="1:31" x14ac:dyDescent="0.25">
      <c r="A809" s="2"/>
      <c r="B809" s="2"/>
      <c r="C809" s="2"/>
      <c r="D809" s="2" t="str">
        <f>IF(ISBLANK(C809),"",VLOOKUP(C809,configuration!$G$7:$H$10,2,FALSE))</f>
        <v/>
      </c>
      <c r="E809" s="2"/>
      <c r="F809" s="2"/>
      <c r="G809" s="2"/>
      <c r="H809" s="2" t="str">
        <f>IF(ISBLANK(G809),"",VLOOKUP(G809,configuration!$J$7:$K$10,2,FALSE))</f>
        <v/>
      </c>
      <c r="I809" s="30"/>
      <c r="J809" s="2"/>
      <c r="K809" s="31"/>
      <c r="L809" s="35"/>
      <c r="M809" s="2" t="str">
        <f>IF(ISBLANK(L809),"",VLOOKUP(L809,configuration!$M$7:$N$10,2,FALSE))</f>
        <v/>
      </c>
      <c r="N809" s="30"/>
      <c r="O809" s="2"/>
      <c r="P809" s="31"/>
      <c r="Q809" s="54"/>
      <c r="R809" s="55" t="str">
        <f>IF(ISBLANK(Q809),"",VLOOKUP(Q809,configuration!$P$7:$Q$10,2,FALSE))</f>
        <v/>
      </c>
      <c r="S809" s="56"/>
      <c r="T809" s="55"/>
      <c r="U809" s="78"/>
      <c r="V809" s="76" t="str">
        <f t="shared" si="52"/>
        <v/>
      </c>
      <c r="W809" s="48" t="str">
        <f t="shared" si="52"/>
        <v/>
      </c>
      <c r="X809" s="48" t="str">
        <f t="shared" si="52"/>
        <v/>
      </c>
      <c r="Y809" s="48" t="str">
        <f t="shared" si="52"/>
        <v/>
      </c>
      <c r="Z809" s="49" t="str">
        <f t="shared" si="50"/>
        <v/>
      </c>
      <c r="AA809" s="50" t="str">
        <f t="shared" si="53"/>
        <v/>
      </c>
      <c r="AB809" s="48" t="str">
        <f t="shared" si="53"/>
        <v/>
      </c>
      <c r="AC809" s="48" t="str">
        <f t="shared" si="53"/>
        <v/>
      </c>
      <c r="AD809" s="48" t="str">
        <f t="shared" si="53"/>
        <v/>
      </c>
      <c r="AE809" s="48" t="str">
        <f t="shared" si="51"/>
        <v/>
      </c>
    </row>
    <row r="810" spans="1:31" x14ac:dyDescent="0.25">
      <c r="A810" s="2"/>
      <c r="B810" s="2"/>
      <c r="C810" s="2"/>
      <c r="D810" s="2" t="str">
        <f>IF(ISBLANK(C810),"",VLOOKUP(C810,configuration!$G$7:$H$10,2,FALSE))</f>
        <v/>
      </c>
      <c r="E810" s="2"/>
      <c r="F810" s="2"/>
      <c r="G810" s="2"/>
      <c r="H810" s="2" t="str">
        <f>IF(ISBLANK(G810),"",VLOOKUP(G810,configuration!$J$7:$K$10,2,FALSE))</f>
        <v/>
      </c>
      <c r="I810" s="30"/>
      <c r="J810" s="2"/>
      <c r="K810" s="31"/>
      <c r="L810" s="35"/>
      <c r="M810" s="2" t="str">
        <f>IF(ISBLANK(L810),"",VLOOKUP(L810,configuration!$M$7:$N$10,2,FALSE))</f>
        <v/>
      </c>
      <c r="N810" s="30"/>
      <c r="O810" s="2"/>
      <c r="P810" s="31"/>
      <c r="Q810" s="54"/>
      <c r="R810" s="55" t="str">
        <f>IF(ISBLANK(Q810),"",VLOOKUP(Q810,configuration!$P$7:$Q$10,2,FALSE))</f>
        <v/>
      </c>
      <c r="S810" s="56"/>
      <c r="T810" s="55"/>
      <c r="U810" s="78"/>
      <c r="V810" s="76" t="str">
        <f t="shared" si="52"/>
        <v/>
      </c>
      <c r="W810" s="48" t="str">
        <f t="shared" si="52"/>
        <v/>
      </c>
      <c r="X810" s="48" t="str">
        <f t="shared" si="52"/>
        <v/>
      </c>
      <c r="Y810" s="48" t="str">
        <f t="shared" si="52"/>
        <v/>
      </c>
      <c r="Z810" s="49" t="str">
        <f t="shared" si="50"/>
        <v/>
      </c>
      <c r="AA810" s="50" t="str">
        <f t="shared" si="53"/>
        <v/>
      </c>
      <c r="AB810" s="48" t="str">
        <f t="shared" si="53"/>
        <v/>
      </c>
      <c r="AC810" s="48" t="str">
        <f t="shared" si="53"/>
        <v/>
      </c>
      <c r="AD810" s="48" t="str">
        <f t="shared" si="53"/>
        <v/>
      </c>
      <c r="AE810" s="48" t="str">
        <f t="shared" si="51"/>
        <v/>
      </c>
    </row>
    <row r="811" spans="1:31" x14ac:dyDescent="0.25">
      <c r="A811" s="2"/>
      <c r="B811" s="2"/>
      <c r="C811" s="2"/>
      <c r="D811" s="2" t="str">
        <f>IF(ISBLANK(C811),"",VLOOKUP(C811,configuration!$G$7:$H$10,2,FALSE))</f>
        <v/>
      </c>
      <c r="E811" s="2"/>
      <c r="F811" s="2"/>
      <c r="G811" s="2"/>
      <c r="H811" s="2" t="str">
        <f>IF(ISBLANK(G811),"",VLOOKUP(G811,configuration!$J$7:$K$10,2,FALSE))</f>
        <v/>
      </c>
      <c r="I811" s="30"/>
      <c r="J811" s="2"/>
      <c r="K811" s="31"/>
      <c r="L811" s="35"/>
      <c r="M811" s="2" t="str">
        <f>IF(ISBLANK(L811),"",VLOOKUP(L811,configuration!$M$7:$N$10,2,FALSE))</f>
        <v/>
      </c>
      <c r="N811" s="30"/>
      <c r="O811" s="2"/>
      <c r="P811" s="31"/>
      <c r="Q811" s="54"/>
      <c r="R811" s="55" t="str">
        <f>IF(ISBLANK(Q811),"",VLOOKUP(Q811,configuration!$P$7:$Q$10,2,FALSE))</f>
        <v/>
      </c>
      <c r="S811" s="56"/>
      <c r="T811" s="55"/>
      <c r="U811" s="78"/>
      <c r="V811" s="76" t="str">
        <f t="shared" si="52"/>
        <v/>
      </c>
      <c r="W811" s="48" t="str">
        <f t="shared" si="52"/>
        <v/>
      </c>
      <c r="X811" s="48" t="str">
        <f t="shared" si="52"/>
        <v/>
      </c>
      <c r="Y811" s="48" t="str">
        <f t="shared" si="52"/>
        <v/>
      </c>
      <c r="Z811" s="49" t="str">
        <f t="shared" si="50"/>
        <v/>
      </c>
      <c r="AA811" s="50" t="str">
        <f t="shared" si="53"/>
        <v/>
      </c>
      <c r="AB811" s="48" t="str">
        <f t="shared" si="53"/>
        <v/>
      </c>
      <c r="AC811" s="48" t="str">
        <f t="shared" si="53"/>
        <v/>
      </c>
      <c r="AD811" s="48" t="str">
        <f t="shared" si="53"/>
        <v/>
      </c>
      <c r="AE811" s="48" t="str">
        <f t="shared" si="51"/>
        <v/>
      </c>
    </row>
    <row r="812" spans="1:31" x14ac:dyDescent="0.25">
      <c r="A812" s="2"/>
      <c r="B812" s="2"/>
      <c r="C812" s="2"/>
      <c r="D812" s="2" t="str">
        <f>IF(ISBLANK(C812),"",VLOOKUP(C812,configuration!$G$7:$H$10,2,FALSE))</f>
        <v/>
      </c>
      <c r="E812" s="2"/>
      <c r="F812" s="2"/>
      <c r="G812" s="2"/>
      <c r="H812" s="2" t="str">
        <f>IF(ISBLANK(G812),"",VLOOKUP(G812,configuration!$J$7:$K$10,2,FALSE))</f>
        <v/>
      </c>
      <c r="I812" s="30"/>
      <c r="J812" s="2"/>
      <c r="K812" s="31"/>
      <c r="L812" s="35"/>
      <c r="M812" s="2" t="str">
        <f>IF(ISBLANK(L812),"",VLOOKUP(L812,configuration!$M$7:$N$10,2,FALSE))</f>
        <v/>
      </c>
      <c r="N812" s="30"/>
      <c r="O812" s="2"/>
      <c r="P812" s="31"/>
      <c r="Q812" s="54"/>
      <c r="R812" s="55" t="str">
        <f>IF(ISBLANK(Q812),"",VLOOKUP(Q812,configuration!$P$7:$Q$10,2,FALSE))</f>
        <v/>
      </c>
      <c r="S812" s="56"/>
      <c r="T812" s="55"/>
      <c r="U812" s="78"/>
      <c r="V812" s="76" t="str">
        <f t="shared" si="52"/>
        <v/>
      </c>
      <c r="W812" s="48" t="str">
        <f t="shared" si="52"/>
        <v/>
      </c>
      <c r="X812" s="48" t="str">
        <f t="shared" si="52"/>
        <v/>
      </c>
      <c r="Y812" s="48" t="str">
        <f t="shared" si="52"/>
        <v/>
      </c>
      <c r="Z812" s="49" t="str">
        <f t="shared" si="50"/>
        <v/>
      </c>
      <c r="AA812" s="50" t="str">
        <f t="shared" si="53"/>
        <v/>
      </c>
      <c r="AB812" s="48" t="str">
        <f t="shared" si="53"/>
        <v/>
      </c>
      <c r="AC812" s="48" t="str">
        <f t="shared" si="53"/>
        <v/>
      </c>
      <c r="AD812" s="48" t="str">
        <f t="shared" si="53"/>
        <v/>
      </c>
      <c r="AE812" s="48" t="str">
        <f t="shared" si="51"/>
        <v/>
      </c>
    </row>
    <row r="813" spans="1:31" x14ac:dyDescent="0.25">
      <c r="A813" s="2"/>
      <c r="B813" s="2"/>
      <c r="C813" s="2"/>
      <c r="D813" s="2" t="str">
        <f>IF(ISBLANK(C813),"",VLOOKUP(C813,configuration!$G$7:$H$10,2,FALSE))</f>
        <v/>
      </c>
      <c r="E813" s="2"/>
      <c r="F813" s="2"/>
      <c r="G813" s="2"/>
      <c r="H813" s="2" t="str">
        <f>IF(ISBLANK(G813),"",VLOOKUP(G813,configuration!$J$7:$K$10,2,FALSE))</f>
        <v/>
      </c>
      <c r="I813" s="30"/>
      <c r="J813" s="2"/>
      <c r="K813" s="31"/>
      <c r="L813" s="35"/>
      <c r="M813" s="2" t="str">
        <f>IF(ISBLANK(L813),"",VLOOKUP(L813,configuration!$M$7:$N$10,2,FALSE))</f>
        <v/>
      </c>
      <c r="N813" s="30"/>
      <c r="O813" s="2"/>
      <c r="P813" s="31"/>
      <c r="Q813" s="54"/>
      <c r="R813" s="55" t="str">
        <f>IF(ISBLANK(Q813),"",VLOOKUP(Q813,configuration!$P$7:$Q$10,2,FALSE))</f>
        <v/>
      </c>
      <c r="S813" s="56"/>
      <c r="T813" s="55"/>
      <c r="U813" s="78"/>
      <c r="V813" s="76" t="str">
        <f t="shared" si="52"/>
        <v/>
      </c>
      <c r="W813" s="48" t="str">
        <f t="shared" si="52"/>
        <v/>
      </c>
      <c r="X813" s="48" t="str">
        <f t="shared" si="52"/>
        <v/>
      </c>
      <c r="Y813" s="48" t="str">
        <f t="shared" si="52"/>
        <v/>
      </c>
      <c r="Z813" s="49" t="str">
        <f t="shared" si="50"/>
        <v/>
      </c>
      <c r="AA813" s="50" t="str">
        <f t="shared" si="53"/>
        <v/>
      </c>
      <c r="AB813" s="48" t="str">
        <f t="shared" si="53"/>
        <v/>
      </c>
      <c r="AC813" s="48" t="str">
        <f t="shared" si="53"/>
        <v/>
      </c>
      <c r="AD813" s="48" t="str">
        <f t="shared" si="53"/>
        <v/>
      </c>
      <c r="AE813" s="48" t="str">
        <f t="shared" si="51"/>
        <v/>
      </c>
    </row>
    <row r="814" spans="1:31" x14ac:dyDescent="0.25">
      <c r="A814" s="2"/>
      <c r="B814" s="2"/>
      <c r="C814" s="2"/>
      <c r="D814" s="2" t="str">
        <f>IF(ISBLANK(C814),"",VLOOKUP(C814,configuration!$G$7:$H$10,2,FALSE))</f>
        <v/>
      </c>
      <c r="E814" s="2"/>
      <c r="F814" s="2"/>
      <c r="G814" s="2"/>
      <c r="H814" s="2" t="str">
        <f>IF(ISBLANK(G814),"",VLOOKUP(G814,configuration!$J$7:$K$10,2,FALSE))</f>
        <v/>
      </c>
      <c r="I814" s="30"/>
      <c r="J814" s="2"/>
      <c r="K814" s="31"/>
      <c r="L814" s="35"/>
      <c r="M814" s="2" t="str">
        <f>IF(ISBLANK(L814),"",VLOOKUP(L814,configuration!$M$7:$N$10,2,FALSE))</f>
        <v/>
      </c>
      <c r="N814" s="30"/>
      <c r="O814" s="2"/>
      <c r="P814" s="31"/>
      <c r="Q814" s="54"/>
      <c r="R814" s="55" t="str">
        <f>IF(ISBLANK(Q814),"",VLOOKUP(Q814,configuration!$P$7:$Q$10,2,FALSE))</f>
        <v/>
      </c>
      <c r="S814" s="56"/>
      <c r="T814" s="55"/>
      <c r="U814" s="78"/>
      <c r="V814" s="76" t="str">
        <f t="shared" si="52"/>
        <v/>
      </c>
      <c r="W814" s="48" t="str">
        <f t="shared" si="52"/>
        <v/>
      </c>
      <c r="X814" s="48" t="str">
        <f t="shared" si="52"/>
        <v/>
      </c>
      <c r="Y814" s="48" t="str">
        <f t="shared" si="52"/>
        <v/>
      </c>
      <c r="Z814" s="49" t="str">
        <f t="shared" si="50"/>
        <v/>
      </c>
      <c r="AA814" s="50" t="str">
        <f t="shared" si="53"/>
        <v/>
      </c>
      <c r="AB814" s="48" t="str">
        <f t="shared" si="53"/>
        <v/>
      </c>
      <c r="AC814" s="48" t="str">
        <f t="shared" si="53"/>
        <v/>
      </c>
      <c r="AD814" s="48" t="str">
        <f t="shared" si="53"/>
        <v/>
      </c>
      <c r="AE814" s="48" t="str">
        <f t="shared" si="51"/>
        <v/>
      </c>
    </row>
    <row r="815" spans="1:31" x14ac:dyDescent="0.25">
      <c r="A815" s="2"/>
      <c r="B815" s="2"/>
      <c r="C815" s="2"/>
      <c r="D815" s="2" t="str">
        <f>IF(ISBLANK(C815),"",VLOOKUP(C815,configuration!$G$7:$H$10,2,FALSE))</f>
        <v/>
      </c>
      <c r="E815" s="2"/>
      <c r="F815" s="2"/>
      <c r="G815" s="2"/>
      <c r="H815" s="2" t="str">
        <f>IF(ISBLANK(G815),"",VLOOKUP(G815,configuration!$J$7:$K$10,2,FALSE))</f>
        <v/>
      </c>
      <c r="I815" s="30"/>
      <c r="J815" s="2"/>
      <c r="K815" s="31"/>
      <c r="L815" s="35"/>
      <c r="M815" s="2" t="str">
        <f>IF(ISBLANK(L815),"",VLOOKUP(L815,configuration!$M$7:$N$10,2,FALSE))</f>
        <v/>
      </c>
      <c r="N815" s="30"/>
      <c r="O815" s="2"/>
      <c r="P815" s="31"/>
      <c r="Q815" s="54"/>
      <c r="R815" s="55" t="str">
        <f>IF(ISBLANK(Q815),"",VLOOKUP(Q815,configuration!$P$7:$Q$10,2,FALSE))</f>
        <v/>
      </c>
      <c r="S815" s="56"/>
      <c r="T815" s="55"/>
      <c r="U815" s="78"/>
      <c r="V815" s="76" t="str">
        <f t="shared" si="52"/>
        <v/>
      </c>
      <c r="W815" s="48" t="str">
        <f t="shared" si="52"/>
        <v/>
      </c>
      <c r="X815" s="48" t="str">
        <f t="shared" si="52"/>
        <v/>
      </c>
      <c r="Y815" s="48" t="str">
        <f t="shared" si="52"/>
        <v/>
      </c>
      <c r="Z815" s="49" t="str">
        <f t="shared" si="50"/>
        <v/>
      </c>
      <c r="AA815" s="50" t="str">
        <f t="shared" si="53"/>
        <v/>
      </c>
      <c r="AB815" s="48" t="str">
        <f t="shared" si="53"/>
        <v/>
      </c>
      <c r="AC815" s="48" t="str">
        <f t="shared" si="53"/>
        <v/>
      </c>
      <c r="AD815" s="48" t="str">
        <f t="shared" si="53"/>
        <v/>
      </c>
      <c r="AE815" s="48" t="str">
        <f t="shared" si="51"/>
        <v/>
      </c>
    </row>
    <row r="816" spans="1:31" x14ac:dyDescent="0.25">
      <c r="A816" s="2"/>
      <c r="B816" s="2"/>
      <c r="C816" s="2"/>
      <c r="D816" s="2" t="str">
        <f>IF(ISBLANK(C816),"",VLOOKUP(C816,configuration!$G$7:$H$10,2,FALSE))</f>
        <v/>
      </c>
      <c r="E816" s="2"/>
      <c r="F816" s="2"/>
      <c r="G816" s="2"/>
      <c r="H816" s="2" t="str">
        <f>IF(ISBLANK(G816),"",VLOOKUP(G816,configuration!$J$7:$K$10,2,FALSE))</f>
        <v/>
      </c>
      <c r="I816" s="30"/>
      <c r="J816" s="2"/>
      <c r="K816" s="31"/>
      <c r="L816" s="35"/>
      <c r="M816" s="2" t="str">
        <f>IF(ISBLANK(L816),"",VLOOKUP(L816,configuration!$M$7:$N$10,2,FALSE))</f>
        <v/>
      </c>
      <c r="N816" s="30"/>
      <c r="O816" s="2"/>
      <c r="P816" s="31"/>
      <c r="Q816" s="54"/>
      <c r="R816" s="55" t="str">
        <f>IF(ISBLANK(Q816),"",VLOOKUP(Q816,configuration!$P$7:$Q$10,2,FALSE))</f>
        <v/>
      </c>
      <c r="S816" s="56"/>
      <c r="T816" s="55"/>
      <c r="U816" s="78"/>
      <c r="V816" s="76" t="str">
        <f t="shared" si="52"/>
        <v/>
      </c>
      <c r="W816" s="48" t="str">
        <f t="shared" si="52"/>
        <v/>
      </c>
      <c r="X816" s="48" t="str">
        <f t="shared" si="52"/>
        <v/>
      </c>
      <c r="Y816" s="48" t="str">
        <f t="shared" si="52"/>
        <v/>
      </c>
      <c r="Z816" s="49" t="str">
        <f t="shared" si="50"/>
        <v/>
      </c>
      <c r="AA816" s="50" t="str">
        <f t="shared" si="53"/>
        <v/>
      </c>
      <c r="AB816" s="48" t="str">
        <f t="shared" si="53"/>
        <v/>
      </c>
      <c r="AC816" s="48" t="str">
        <f t="shared" si="53"/>
        <v/>
      </c>
      <c r="AD816" s="48" t="str">
        <f t="shared" si="53"/>
        <v/>
      </c>
      <c r="AE816" s="48" t="str">
        <f t="shared" si="51"/>
        <v/>
      </c>
    </row>
    <row r="817" spans="1:31" x14ac:dyDescent="0.25">
      <c r="A817" s="2"/>
      <c r="B817" s="2"/>
      <c r="C817" s="2"/>
      <c r="D817" s="2" t="str">
        <f>IF(ISBLANK(C817),"",VLOOKUP(C817,configuration!$G$7:$H$10,2,FALSE))</f>
        <v/>
      </c>
      <c r="E817" s="2"/>
      <c r="F817" s="2"/>
      <c r="G817" s="2"/>
      <c r="H817" s="2" t="str">
        <f>IF(ISBLANK(G817),"",VLOOKUP(G817,configuration!$J$7:$K$10,2,FALSE))</f>
        <v/>
      </c>
      <c r="I817" s="30"/>
      <c r="J817" s="2"/>
      <c r="K817" s="31"/>
      <c r="L817" s="35"/>
      <c r="M817" s="2" t="str">
        <f>IF(ISBLANK(L817),"",VLOOKUP(L817,configuration!$M$7:$N$10,2,FALSE))</f>
        <v/>
      </c>
      <c r="N817" s="30"/>
      <c r="O817" s="2"/>
      <c r="P817" s="31"/>
      <c r="Q817" s="54"/>
      <c r="R817" s="55" t="str">
        <f>IF(ISBLANK(Q817),"",VLOOKUP(Q817,configuration!$P$7:$Q$10,2,FALSE))</f>
        <v/>
      </c>
      <c r="S817" s="56"/>
      <c r="T817" s="55"/>
      <c r="U817" s="78"/>
      <c r="V817" s="76" t="str">
        <f t="shared" si="52"/>
        <v/>
      </c>
      <c r="W817" s="48" t="str">
        <f t="shared" si="52"/>
        <v/>
      </c>
      <c r="X817" s="48" t="str">
        <f t="shared" si="52"/>
        <v/>
      </c>
      <c r="Y817" s="48" t="str">
        <f t="shared" si="52"/>
        <v/>
      </c>
      <c r="Z817" s="49" t="str">
        <f t="shared" si="50"/>
        <v/>
      </c>
      <c r="AA817" s="50" t="str">
        <f t="shared" si="53"/>
        <v/>
      </c>
      <c r="AB817" s="48" t="str">
        <f t="shared" si="53"/>
        <v/>
      </c>
      <c r="AC817" s="48" t="str">
        <f t="shared" si="53"/>
        <v/>
      </c>
      <c r="AD817" s="48" t="str">
        <f t="shared" si="53"/>
        <v/>
      </c>
      <c r="AE817" s="48" t="str">
        <f t="shared" si="51"/>
        <v/>
      </c>
    </row>
    <row r="818" spans="1:31" x14ac:dyDescent="0.25">
      <c r="A818" s="2"/>
      <c r="B818" s="2"/>
      <c r="C818" s="2"/>
      <c r="D818" s="2" t="str">
        <f>IF(ISBLANK(C818),"",VLOOKUP(C818,configuration!$G$7:$H$10,2,FALSE))</f>
        <v/>
      </c>
      <c r="E818" s="2"/>
      <c r="F818" s="2"/>
      <c r="G818" s="2"/>
      <c r="H818" s="2" t="str">
        <f>IF(ISBLANK(G818),"",VLOOKUP(G818,configuration!$J$7:$K$10,2,FALSE))</f>
        <v/>
      </c>
      <c r="I818" s="30"/>
      <c r="J818" s="2"/>
      <c r="K818" s="31"/>
      <c r="L818" s="35"/>
      <c r="M818" s="2" t="str">
        <f>IF(ISBLANK(L818),"",VLOOKUP(L818,configuration!$M$7:$N$10,2,FALSE))</f>
        <v/>
      </c>
      <c r="N818" s="30"/>
      <c r="O818" s="2"/>
      <c r="P818" s="31"/>
      <c r="Q818" s="54"/>
      <c r="R818" s="55" t="str">
        <f>IF(ISBLANK(Q818),"",VLOOKUP(Q818,configuration!$P$7:$Q$10,2,FALSE))</f>
        <v/>
      </c>
      <c r="S818" s="56"/>
      <c r="T818" s="55"/>
      <c r="U818" s="78"/>
      <c r="V818" s="76" t="str">
        <f t="shared" si="52"/>
        <v/>
      </c>
      <c r="W818" s="48" t="str">
        <f t="shared" si="52"/>
        <v/>
      </c>
      <c r="X818" s="48" t="str">
        <f t="shared" si="52"/>
        <v/>
      </c>
      <c r="Y818" s="48" t="str">
        <f t="shared" si="52"/>
        <v/>
      </c>
      <c r="Z818" s="49" t="str">
        <f t="shared" si="50"/>
        <v/>
      </c>
      <c r="AA818" s="50" t="str">
        <f t="shared" si="53"/>
        <v/>
      </c>
      <c r="AB818" s="48" t="str">
        <f t="shared" si="53"/>
        <v/>
      </c>
      <c r="AC818" s="48" t="str">
        <f t="shared" si="53"/>
        <v/>
      </c>
      <c r="AD818" s="48" t="str">
        <f t="shared" si="53"/>
        <v/>
      </c>
      <c r="AE818" s="48" t="str">
        <f t="shared" si="51"/>
        <v/>
      </c>
    </row>
    <row r="819" spans="1:31" x14ac:dyDescent="0.25">
      <c r="A819" s="2"/>
      <c r="B819" s="2"/>
      <c r="C819" s="2"/>
      <c r="D819" s="2" t="str">
        <f>IF(ISBLANK(C819),"",VLOOKUP(C819,configuration!$G$7:$H$10,2,FALSE))</f>
        <v/>
      </c>
      <c r="E819" s="2"/>
      <c r="F819" s="2"/>
      <c r="G819" s="2"/>
      <c r="H819" s="2" t="str">
        <f>IF(ISBLANK(G819),"",VLOOKUP(G819,configuration!$J$7:$K$10,2,FALSE))</f>
        <v/>
      </c>
      <c r="I819" s="30"/>
      <c r="J819" s="2"/>
      <c r="K819" s="31"/>
      <c r="L819" s="35"/>
      <c r="M819" s="2" t="str">
        <f>IF(ISBLANK(L819),"",VLOOKUP(L819,configuration!$M$7:$N$10,2,FALSE))</f>
        <v/>
      </c>
      <c r="N819" s="30"/>
      <c r="O819" s="2"/>
      <c r="P819" s="31"/>
      <c r="Q819" s="54"/>
      <c r="R819" s="55" t="str">
        <f>IF(ISBLANK(Q819),"",VLOOKUP(Q819,configuration!$P$7:$Q$10,2,FALSE))</f>
        <v/>
      </c>
      <c r="S819" s="56"/>
      <c r="T819" s="55"/>
      <c r="U819" s="78"/>
      <c r="V819" s="76" t="str">
        <f t="shared" si="52"/>
        <v/>
      </c>
      <c r="W819" s="48" t="str">
        <f t="shared" si="52"/>
        <v/>
      </c>
      <c r="X819" s="48" t="str">
        <f t="shared" si="52"/>
        <v/>
      </c>
      <c r="Y819" s="48" t="str">
        <f t="shared" si="52"/>
        <v/>
      </c>
      <c r="Z819" s="49" t="str">
        <f t="shared" si="50"/>
        <v/>
      </c>
      <c r="AA819" s="50" t="str">
        <f t="shared" si="53"/>
        <v/>
      </c>
      <c r="AB819" s="48" t="str">
        <f t="shared" si="53"/>
        <v/>
      </c>
      <c r="AC819" s="48" t="str">
        <f t="shared" si="53"/>
        <v/>
      </c>
      <c r="AD819" s="48" t="str">
        <f t="shared" si="53"/>
        <v/>
      </c>
      <c r="AE819" s="48" t="str">
        <f t="shared" si="51"/>
        <v/>
      </c>
    </row>
    <row r="820" spans="1:31" x14ac:dyDescent="0.25">
      <c r="A820" s="2"/>
      <c r="B820" s="2"/>
      <c r="C820" s="2"/>
      <c r="D820" s="2" t="str">
        <f>IF(ISBLANK(C820),"",VLOOKUP(C820,configuration!$G$7:$H$10,2,FALSE))</f>
        <v/>
      </c>
      <c r="E820" s="2"/>
      <c r="F820" s="2"/>
      <c r="G820" s="2"/>
      <c r="H820" s="2" t="str">
        <f>IF(ISBLANK(G820),"",VLOOKUP(G820,configuration!$J$7:$K$10,2,FALSE))</f>
        <v/>
      </c>
      <c r="I820" s="30"/>
      <c r="J820" s="2"/>
      <c r="K820" s="31"/>
      <c r="L820" s="35"/>
      <c r="M820" s="2" t="str">
        <f>IF(ISBLANK(L820),"",VLOOKUP(L820,configuration!$M$7:$N$10,2,FALSE))</f>
        <v/>
      </c>
      <c r="N820" s="30"/>
      <c r="O820" s="2"/>
      <c r="P820" s="31"/>
      <c r="Q820" s="54"/>
      <c r="R820" s="55" t="str">
        <f>IF(ISBLANK(Q820),"",VLOOKUP(Q820,configuration!$P$7:$Q$10,2,FALSE))</f>
        <v/>
      </c>
      <c r="S820" s="56"/>
      <c r="T820" s="55"/>
      <c r="U820" s="78"/>
      <c r="V820" s="76" t="str">
        <f t="shared" si="52"/>
        <v/>
      </c>
      <c r="W820" s="48" t="str">
        <f t="shared" si="52"/>
        <v/>
      </c>
      <c r="X820" s="48" t="str">
        <f t="shared" si="52"/>
        <v/>
      </c>
      <c r="Y820" s="48" t="str">
        <f t="shared" si="52"/>
        <v/>
      </c>
      <c r="Z820" s="49" t="str">
        <f t="shared" si="50"/>
        <v/>
      </c>
      <c r="AA820" s="50" t="str">
        <f t="shared" si="53"/>
        <v/>
      </c>
      <c r="AB820" s="48" t="str">
        <f t="shared" si="53"/>
        <v/>
      </c>
      <c r="AC820" s="48" t="str">
        <f t="shared" si="53"/>
        <v/>
      </c>
      <c r="AD820" s="48" t="str">
        <f t="shared" si="53"/>
        <v/>
      </c>
      <c r="AE820" s="48" t="str">
        <f t="shared" si="51"/>
        <v/>
      </c>
    </row>
    <row r="821" spans="1:31" x14ac:dyDescent="0.25">
      <c r="A821" s="2"/>
      <c r="B821" s="2"/>
      <c r="C821" s="2"/>
      <c r="D821" s="2" t="str">
        <f>IF(ISBLANK(C821),"",VLOOKUP(C821,configuration!$G$7:$H$10,2,FALSE))</f>
        <v/>
      </c>
      <c r="E821" s="2"/>
      <c r="F821" s="2"/>
      <c r="G821" s="2"/>
      <c r="H821" s="2" t="str">
        <f>IF(ISBLANK(G821),"",VLOOKUP(G821,configuration!$J$7:$K$10,2,FALSE))</f>
        <v/>
      </c>
      <c r="I821" s="30"/>
      <c r="J821" s="2"/>
      <c r="K821" s="31"/>
      <c r="L821" s="35"/>
      <c r="M821" s="2" t="str">
        <f>IF(ISBLANK(L821),"",VLOOKUP(L821,configuration!$M$7:$N$10,2,FALSE))</f>
        <v/>
      </c>
      <c r="N821" s="30"/>
      <c r="O821" s="2"/>
      <c r="P821" s="31"/>
      <c r="Q821" s="54"/>
      <c r="R821" s="55" t="str">
        <f>IF(ISBLANK(Q821),"",VLOOKUP(Q821,configuration!$P$7:$Q$10,2,FALSE))</f>
        <v/>
      </c>
      <c r="S821" s="56"/>
      <c r="T821" s="55"/>
      <c r="U821" s="78"/>
      <c r="V821" s="76" t="str">
        <f t="shared" si="52"/>
        <v/>
      </c>
      <c r="W821" s="48" t="str">
        <f t="shared" si="52"/>
        <v/>
      </c>
      <c r="X821" s="48" t="str">
        <f t="shared" si="52"/>
        <v/>
      </c>
      <c r="Y821" s="48" t="str">
        <f t="shared" si="52"/>
        <v/>
      </c>
      <c r="Z821" s="49" t="str">
        <f t="shared" si="50"/>
        <v/>
      </c>
      <c r="AA821" s="50" t="str">
        <f t="shared" si="53"/>
        <v/>
      </c>
      <c r="AB821" s="48" t="str">
        <f t="shared" si="53"/>
        <v/>
      </c>
      <c r="AC821" s="48" t="str">
        <f t="shared" si="53"/>
        <v/>
      </c>
      <c r="AD821" s="48" t="str">
        <f t="shared" si="53"/>
        <v/>
      </c>
      <c r="AE821" s="48" t="str">
        <f t="shared" si="51"/>
        <v/>
      </c>
    </row>
    <row r="822" spans="1:31" x14ac:dyDescent="0.25">
      <c r="A822" s="2"/>
      <c r="B822" s="2"/>
      <c r="C822" s="2"/>
      <c r="D822" s="2" t="str">
        <f>IF(ISBLANK(C822),"",VLOOKUP(C822,configuration!$G$7:$H$10,2,FALSE))</f>
        <v/>
      </c>
      <c r="E822" s="2"/>
      <c r="F822" s="2"/>
      <c r="G822" s="2"/>
      <c r="H822" s="2" t="str">
        <f>IF(ISBLANK(G822),"",VLOOKUP(G822,configuration!$J$7:$K$10,2,FALSE))</f>
        <v/>
      </c>
      <c r="I822" s="30"/>
      <c r="J822" s="2"/>
      <c r="K822" s="31"/>
      <c r="L822" s="35"/>
      <c r="M822" s="2" t="str">
        <f>IF(ISBLANK(L822),"",VLOOKUP(L822,configuration!$M$7:$N$10,2,FALSE))</f>
        <v/>
      </c>
      <c r="N822" s="30"/>
      <c r="O822" s="2"/>
      <c r="P822" s="31"/>
      <c r="Q822" s="54"/>
      <c r="R822" s="55" t="str">
        <f>IF(ISBLANK(Q822),"",VLOOKUP(Q822,configuration!$P$7:$Q$10,2,FALSE))</f>
        <v/>
      </c>
      <c r="S822" s="56"/>
      <c r="T822" s="55"/>
      <c r="U822" s="78"/>
      <c r="V822" s="76" t="str">
        <f t="shared" si="52"/>
        <v/>
      </c>
      <c r="W822" s="48" t="str">
        <f t="shared" si="52"/>
        <v/>
      </c>
      <c r="X822" s="48" t="str">
        <f t="shared" si="52"/>
        <v/>
      </c>
      <c r="Y822" s="48" t="str">
        <f t="shared" si="52"/>
        <v/>
      </c>
      <c r="Z822" s="49" t="str">
        <f t="shared" si="50"/>
        <v/>
      </c>
      <c r="AA822" s="50" t="str">
        <f t="shared" si="53"/>
        <v/>
      </c>
      <c r="AB822" s="48" t="str">
        <f t="shared" si="53"/>
        <v/>
      </c>
      <c r="AC822" s="48" t="str">
        <f t="shared" si="53"/>
        <v/>
      </c>
      <c r="AD822" s="48" t="str">
        <f t="shared" si="53"/>
        <v/>
      </c>
      <c r="AE822" s="48" t="str">
        <f t="shared" si="51"/>
        <v/>
      </c>
    </row>
    <row r="823" spans="1:31" x14ac:dyDescent="0.25">
      <c r="A823" s="2"/>
      <c r="B823" s="2"/>
      <c r="C823" s="2"/>
      <c r="D823" s="2" t="str">
        <f>IF(ISBLANK(C823),"",VLOOKUP(C823,configuration!$G$7:$H$10,2,FALSE))</f>
        <v/>
      </c>
      <c r="E823" s="2"/>
      <c r="F823" s="2"/>
      <c r="G823" s="2"/>
      <c r="H823" s="2" t="str">
        <f>IF(ISBLANK(G823),"",VLOOKUP(G823,configuration!$J$7:$K$10,2,FALSE))</f>
        <v/>
      </c>
      <c r="I823" s="30"/>
      <c r="J823" s="2"/>
      <c r="K823" s="31"/>
      <c r="L823" s="35"/>
      <c r="M823" s="2" t="str">
        <f>IF(ISBLANK(L823),"",VLOOKUP(L823,configuration!$M$7:$N$10,2,FALSE))</f>
        <v/>
      </c>
      <c r="N823" s="30"/>
      <c r="O823" s="2"/>
      <c r="P823" s="31"/>
      <c r="Q823" s="54"/>
      <c r="R823" s="55" t="str">
        <f>IF(ISBLANK(Q823),"",VLOOKUP(Q823,configuration!$P$7:$Q$10,2,FALSE))</f>
        <v/>
      </c>
      <c r="S823" s="56"/>
      <c r="T823" s="55"/>
      <c r="U823" s="78"/>
      <c r="V823" s="76" t="str">
        <f t="shared" si="52"/>
        <v/>
      </c>
      <c r="W823" s="48" t="str">
        <f t="shared" si="52"/>
        <v/>
      </c>
      <c r="X823" s="48" t="str">
        <f t="shared" si="52"/>
        <v/>
      </c>
      <c r="Y823" s="48" t="str">
        <f t="shared" si="52"/>
        <v/>
      </c>
      <c r="Z823" s="49" t="str">
        <f t="shared" si="50"/>
        <v/>
      </c>
      <c r="AA823" s="50" t="str">
        <f t="shared" si="53"/>
        <v/>
      </c>
      <c r="AB823" s="48" t="str">
        <f t="shared" si="53"/>
        <v/>
      </c>
      <c r="AC823" s="48" t="str">
        <f t="shared" si="53"/>
        <v/>
      </c>
      <c r="AD823" s="48" t="str">
        <f t="shared" si="53"/>
        <v/>
      </c>
      <c r="AE823" s="48" t="str">
        <f t="shared" si="51"/>
        <v/>
      </c>
    </row>
    <row r="824" spans="1:31" x14ac:dyDescent="0.25">
      <c r="A824" s="2"/>
      <c r="B824" s="2"/>
      <c r="C824" s="2"/>
      <c r="D824" s="2" t="str">
        <f>IF(ISBLANK(C824),"",VLOOKUP(C824,configuration!$G$7:$H$10,2,FALSE))</f>
        <v/>
      </c>
      <c r="E824" s="2"/>
      <c r="F824" s="2"/>
      <c r="G824" s="2"/>
      <c r="H824" s="2" t="str">
        <f>IF(ISBLANK(G824),"",VLOOKUP(G824,configuration!$J$7:$K$10,2,FALSE))</f>
        <v/>
      </c>
      <c r="I824" s="30"/>
      <c r="J824" s="2"/>
      <c r="K824" s="31"/>
      <c r="L824" s="35"/>
      <c r="M824" s="2" t="str">
        <f>IF(ISBLANK(L824),"",VLOOKUP(L824,configuration!$M$7:$N$10,2,FALSE))</f>
        <v/>
      </c>
      <c r="N824" s="30"/>
      <c r="O824" s="2"/>
      <c r="P824" s="31"/>
      <c r="Q824" s="54"/>
      <c r="R824" s="55" t="str">
        <f>IF(ISBLANK(Q824),"",VLOOKUP(Q824,configuration!$P$7:$Q$10,2,FALSE))</f>
        <v/>
      </c>
      <c r="S824" s="56"/>
      <c r="T824" s="55"/>
      <c r="U824" s="78"/>
      <c r="V824" s="76" t="str">
        <f t="shared" si="52"/>
        <v/>
      </c>
      <c r="W824" s="48" t="str">
        <f t="shared" si="52"/>
        <v/>
      </c>
      <c r="X824" s="48" t="str">
        <f t="shared" si="52"/>
        <v/>
      </c>
      <c r="Y824" s="48" t="str">
        <f t="shared" si="52"/>
        <v/>
      </c>
      <c r="Z824" s="49" t="str">
        <f t="shared" si="50"/>
        <v/>
      </c>
      <c r="AA824" s="50" t="str">
        <f t="shared" si="53"/>
        <v/>
      </c>
      <c r="AB824" s="48" t="str">
        <f t="shared" si="53"/>
        <v/>
      </c>
      <c r="AC824" s="48" t="str">
        <f t="shared" si="53"/>
        <v/>
      </c>
      <c r="AD824" s="48" t="str">
        <f t="shared" si="53"/>
        <v/>
      </c>
      <c r="AE824" s="48" t="str">
        <f t="shared" si="51"/>
        <v/>
      </c>
    </row>
    <row r="825" spans="1:31" x14ac:dyDescent="0.25">
      <c r="A825" s="2"/>
      <c r="B825" s="2"/>
      <c r="C825" s="2"/>
      <c r="D825" s="2" t="str">
        <f>IF(ISBLANK(C825),"",VLOOKUP(C825,configuration!$G$7:$H$10,2,FALSE))</f>
        <v/>
      </c>
      <c r="E825" s="2"/>
      <c r="F825" s="2"/>
      <c r="G825" s="2"/>
      <c r="H825" s="2" t="str">
        <f>IF(ISBLANK(G825),"",VLOOKUP(G825,configuration!$J$7:$K$10,2,FALSE))</f>
        <v/>
      </c>
      <c r="I825" s="30"/>
      <c r="J825" s="2"/>
      <c r="K825" s="31"/>
      <c r="L825" s="35"/>
      <c r="M825" s="2" t="str">
        <f>IF(ISBLANK(L825),"",VLOOKUP(L825,configuration!$M$7:$N$10,2,FALSE))</f>
        <v/>
      </c>
      <c r="N825" s="30"/>
      <c r="O825" s="2"/>
      <c r="P825" s="31"/>
      <c r="Q825" s="54"/>
      <c r="R825" s="55" t="str">
        <f>IF(ISBLANK(Q825),"",VLOOKUP(Q825,configuration!$P$7:$Q$10,2,FALSE))</f>
        <v/>
      </c>
      <c r="S825" s="56"/>
      <c r="T825" s="55"/>
      <c r="U825" s="78"/>
      <c r="V825" s="76" t="str">
        <f t="shared" si="52"/>
        <v/>
      </c>
      <c r="W825" s="48" t="str">
        <f t="shared" si="52"/>
        <v/>
      </c>
      <c r="X825" s="48" t="str">
        <f t="shared" si="52"/>
        <v/>
      </c>
      <c r="Y825" s="48" t="str">
        <f t="shared" si="52"/>
        <v/>
      </c>
      <c r="Z825" s="49" t="str">
        <f t="shared" si="50"/>
        <v/>
      </c>
      <c r="AA825" s="50" t="str">
        <f t="shared" si="53"/>
        <v/>
      </c>
      <c r="AB825" s="48" t="str">
        <f t="shared" si="53"/>
        <v/>
      </c>
      <c r="AC825" s="48" t="str">
        <f t="shared" si="53"/>
        <v/>
      </c>
      <c r="AD825" s="48" t="str">
        <f t="shared" si="53"/>
        <v/>
      </c>
      <c r="AE825" s="48" t="str">
        <f t="shared" si="51"/>
        <v/>
      </c>
    </row>
    <row r="826" spans="1:31" x14ac:dyDescent="0.25">
      <c r="A826" s="2"/>
      <c r="B826" s="2"/>
      <c r="C826" s="2"/>
      <c r="D826" s="2" t="str">
        <f>IF(ISBLANK(C826),"",VLOOKUP(C826,configuration!$G$7:$H$10,2,FALSE))</f>
        <v/>
      </c>
      <c r="E826" s="2"/>
      <c r="F826" s="2"/>
      <c r="G826" s="2"/>
      <c r="H826" s="2" t="str">
        <f>IF(ISBLANK(G826),"",VLOOKUP(G826,configuration!$J$7:$K$10,2,FALSE))</f>
        <v/>
      </c>
      <c r="I826" s="30"/>
      <c r="J826" s="2"/>
      <c r="K826" s="31"/>
      <c r="L826" s="35"/>
      <c r="M826" s="2" t="str">
        <f>IF(ISBLANK(L826),"",VLOOKUP(L826,configuration!$M$7:$N$10,2,FALSE))</f>
        <v/>
      </c>
      <c r="N826" s="30"/>
      <c r="O826" s="2"/>
      <c r="P826" s="31"/>
      <c r="Q826" s="54"/>
      <c r="R826" s="55" t="str">
        <f>IF(ISBLANK(Q826),"",VLOOKUP(Q826,configuration!$P$7:$Q$10,2,FALSE))</f>
        <v/>
      </c>
      <c r="S826" s="56"/>
      <c r="T826" s="55"/>
      <c r="U826" s="78"/>
      <c r="V826" s="76" t="str">
        <f t="shared" si="52"/>
        <v/>
      </c>
      <c r="W826" s="48" t="str">
        <f t="shared" si="52"/>
        <v/>
      </c>
      <c r="X826" s="48" t="str">
        <f t="shared" si="52"/>
        <v/>
      </c>
      <c r="Y826" s="48" t="str">
        <f t="shared" si="52"/>
        <v/>
      </c>
      <c r="Z826" s="49" t="str">
        <f t="shared" si="50"/>
        <v/>
      </c>
      <c r="AA826" s="50" t="str">
        <f t="shared" si="53"/>
        <v/>
      </c>
      <c r="AB826" s="48" t="str">
        <f t="shared" si="53"/>
        <v/>
      </c>
      <c r="AC826" s="48" t="str">
        <f t="shared" si="53"/>
        <v/>
      </c>
      <c r="AD826" s="48" t="str">
        <f t="shared" si="53"/>
        <v/>
      </c>
      <c r="AE826" s="48" t="str">
        <f t="shared" si="51"/>
        <v/>
      </c>
    </row>
    <row r="827" spans="1:31" x14ac:dyDescent="0.25">
      <c r="A827" s="2"/>
      <c r="B827" s="2"/>
      <c r="C827" s="2"/>
      <c r="D827" s="2" t="str">
        <f>IF(ISBLANK(C827),"",VLOOKUP(C827,configuration!$G$7:$H$10,2,FALSE))</f>
        <v/>
      </c>
      <c r="E827" s="2"/>
      <c r="F827" s="2"/>
      <c r="G827" s="2"/>
      <c r="H827" s="2" t="str">
        <f>IF(ISBLANK(G827),"",VLOOKUP(G827,configuration!$J$7:$K$10,2,FALSE))</f>
        <v/>
      </c>
      <c r="I827" s="30"/>
      <c r="J827" s="2"/>
      <c r="K827" s="31"/>
      <c r="L827" s="35"/>
      <c r="M827" s="2" t="str">
        <f>IF(ISBLANK(L827),"",VLOOKUP(L827,configuration!$M$7:$N$10,2,FALSE))</f>
        <v/>
      </c>
      <c r="N827" s="30"/>
      <c r="O827" s="2"/>
      <c r="P827" s="31"/>
      <c r="Q827" s="54"/>
      <c r="R827" s="55" t="str">
        <f>IF(ISBLANK(Q827),"",VLOOKUP(Q827,configuration!$P$7:$Q$10,2,FALSE))</f>
        <v/>
      </c>
      <c r="S827" s="56"/>
      <c r="T827" s="55"/>
      <c r="U827" s="78"/>
      <c r="V827" s="76" t="str">
        <f t="shared" si="52"/>
        <v/>
      </c>
      <c r="W827" s="48" t="str">
        <f t="shared" si="52"/>
        <v/>
      </c>
      <c r="X827" s="48" t="str">
        <f t="shared" si="52"/>
        <v/>
      </c>
      <c r="Y827" s="48" t="str">
        <f t="shared" si="52"/>
        <v/>
      </c>
      <c r="Z827" s="49" t="str">
        <f t="shared" si="50"/>
        <v/>
      </c>
      <c r="AA827" s="50" t="str">
        <f t="shared" si="53"/>
        <v/>
      </c>
      <c r="AB827" s="48" t="str">
        <f t="shared" si="53"/>
        <v/>
      </c>
      <c r="AC827" s="48" t="str">
        <f t="shared" si="53"/>
        <v/>
      </c>
      <c r="AD827" s="48" t="str">
        <f t="shared" si="53"/>
        <v/>
      </c>
      <c r="AE827" s="48" t="str">
        <f t="shared" si="51"/>
        <v/>
      </c>
    </row>
    <row r="828" spans="1:31" x14ac:dyDescent="0.25">
      <c r="A828" s="2"/>
      <c r="B828" s="2"/>
      <c r="C828" s="2"/>
      <c r="D828" s="2" t="str">
        <f>IF(ISBLANK(C828),"",VLOOKUP(C828,configuration!$G$7:$H$10,2,FALSE))</f>
        <v/>
      </c>
      <c r="E828" s="2"/>
      <c r="F828" s="2"/>
      <c r="G828" s="2"/>
      <c r="H828" s="2" t="str">
        <f>IF(ISBLANK(G828),"",VLOOKUP(G828,configuration!$J$7:$K$10,2,FALSE))</f>
        <v/>
      </c>
      <c r="I828" s="30"/>
      <c r="J828" s="2"/>
      <c r="K828" s="31"/>
      <c r="L828" s="35"/>
      <c r="M828" s="2" t="str">
        <f>IF(ISBLANK(L828),"",VLOOKUP(L828,configuration!$M$7:$N$10,2,FALSE))</f>
        <v/>
      </c>
      <c r="N828" s="30"/>
      <c r="O828" s="2"/>
      <c r="P828" s="31"/>
      <c r="Q828" s="54"/>
      <c r="R828" s="55" t="str">
        <f>IF(ISBLANK(Q828),"",VLOOKUP(Q828,configuration!$P$7:$Q$10,2,FALSE))</f>
        <v/>
      </c>
      <c r="S828" s="56"/>
      <c r="T828" s="55"/>
      <c r="U828" s="78"/>
      <c r="V828" s="76" t="str">
        <f t="shared" si="52"/>
        <v/>
      </c>
      <c r="W828" s="48" t="str">
        <f t="shared" si="52"/>
        <v/>
      </c>
      <c r="X828" s="48" t="str">
        <f t="shared" si="52"/>
        <v/>
      </c>
      <c r="Y828" s="48" t="str">
        <f t="shared" si="52"/>
        <v/>
      </c>
      <c r="Z828" s="49" t="str">
        <f t="shared" si="50"/>
        <v/>
      </c>
      <c r="AA828" s="50" t="str">
        <f t="shared" si="53"/>
        <v/>
      </c>
      <c r="AB828" s="48" t="str">
        <f t="shared" si="53"/>
        <v/>
      </c>
      <c r="AC828" s="48" t="str">
        <f t="shared" si="53"/>
        <v/>
      </c>
      <c r="AD828" s="48" t="str">
        <f t="shared" si="53"/>
        <v/>
      </c>
      <c r="AE828" s="48" t="str">
        <f t="shared" si="51"/>
        <v/>
      </c>
    </row>
    <row r="829" spans="1:31" x14ac:dyDescent="0.25">
      <c r="A829" s="2"/>
      <c r="B829" s="2"/>
      <c r="C829" s="2"/>
      <c r="D829" s="2" t="str">
        <f>IF(ISBLANK(C829),"",VLOOKUP(C829,configuration!$G$7:$H$10,2,FALSE))</f>
        <v/>
      </c>
      <c r="E829" s="2"/>
      <c r="F829" s="2"/>
      <c r="G829" s="2"/>
      <c r="H829" s="2" t="str">
        <f>IF(ISBLANK(G829),"",VLOOKUP(G829,configuration!$J$7:$K$10,2,FALSE))</f>
        <v/>
      </c>
      <c r="I829" s="30"/>
      <c r="J829" s="2"/>
      <c r="K829" s="31"/>
      <c r="L829" s="35"/>
      <c r="M829" s="2" t="str">
        <f>IF(ISBLANK(L829),"",VLOOKUP(L829,configuration!$M$7:$N$10,2,FALSE))</f>
        <v/>
      </c>
      <c r="N829" s="30"/>
      <c r="O829" s="2"/>
      <c r="P829" s="31"/>
      <c r="Q829" s="54"/>
      <c r="R829" s="55" t="str">
        <f>IF(ISBLANK(Q829),"",VLOOKUP(Q829,configuration!$P$7:$Q$10,2,FALSE))</f>
        <v/>
      </c>
      <c r="S829" s="56"/>
      <c r="T829" s="55"/>
      <c r="U829" s="78"/>
      <c r="V829" s="76" t="str">
        <f t="shared" si="52"/>
        <v/>
      </c>
      <c r="W829" s="48" t="str">
        <f t="shared" si="52"/>
        <v/>
      </c>
      <c r="X829" s="48" t="str">
        <f t="shared" si="52"/>
        <v/>
      </c>
      <c r="Y829" s="48" t="str">
        <f t="shared" si="52"/>
        <v/>
      </c>
      <c r="Z829" s="49" t="str">
        <f t="shared" si="50"/>
        <v/>
      </c>
      <c r="AA829" s="50" t="str">
        <f t="shared" si="53"/>
        <v/>
      </c>
      <c r="AB829" s="48" t="str">
        <f t="shared" si="53"/>
        <v/>
      </c>
      <c r="AC829" s="48" t="str">
        <f t="shared" si="53"/>
        <v/>
      </c>
      <c r="AD829" s="48" t="str">
        <f t="shared" si="53"/>
        <v/>
      </c>
      <c r="AE829" s="48" t="str">
        <f t="shared" si="51"/>
        <v/>
      </c>
    </row>
    <row r="830" spans="1:31" x14ac:dyDescent="0.25">
      <c r="A830" s="2"/>
      <c r="B830" s="2"/>
      <c r="C830" s="2"/>
      <c r="D830" s="2" t="str">
        <f>IF(ISBLANK(C830),"",VLOOKUP(C830,configuration!$G$7:$H$10,2,FALSE))</f>
        <v/>
      </c>
      <c r="E830" s="2"/>
      <c r="F830" s="2"/>
      <c r="G830" s="2"/>
      <c r="H830" s="2" t="str">
        <f>IF(ISBLANK(G830),"",VLOOKUP(G830,configuration!$J$7:$K$10,2,FALSE))</f>
        <v/>
      </c>
      <c r="I830" s="30"/>
      <c r="J830" s="2"/>
      <c r="K830" s="31"/>
      <c r="L830" s="35"/>
      <c r="M830" s="2" t="str">
        <f>IF(ISBLANK(L830),"",VLOOKUP(L830,configuration!$M$7:$N$10,2,FALSE))</f>
        <v/>
      </c>
      <c r="N830" s="30"/>
      <c r="O830" s="2"/>
      <c r="P830" s="31"/>
      <c r="Q830" s="54"/>
      <c r="R830" s="55" t="str">
        <f>IF(ISBLANK(Q830),"",VLOOKUP(Q830,configuration!$P$7:$Q$10,2,FALSE))</f>
        <v/>
      </c>
      <c r="S830" s="56"/>
      <c r="T830" s="55"/>
      <c r="U830" s="78"/>
      <c r="V830" s="76" t="str">
        <f t="shared" si="52"/>
        <v/>
      </c>
      <c r="W830" s="48" t="str">
        <f t="shared" si="52"/>
        <v/>
      </c>
      <c r="X830" s="48" t="str">
        <f t="shared" si="52"/>
        <v/>
      </c>
      <c r="Y830" s="48" t="str">
        <f t="shared" si="52"/>
        <v/>
      </c>
      <c r="Z830" s="49" t="str">
        <f t="shared" si="50"/>
        <v/>
      </c>
      <c r="AA830" s="50" t="str">
        <f t="shared" si="53"/>
        <v/>
      </c>
      <c r="AB830" s="48" t="str">
        <f t="shared" si="53"/>
        <v/>
      </c>
      <c r="AC830" s="48" t="str">
        <f t="shared" si="53"/>
        <v/>
      </c>
      <c r="AD830" s="48" t="str">
        <f t="shared" si="53"/>
        <v/>
      </c>
      <c r="AE830" s="48" t="str">
        <f t="shared" si="51"/>
        <v/>
      </c>
    </row>
    <row r="831" spans="1:31" x14ac:dyDescent="0.25">
      <c r="A831" s="2"/>
      <c r="B831" s="2"/>
      <c r="C831" s="2"/>
      <c r="D831" s="2" t="str">
        <f>IF(ISBLANK(C831),"",VLOOKUP(C831,configuration!$G$7:$H$10,2,FALSE))</f>
        <v/>
      </c>
      <c r="E831" s="2"/>
      <c r="F831" s="2"/>
      <c r="G831" s="2"/>
      <c r="H831" s="2" t="str">
        <f>IF(ISBLANK(G831),"",VLOOKUP(G831,configuration!$J$7:$K$10,2,FALSE))</f>
        <v/>
      </c>
      <c r="I831" s="30"/>
      <c r="J831" s="2"/>
      <c r="K831" s="31"/>
      <c r="L831" s="35"/>
      <c r="M831" s="2" t="str">
        <f>IF(ISBLANK(L831),"",VLOOKUP(L831,configuration!$M$7:$N$10,2,FALSE))</f>
        <v/>
      </c>
      <c r="N831" s="30"/>
      <c r="O831" s="2"/>
      <c r="P831" s="31"/>
      <c r="Q831" s="54"/>
      <c r="R831" s="55" t="str">
        <f>IF(ISBLANK(Q831),"",VLOOKUP(Q831,configuration!$P$7:$Q$10,2,FALSE))</f>
        <v/>
      </c>
      <c r="S831" s="56"/>
      <c r="T831" s="55"/>
      <c r="U831" s="78"/>
      <c r="V831" s="76" t="str">
        <f t="shared" si="52"/>
        <v/>
      </c>
      <c r="W831" s="48" t="str">
        <f t="shared" si="52"/>
        <v/>
      </c>
      <c r="X831" s="48" t="str">
        <f t="shared" si="52"/>
        <v/>
      </c>
      <c r="Y831" s="48" t="str">
        <f t="shared" si="52"/>
        <v/>
      </c>
      <c r="Z831" s="49" t="str">
        <f t="shared" si="50"/>
        <v/>
      </c>
      <c r="AA831" s="50" t="str">
        <f t="shared" si="53"/>
        <v/>
      </c>
      <c r="AB831" s="48" t="str">
        <f t="shared" si="53"/>
        <v/>
      </c>
      <c r="AC831" s="48" t="str">
        <f t="shared" si="53"/>
        <v/>
      </c>
      <c r="AD831" s="48" t="str">
        <f t="shared" si="53"/>
        <v/>
      </c>
      <c r="AE831" s="48" t="str">
        <f t="shared" si="51"/>
        <v/>
      </c>
    </row>
    <row r="832" spans="1:31" x14ac:dyDescent="0.25">
      <c r="A832" s="2"/>
      <c r="B832" s="2"/>
      <c r="C832" s="2"/>
      <c r="D832" s="2" t="str">
        <f>IF(ISBLANK(C832),"",VLOOKUP(C832,configuration!$G$7:$H$10,2,FALSE))</f>
        <v/>
      </c>
      <c r="E832" s="2"/>
      <c r="F832" s="2"/>
      <c r="G832" s="2"/>
      <c r="H832" s="2" t="str">
        <f>IF(ISBLANK(G832),"",VLOOKUP(G832,configuration!$J$7:$K$10,2,FALSE))</f>
        <v/>
      </c>
      <c r="I832" s="30"/>
      <c r="J832" s="2"/>
      <c r="K832" s="31"/>
      <c r="L832" s="35"/>
      <c r="M832" s="2" t="str">
        <f>IF(ISBLANK(L832),"",VLOOKUP(L832,configuration!$M$7:$N$10,2,FALSE))</f>
        <v/>
      </c>
      <c r="N832" s="30"/>
      <c r="O832" s="2"/>
      <c r="P832" s="31"/>
      <c r="Q832" s="54"/>
      <c r="R832" s="55" t="str">
        <f>IF(ISBLANK(Q832),"",VLOOKUP(Q832,configuration!$P$7:$Q$10,2,FALSE))</f>
        <v/>
      </c>
      <c r="S832" s="56"/>
      <c r="T832" s="55"/>
      <c r="U832" s="78"/>
      <c r="V832" s="76" t="str">
        <f t="shared" si="52"/>
        <v/>
      </c>
      <c r="W832" s="48" t="str">
        <f t="shared" si="52"/>
        <v/>
      </c>
      <c r="X832" s="48" t="str">
        <f t="shared" si="52"/>
        <v/>
      </c>
      <c r="Y832" s="48" t="str">
        <f t="shared" si="52"/>
        <v/>
      </c>
      <c r="Z832" s="49" t="str">
        <f t="shared" si="50"/>
        <v/>
      </c>
      <c r="AA832" s="50" t="str">
        <f t="shared" si="53"/>
        <v/>
      </c>
      <c r="AB832" s="48" t="str">
        <f t="shared" si="53"/>
        <v/>
      </c>
      <c r="AC832" s="48" t="str">
        <f t="shared" si="53"/>
        <v/>
      </c>
      <c r="AD832" s="48" t="str">
        <f t="shared" si="53"/>
        <v/>
      </c>
      <c r="AE832" s="48" t="str">
        <f t="shared" si="51"/>
        <v/>
      </c>
    </row>
    <row r="833" spans="1:31" x14ac:dyDescent="0.25">
      <c r="A833" s="2"/>
      <c r="B833" s="2"/>
      <c r="C833" s="2"/>
      <c r="D833" s="2" t="str">
        <f>IF(ISBLANK(C833),"",VLOOKUP(C833,configuration!$G$7:$H$10,2,FALSE))</f>
        <v/>
      </c>
      <c r="E833" s="2"/>
      <c r="F833" s="2"/>
      <c r="G833" s="2"/>
      <c r="H833" s="2" t="str">
        <f>IF(ISBLANK(G833),"",VLOOKUP(G833,configuration!$J$7:$K$10,2,FALSE))</f>
        <v/>
      </c>
      <c r="I833" s="30"/>
      <c r="J833" s="2"/>
      <c r="K833" s="31"/>
      <c r="L833" s="35"/>
      <c r="M833" s="2" t="str">
        <f>IF(ISBLANK(L833),"",VLOOKUP(L833,configuration!$M$7:$N$10,2,FALSE))</f>
        <v/>
      </c>
      <c r="N833" s="30"/>
      <c r="O833" s="2"/>
      <c r="P833" s="31"/>
      <c r="Q833" s="54"/>
      <c r="R833" s="55" t="str">
        <f>IF(ISBLANK(Q833),"",VLOOKUP(Q833,configuration!$P$7:$Q$10,2,FALSE))</f>
        <v/>
      </c>
      <c r="S833" s="56"/>
      <c r="T833" s="55"/>
      <c r="U833" s="78"/>
      <c r="V833" s="76" t="str">
        <f t="shared" si="52"/>
        <v/>
      </c>
      <c r="W833" s="48" t="str">
        <f t="shared" si="52"/>
        <v/>
      </c>
      <c r="X833" s="48" t="str">
        <f t="shared" si="52"/>
        <v/>
      </c>
      <c r="Y833" s="48" t="str">
        <f t="shared" si="52"/>
        <v/>
      </c>
      <c r="Z833" s="49" t="str">
        <f t="shared" si="50"/>
        <v/>
      </c>
      <c r="AA833" s="50" t="str">
        <f t="shared" si="53"/>
        <v/>
      </c>
      <c r="AB833" s="48" t="str">
        <f t="shared" si="53"/>
        <v/>
      </c>
      <c r="AC833" s="48" t="str">
        <f t="shared" si="53"/>
        <v/>
      </c>
      <c r="AD833" s="48" t="str">
        <f t="shared" si="53"/>
        <v/>
      </c>
      <c r="AE833" s="48" t="str">
        <f t="shared" si="51"/>
        <v/>
      </c>
    </row>
    <row r="834" spans="1:31" x14ac:dyDescent="0.25">
      <c r="A834" s="2"/>
      <c r="B834" s="2"/>
      <c r="C834" s="2"/>
      <c r="D834" s="2" t="str">
        <f>IF(ISBLANK(C834),"",VLOOKUP(C834,configuration!$G$7:$H$10,2,FALSE))</f>
        <v/>
      </c>
      <c r="E834" s="2"/>
      <c r="F834" s="2"/>
      <c r="G834" s="2"/>
      <c r="H834" s="2" t="str">
        <f>IF(ISBLANK(G834),"",VLOOKUP(G834,configuration!$J$7:$K$10,2,FALSE))</f>
        <v/>
      </c>
      <c r="I834" s="30"/>
      <c r="J834" s="2"/>
      <c r="K834" s="31"/>
      <c r="L834" s="35"/>
      <c r="M834" s="2" t="str">
        <f>IF(ISBLANK(L834),"",VLOOKUP(L834,configuration!$M$7:$N$10,2,FALSE))</f>
        <v/>
      </c>
      <c r="N834" s="30"/>
      <c r="O834" s="2"/>
      <c r="P834" s="31"/>
      <c r="Q834" s="54"/>
      <c r="R834" s="55" t="str">
        <f>IF(ISBLANK(Q834),"",VLOOKUP(Q834,configuration!$P$7:$Q$10,2,FALSE))</f>
        <v/>
      </c>
      <c r="S834" s="56"/>
      <c r="T834" s="55"/>
      <c r="U834" s="78"/>
      <c r="V834" s="76" t="str">
        <f t="shared" si="52"/>
        <v/>
      </c>
      <c r="W834" s="48" t="str">
        <f t="shared" si="52"/>
        <v/>
      </c>
      <c r="X834" s="48" t="str">
        <f t="shared" si="52"/>
        <v/>
      </c>
      <c r="Y834" s="48" t="str">
        <f t="shared" si="52"/>
        <v/>
      </c>
      <c r="Z834" s="49" t="str">
        <f t="shared" si="50"/>
        <v/>
      </c>
      <c r="AA834" s="50" t="str">
        <f t="shared" si="53"/>
        <v/>
      </c>
      <c r="AB834" s="48" t="str">
        <f t="shared" si="53"/>
        <v/>
      </c>
      <c r="AC834" s="48" t="str">
        <f t="shared" si="53"/>
        <v/>
      </c>
      <c r="AD834" s="48" t="str">
        <f t="shared" si="53"/>
        <v/>
      </c>
      <c r="AE834" s="48" t="str">
        <f t="shared" si="51"/>
        <v/>
      </c>
    </row>
    <row r="835" spans="1:31" x14ac:dyDescent="0.25">
      <c r="A835" s="2"/>
      <c r="B835" s="2"/>
      <c r="C835" s="2"/>
      <c r="D835" s="2" t="str">
        <f>IF(ISBLANK(C835),"",VLOOKUP(C835,configuration!$G$7:$H$10,2,FALSE))</f>
        <v/>
      </c>
      <c r="E835" s="2"/>
      <c r="F835" s="2"/>
      <c r="G835" s="2"/>
      <c r="H835" s="2" t="str">
        <f>IF(ISBLANK(G835),"",VLOOKUP(G835,configuration!$J$7:$K$10,2,FALSE))</f>
        <v/>
      </c>
      <c r="I835" s="30"/>
      <c r="J835" s="2"/>
      <c r="K835" s="31"/>
      <c r="L835" s="35"/>
      <c r="M835" s="2" t="str">
        <f>IF(ISBLANK(L835),"",VLOOKUP(L835,configuration!$M$7:$N$10,2,FALSE))</f>
        <v/>
      </c>
      <c r="N835" s="30"/>
      <c r="O835" s="2"/>
      <c r="P835" s="31"/>
      <c r="Q835" s="54"/>
      <c r="R835" s="55" t="str">
        <f>IF(ISBLANK(Q835),"",VLOOKUP(Q835,configuration!$P$7:$Q$10,2,FALSE))</f>
        <v/>
      </c>
      <c r="S835" s="56"/>
      <c r="T835" s="55"/>
      <c r="U835" s="78"/>
      <c r="V835" s="76" t="str">
        <f t="shared" si="52"/>
        <v/>
      </c>
      <c r="W835" s="48" t="str">
        <f t="shared" si="52"/>
        <v/>
      </c>
      <c r="X835" s="48" t="str">
        <f t="shared" si="52"/>
        <v/>
      </c>
      <c r="Y835" s="48" t="str">
        <f t="shared" si="52"/>
        <v/>
      </c>
      <c r="Z835" s="49" t="str">
        <f t="shared" si="50"/>
        <v/>
      </c>
      <c r="AA835" s="50" t="str">
        <f t="shared" si="53"/>
        <v/>
      </c>
      <c r="AB835" s="48" t="str">
        <f t="shared" si="53"/>
        <v/>
      </c>
      <c r="AC835" s="48" t="str">
        <f t="shared" si="53"/>
        <v/>
      </c>
      <c r="AD835" s="48" t="str">
        <f t="shared" si="53"/>
        <v/>
      </c>
      <c r="AE835" s="48" t="str">
        <f t="shared" si="51"/>
        <v/>
      </c>
    </row>
    <row r="836" spans="1:31" x14ac:dyDescent="0.25">
      <c r="A836" s="2"/>
      <c r="B836" s="2"/>
      <c r="C836" s="2"/>
      <c r="D836" s="2" t="str">
        <f>IF(ISBLANK(C836),"",VLOOKUP(C836,configuration!$G$7:$H$10,2,FALSE))</f>
        <v/>
      </c>
      <c r="E836" s="2"/>
      <c r="F836" s="2"/>
      <c r="G836" s="2"/>
      <c r="H836" s="2" t="str">
        <f>IF(ISBLANK(G836),"",VLOOKUP(G836,configuration!$J$7:$K$10,2,FALSE))</f>
        <v/>
      </c>
      <c r="I836" s="30"/>
      <c r="J836" s="2"/>
      <c r="K836" s="31"/>
      <c r="L836" s="35"/>
      <c r="M836" s="2" t="str">
        <f>IF(ISBLANK(L836),"",VLOOKUP(L836,configuration!$M$7:$N$10,2,FALSE))</f>
        <v/>
      </c>
      <c r="N836" s="30"/>
      <c r="O836" s="2"/>
      <c r="P836" s="31"/>
      <c r="Q836" s="54"/>
      <c r="R836" s="55" t="str">
        <f>IF(ISBLANK(Q836),"",VLOOKUP(Q836,configuration!$P$7:$Q$10,2,FALSE))</f>
        <v/>
      </c>
      <c r="S836" s="56"/>
      <c r="T836" s="55"/>
      <c r="U836" s="78"/>
      <c r="V836" s="76" t="str">
        <f t="shared" si="52"/>
        <v/>
      </c>
      <c r="W836" s="48" t="str">
        <f t="shared" si="52"/>
        <v/>
      </c>
      <c r="X836" s="48" t="str">
        <f t="shared" si="52"/>
        <v/>
      </c>
      <c r="Y836" s="48" t="str">
        <f t="shared" si="52"/>
        <v/>
      </c>
      <c r="Z836" s="49" t="str">
        <f t="shared" si="50"/>
        <v/>
      </c>
      <c r="AA836" s="50" t="str">
        <f t="shared" si="53"/>
        <v/>
      </c>
      <c r="AB836" s="48" t="str">
        <f t="shared" si="53"/>
        <v/>
      </c>
      <c r="AC836" s="48" t="str">
        <f t="shared" si="53"/>
        <v/>
      </c>
      <c r="AD836" s="48" t="str">
        <f t="shared" si="53"/>
        <v/>
      </c>
      <c r="AE836" s="48" t="str">
        <f t="shared" si="51"/>
        <v/>
      </c>
    </row>
    <row r="837" spans="1:31" x14ac:dyDescent="0.25">
      <c r="A837" s="2"/>
      <c r="B837" s="2"/>
      <c r="C837" s="2"/>
      <c r="D837" s="2" t="str">
        <f>IF(ISBLANK(C837),"",VLOOKUP(C837,configuration!$G$7:$H$10,2,FALSE))</f>
        <v/>
      </c>
      <c r="E837" s="2"/>
      <c r="F837" s="2"/>
      <c r="G837" s="2"/>
      <c r="H837" s="2" t="str">
        <f>IF(ISBLANK(G837),"",VLOOKUP(G837,configuration!$J$7:$K$10,2,FALSE))</f>
        <v/>
      </c>
      <c r="I837" s="30"/>
      <c r="J837" s="2"/>
      <c r="K837" s="31"/>
      <c r="L837" s="35"/>
      <c r="M837" s="2" t="str">
        <f>IF(ISBLANK(L837),"",VLOOKUP(L837,configuration!$M$7:$N$10,2,FALSE))</f>
        <v/>
      </c>
      <c r="N837" s="30"/>
      <c r="O837" s="2"/>
      <c r="P837" s="31"/>
      <c r="Q837" s="54"/>
      <c r="R837" s="55" t="str">
        <f>IF(ISBLANK(Q837),"",VLOOKUP(Q837,configuration!$P$7:$Q$10,2,FALSE))</f>
        <v/>
      </c>
      <c r="S837" s="56"/>
      <c r="T837" s="55"/>
      <c r="U837" s="78"/>
      <c r="V837" s="76" t="str">
        <f t="shared" si="52"/>
        <v/>
      </c>
      <c r="W837" s="48" t="str">
        <f t="shared" si="52"/>
        <v/>
      </c>
      <c r="X837" s="48" t="str">
        <f t="shared" si="52"/>
        <v/>
      </c>
      <c r="Y837" s="48" t="str">
        <f t="shared" si="52"/>
        <v/>
      </c>
      <c r="Z837" s="49" t="str">
        <f t="shared" si="50"/>
        <v/>
      </c>
      <c r="AA837" s="50" t="str">
        <f t="shared" si="53"/>
        <v/>
      </c>
      <c r="AB837" s="48" t="str">
        <f t="shared" si="53"/>
        <v/>
      </c>
      <c r="AC837" s="48" t="str">
        <f t="shared" si="53"/>
        <v/>
      </c>
      <c r="AD837" s="48" t="str">
        <f t="shared" si="53"/>
        <v/>
      </c>
      <c r="AE837" s="48" t="str">
        <f t="shared" si="51"/>
        <v/>
      </c>
    </row>
    <row r="838" spans="1:31" x14ac:dyDescent="0.25">
      <c r="A838" s="2"/>
      <c r="B838" s="2"/>
      <c r="C838" s="2"/>
      <c r="D838" s="2" t="str">
        <f>IF(ISBLANK(C838),"",VLOOKUP(C838,configuration!$G$7:$H$10,2,FALSE))</f>
        <v/>
      </c>
      <c r="E838" s="2"/>
      <c r="F838" s="2"/>
      <c r="G838" s="2"/>
      <c r="H838" s="2" t="str">
        <f>IF(ISBLANK(G838),"",VLOOKUP(G838,configuration!$J$7:$K$10,2,FALSE))</f>
        <v/>
      </c>
      <c r="I838" s="30"/>
      <c r="J838" s="2"/>
      <c r="K838" s="31"/>
      <c r="L838" s="35"/>
      <c r="M838" s="2" t="str">
        <f>IF(ISBLANK(L838),"",VLOOKUP(L838,configuration!$M$7:$N$10,2,FALSE))</f>
        <v/>
      </c>
      <c r="N838" s="30"/>
      <c r="O838" s="2"/>
      <c r="P838" s="31"/>
      <c r="Q838" s="54"/>
      <c r="R838" s="55" t="str">
        <f>IF(ISBLANK(Q838),"",VLOOKUP(Q838,configuration!$P$7:$Q$10,2,FALSE))</f>
        <v/>
      </c>
      <c r="S838" s="56"/>
      <c r="T838" s="55"/>
      <c r="U838" s="78"/>
      <c r="V838" s="76" t="str">
        <f t="shared" si="52"/>
        <v/>
      </c>
      <c r="W838" s="48" t="str">
        <f t="shared" si="52"/>
        <v/>
      </c>
      <c r="X838" s="48" t="str">
        <f t="shared" si="52"/>
        <v/>
      </c>
      <c r="Y838" s="48" t="str">
        <f t="shared" si="52"/>
        <v/>
      </c>
      <c r="Z838" s="49" t="str">
        <f t="shared" ref="Z838:Z901" si="54">IF(AND($G838="",A838&lt;&gt;""),1,"")</f>
        <v/>
      </c>
      <c r="AA838" s="50" t="str">
        <f t="shared" si="53"/>
        <v/>
      </c>
      <c r="AB838" s="48" t="str">
        <f t="shared" si="53"/>
        <v/>
      </c>
      <c r="AC838" s="48" t="str">
        <f t="shared" si="53"/>
        <v/>
      </c>
      <c r="AD838" s="48" t="str">
        <f t="shared" si="53"/>
        <v/>
      </c>
      <c r="AE838" s="48" t="str">
        <f t="shared" ref="AE838:AE901" si="55">IF(AND($L838="",A838&lt;&gt;""),1,"")</f>
        <v/>
      </c>
    </row>
    <row r="839" spans="1:31" x14ac:dyDescent="0.25">
      <c r="A839" s="2"/>
      <c r="B839" s="2"/>
      <c r="C839" s="2"/>
      <c r="D839" s="2" t="str">
        <f>IF(ISBLANK(C839),"",VLOOKUP(C839,configuration!$G$7:$H$10,2,FALSE))</f>
        <v/>
      </c>
      <c r="E839" s="2"/>
      <c r="F839" s="2"/>
      <c r="G839" s="2"/>
      <c r="H839" s="2" t="str">
        <f>IF(ISBLANK(G839),"",VLOOKUP(G839,configuration!$J$7:$K$10,2,FALSE))</f>
        <v/>
      </c>
      <c r="I839" s="30"/>
      <c r="J839" s="2"/>
      <c r="K839" s="31"/>
      <c r="L839" s="35"/>
      <c r="M839" s="2" t="str">
        <f>IF(ISBLANK(L839),"",VLOOKUP(L839,configuration!$M$7:$N$10,2,FALSE))</f>
        <v/>
      </c>
      <c r="N839" s="30"/>
      <c r="O839" s="2"/>
      <c r="P839" s="31"/>
      <c r="Q839" s="54"/>
      <c r="R839" s="55" t="str">
        <f>IF(ISBLANK(Q839),"",VLOOKUP(Q839,configuration!$P$7:$Q$10,2,FALSE))</f>
        <v/>
      </c>
      <c r="S839" s="56"/>
      <c r="T839" s="55"/>
      <c r="U839" s="78"/>
      <c r="V839" s="76" t="str">
        <f t="shared" si="52"/>
        <v/>
      </c>
      <c r="W839" s="48" t="str">
        <f t="shared" si="52"/>
        <v/>
      </c>
      <c r="X839" s="48" t="str">
        <f t="shared" si="52"/>
        <v/>
      </c>
      <c r="Y839" s="48" t="str">
        <f t="shared" si="52"/>
        <v/>
      </c>
      <c r="Z839" s="49" t="str">
        <f t="shared" si="54"/>
        <v/>
      </c>
      <c r="AA839" s="50" t="str">
        <f t="shared" si="53"/>
        <v/>
      </c>
      <c r="AB839" s="48" t="str">
        <f t="shared" si="53"/>
        <v/>
      </c>
      <c r="AC839" s="48" t="str">
        <f t="shared" si="53"/>
        <v/>
      </c>
      <c r="AD839" s="48" t="str">
        <f t="shared" si="53"/>
        <v/>
      </c>
      <c r="AE839" s="48" t="str">
        <f t="shared" si="55"/>
        <v/>
      </c>
    </row>
    <row r="840" spans="1:31" x14ac:dyDescent="0.25">
      <c r="A840" s="2"/>
      <c r="B840" s="2"/>
      <c r="C840" s="2"/>
      <c r="D840" s="2" t="str">
        <f>IF(ISBLANK(C840),"",VLOOKUP(C840,configuration!$G$7:$H$10,2,FALSE))</f>
        <v/>
      </c>
      <c r="E840" s="2"/>
      <c r="F840" s="2"/>
      <c r="G840" s="2"/>
      <c r="H840" s="2" t="str">
        <f>IF(ISBLANK(G840),"",VLOOKUP(G840,configuration!$J$7:$K$10,2,FALSE))</f>
        <v/>
      </c>
      <c r="I840" s="30"/>
      <c r="J840" s="2"/>
      <c r="K840" s="31"/>
      <c r="L840" s="35"/>
      <c r="M840" s="2" t="str">
        <f>IF(ISBLANK(L840),"",VLOOKUP(L840,configuration!$M$7:$N$10,2,FALSE))</f>
        <v/>
      </c>
      <c r="N840" s="30"/>
      <c r="O840" s="2"/>
      <c r="P840" s="31"/>
      <c r="Q840" s="54"/>
      <c r="R840" s="55" t="str">
        <f>IF(ISBLANK(Q840),"",VLOOKUP(Q840,configuration!$P$7:$Q$10,2,FALSE))</f>
        <v/>
      </c>
      <c r="S840" s="56"/>
      <c r="T840" s="55"/>
      <c r="U840" s="78"/>
      <c r="V840" s="76" t="str">
        <f t="shared" si="52"/>
        <v/>
      </c>
      <c r="W840" s="48" t="str">
        <f t="shared" si="52"/>
        <v/>
      </c>
      <c r="X840" s="48" t="str">
        <f t="shared" si="52"/>
        <v/>
      </c>
      <c r="Y840" s="48" t="str">
        <f t="shared" si="52"/>
        <v/>
      </c>
      <c r="Z840" s="49" t="str">
        <f t="shared" si="54"/>
        <v/>
      </c>
      <c r="AA840" s="50" t="str">
        <f t="shared" si="53"/>
        <v/>
      </c>
      <c r="AB840" s="48" t="str">
        <f t="shared" si="53"/>
        <v/>
      </c>
      <c r="AC840" s="48" t="str">
        <f t="shared" si="53"/>
        <v/>
      </c>
      <c r="AD840" s="48" t="str">
        <f t="shared" si="53"/>
        <v/>
      </c>
      <c r="AE840" s="48" t="str">
        <f t="shared" si="55"/>
        <v/>
      </c>
    </row>
    <row r="841" spans="1:31" x14ac:dyDescent="0.25">
      <c r="A841" s="2"/>
      <c r="B841" s="2"/>
      <c r="C841" s="2"/>
      <c r="D841" s="2" t="str">
        <f>IF(ISBLANK(C841),"",VLOOKUP(C841,configuration!$G$7:$H$10,2,FALSE))</f>
        <v/>
      </c>
      <c r="E841" s="2"/>
      <c r="F841" s="2"/>
      <c r="G841" s="2"/>
      <c r="H841" s="2" t="str">
        <f>IF(ISBLANK(G841),"",VLOOKUP(G841,configuration!$J$7:$K$10,2,FALSE))</f>
        <v/>
      </c>
      <c r="I841" s="30"/>
      <c r="J841" s="2"/>
      <c r="K841" s="31"/>
      <c r="L841" s="35"/>
      <c r="M841" s="2" t="str">
        <f>IF(ISBLANK(L841),"",VLOOKUP(L841,configuration!$M$7:$N$10,2,FALSE))</f>
        <v/>
      </c>
      <c r="N841" s="30"/>
      <c r="O841" s="2"/>
      <c r="P841" s="31"/>
      <c r="Q841" s="54"/>
      <c r="R841" s="55" t="str">
        <f>IF(ISBLANK(Q841),"",VLOOKUP(Q841,configuration!$P$7:$Q$10,2,FALSE))</f>
        <v/>
      </c>
      <c r="S841" s="56"/>
      <c r="T841" s="55"/>
      <c r="U841" s="78"/>
      <c r="V841" s="76" t="str">
        <f t="shared" si="52"/>
        <v/>
      </c>
      <c r="W841" s="48" t="str">
        <f t="shared" si="52"/>
        <v/>
      </c>
      <c r="X841" s="48" t="str">
        <f t="shared" si="52"/>
        <v/>
      </c>
      <c r="Y841" s="48" t="str">
        <f t="shared" si="52"/>
        <v/>
      </c>
      <c r="Z841" s="49" t="str">
        <f t="shared" si="54"/>
        <v/>
      </c>
      <c r="AA841" s="50" t="str">
        <f t="shared" si="53"/>
        <v/>
      </c>
      <c r="AB841" s="48" t="str">
        <f t="shared" si="53"/>
        <v/>
      </c>
      <c r="AC841" s="48" t="str">
        <f t="shared" si="53"/>
        <v/>
      </c>
      <c r="AD841" s="48" t="str">
        <f t="shared" si="53"/>
        <v/>
      </c>
      <c r="AE841" s="48" t="str">
        <f t="shared" si="55"/>
        <v/>
      </c>
    </row>
    <row r="842" spans="1:31" x14ac:dyDescent="0.25">
      <c r="A842" s="2"/>
      <c r="B842" s="2"/>
      <c r="C842" s="2"/>
      <c r="D842" s="2" t="str">
        <f>IF(ISBLANK(C842),"",VLOOKUP(C842,configuration!$G$7:$H$10,2,FALSE))</f>
        <v/>
      </c>
      <c r="E842" s="2"/>
      <c r="F842" s="2"/>
      <c r="G842" s="2"/>
      <c r="H842" s="2" t="str">
        <f>IF(ISBLANK(G842),"",VLOOKUP(G842,configuration!$J$7:$K$10,2,FALSE))</f>
        <v/>
      </c>
      <c r="I842" s="30"/>
      <c r="J842" s="2"/>
      <c r="K842" s="31"/>
      <c r="L842" s="35"/>
      <c r="M842" s="2" t="str">
        <f>IF(ISBLANK(L842),"",VLOOKUP(L842,configuration!$M$7:$N$10,2,FALSE))</f>
        <v/>
      </c>
      <c r="N842" s="30"/>
      <c r="O842" s="2"/>
      <c r="P842" s="31"/>
      <c r="Q842" s="54"/>
      <c r="R842" s="55" t="str">
        <f>IF(ISBLANK(Q842),"",VLOOKUP(Q842,configuration!$P$7:$Q$10,2,FALSE))</f>
        <v/>
      </c>
      <c r="S842" s="56"/>
      <c r="T842" s="55"/>
      <c r="U842" s="78"/>
      <c r="V842" s="76" t="str">
        <f t="shared" si="52"/>
        <v/>
      </c>
      <c r="W842" s="48" t="str">
        <f t="shared" si="52"/>
        <v/>
      </c>
      <c r="X842" s="48" t="str">
        <f t="shared" si="52"/>
        <v/>
      </c>
      <c r="Y842" s="48" t="str">
        <f t="shared" si="52"/>
        <v/>
      </c>
      <c r="Z842" s="49" t="str">
        <f t="shared" si="54"/>
        <v/>
      </c>
      <c r="AA842" s="50" t="str">
        <f t="shared" si="53"/>
        <v/>
      </c>
      <c r="AB842" s="48" t="str">
        <f t="shared" si="53"/>
        <v/>
      </c>
      <c r="AC842" s="48" t="str">
        <f t="shared" si="53"/>
        <v/>
      </c>
      <c r="AD842" s="48" t="str">
        <f t="shared" si="53"/>
        <v/>
      </c>
      <c r="AE842" s="48" t="str">
        <f t="shared" si="55"/>
        <v/>
      </c>
    </row>
    <row r="843" spans="1:31" x14ac:dyDescent="0.25">
      <c r="A843" s="2"/>
      <c r="B843" s="2"/>
      <c r="C843" s="2"/>
      <c r="D843" s="2" t="str">
        <f>IF(ISBLANK(C843),"",VLOOKUP(C843,configuration!$G$7:$H$10,2,FALSE))</f>
        <v/>
      </c>
      <c r="E843" s="2"/>
      <c r="F843" s="2"/>
      <c r="G843" s="2"/>
      <c r="H843" s="2" t="str">
        <f>IF(ISBLANK(G843),"",VLOOKUP(G843,configuration!$J$7:$K$10,2,FALSE))</f>
        <v/>
      </c>
      <c r="I843" s="30"/>
      <c r="J843" s="2"/>
      <c r="K843" s="31"/>
      <c r="L843" s="35"/>
      <c r="M843" s="2" t="str">
        <f>IF(ISBLANK(L843),"",VLOOKUP(L843,configuration!$M$7:$N$10,2,FALSE))</f>
        <v/>
      </c>
      <c r="N843" s="30"/>
      <c r="O843" s="2"/>
      <c r="P843" s="31"/>
      <c r="Q843" s="54"/>
      <c r="R843" s="55" t="str">
        <f>IF(ISBLANK(Q843),"",VLOOKUP(Q843,configuration!$P$7:$Q$10,2,FALSE))</f>
        <v/>
      </c>
      <c r="S843" s="56"/>
      <c r="T843" s="55"/>
      <c r="U843" s="78"/>
      <c r="V843" s="76" t="str">
        <f t="shared" si="52"/>
        <v/>
      </c>
      <c r="W843" s="48" t="str">
        <f t="shared" si="52"/>
        <v/>
      </c>
      <c r="X843" s="48" t="str">
        <f t="shared" si="52"/>
        <v/>
      </c>
      <c r="Y843" s="48" t="str">
        <f t="shared" si="52"/>
        <v/>
      </c>
      <c r="Z843" s="49" t="str">
        <f t="shared" si="54"/>
        <v/>
      </c>
      <c r="AA843" s="50" t="str">
        <f t="shared" si="53"/>
        <v/>
      </c>
      <c r="AB843" s="48" t="str">
        <f t="shared" si="53"/>
        <v/>
      </c>
      <c r="AC843" s="48" t="str">
        <f t="shared" si="53"/>
        <v/>
      </c>
      <c r="AD843" s="48" t="str">
        <f t="shared" si="53"/>
        <v/>
      </c>
      <c r="AE843" s="48" t="str">
        <f t="shared" si="55"/>
        <v/>
      </c>
    </row>
    <row r="844" spans="1:31" x14ac:dyDescent="0.25">
      <c r="A844" s="2"/>
      <c r="B844" s="2"/>
      <c r="C844" s="2"/>
      <c r="D844" s="2" t="str">
        <f>IF(ISBLANK(C844),"",VLOOKUP(C844,configuration!$G$7:$H$10,2,FALSE))</f>
        <v/>
      </c>
      <c r="E844" s="2"/>
      <c r="F844" s="2"/>
      <c r="G844" s="2"/>
      <c r="H844" s="2" t="str">
        <f>IF(ISBLANK(G844),"",VLOOKUP(G844,configuration!$J$7:$K$10,2,FALSE))</f>
        <v/>
      </c>
      <c r="I844" s="30"/>
      <c r="J844" s="2"/>
      <c r="K844" s="31"/>
      <c r="L844" s="35"/>
      <c r="M844" s="2" t="str">
        <f>IF(ISBLANK(L844),"",VLOOKUP(L844,configuration!$M$7:$N$10,2,FALSE))</f>
        <v/>
      </c>
      <c r="N844" s="30"/>
      <c r="O844" s="2"/>
      <c r="P844" s="31"/>
      <c r="Q844" s="54"/>
      <c r="R844" s="55" t="str">
        <f>IF(ISBLANK(Q844),"",VLOOKUP(Q844,configuration!$P$7:$Q$10,2,FALSE))</f>
        <v/>
      </c>
      <c r="S844" s="56"/>
      <c r="T844" s="55"/>
      <c r="U844" s="78"/>
      <c r="V844" s="76" t="str">
        <f t="shared" si="52"/>
        <v/>
      </c>
      <c r="W844" s="48" t="str">
        <f t="shared" si="52"/>
        <v/>
      </c>
      <c r="X844" s="48" t="str">
        <f t="shared" si="52"/>
        <v/>
      </c>
      <c r="Y844" s="48" t="str">
        <f t="shared" si="52"/>
        <v/>
      </c>
      <c r="Z844" s="49" t="str">
        <f t="shared" si="54"/>
        <v/>
      </c>
      <c r="AA844" s="50" t="str">
        <f t="shared" si="53"/>
        <v/>
      </c>
      <c r="AB844" s="48" t="str">
        <f t="shared" si="53"/>
        <v/>
      </c>
      <c r="AC844" s="48" t="str">
        <f t="shared" si="53"/>
        <v/>
      </c>
      <c r="AD844" s="48" t="str">
        <f t="shared" si="53"/>
        <v/>
      </c>
      <c r="AE844" s="48" t="str">
        <f t="shared" si="55"/>
        <v/>
      </c>
    </row>
    <row r="845" spans="1:31" x14ac:dyDescent="0.25">
      <c r="A845" s="2"/>
      <c r="B845" s="2"/>
      <c r="C845" s="2"/>
      <c r="D845" s="2" t="str">
        <f>IF(ISBLANK(C845),"",VLOOKUP(C845,configuration!$G$7:$H$10,2,FALSE))</f>
        <v/>
      </c>
      <c r="E845" s="2"/>
      <c r="F845" s="2"/>
      <c r="G845" s="2"/>
      <c r="H845" s="2" t="str">
        <f>IF(ISBLANK(G845),"",VLOOKUP(G845,configuration!$J$7:$K$10,2,FALSE))</f>
        <v/>
      </c>
      <c r="I845" s="30"/>
      <c r="J845" s="2"/>
      <c r="K845" s="31"/>
      <c r="L845" s="35"/>
      <c r="M845" s="2" t="str">
        <f>IF(ISBLANK(L845),"",VLOOKUP(L845,configuration!$M$7:$N$10,2,FALSE))</f>
        <v/>
      </c>
      <c r="N845" s="30"/>
      <c r="O845" s="2"/>
      <c r="P845" s="31"/>
      <c r="Q845" s="54"/>
      <c r="R845" s="55" t="str">
        <f>IF(ISBLANK(Q845),"",VLOOKUP(Q845,configuration!$P$7:$Q$10,2,FALSE))</f>
        <v/>
      </c>
      <c r="S845" s="56"/>
      <c r="T845" s="55"/>
      <c r="U845" s="78"/>
      <c r="V845" s="76" t="str">
        <f t="shared" si="52"/>
        <v/>
      </c>
      <c r="W845" s="48" t="str">
        <f t="shared" si="52"/>
        <v/>
      </c>
      <c r="X845" s="48" t="str">
        <f t="shared" si="52"/>
        <v/>
      </c>
      <c r="Y845" s="48" t="str">
        <f t="shared" si="52"/>
        <v/>
      </c>
      <c r="Z845" s="49" t="str">
        <f t="shared" si="54"/>
        <v/>
      </c>
      <c r="AA845" s="50" t="str">
        <f t="shared" si="53"/>
        <v/>
      </c>
      <c r="AB845" s="48" t="str">
        <f t="shared" si="53"/>
        <v/>
      </c>
      <c r="AC845" s="48" t="str">
        <f t="shared" si="53"/>
        <v/>
      </c>
      <c r="AD845" s="48" t="str">
        <f t="shared" si="53"/>
        <v/>
      </c>
      <c r="AE845" s="48" t="str">
        <f t="shared" si="55"/>
        <v/>
      </c>
    </row>
    <row r="846" spans="1:31" x14ac:dyDescent="0.25">
      <c r="A846" s="2"/>
      <c r="B846" s="2"/>
      <c r="C846" s="2"/>
      <c r="D846" s="2" t="str">
        <f>IF(ISBLANK(C846),"",VLOOKUP(C846,configuration!$G$7:$H$10,2,FALSE))</f>
        <v/>
      </c>
      <c r="E846" s="2"/>
      <c r="F846" s="2"/>
      <c r="G846" s="2"/>
      <c r="H846" s="2" t="str">
        <f>IF(ISBLANK(G846),"",VLOOKUP(G846,configuration!$J$7:$K$10,2,FALSE))</f>
        <v/>
      </c>
      <c r="I846" s="30"/>
      <c r="J846" s="2"/>
      <c r="K846" s="31"/>
      <c r="L846" s="35"/>
      <c r="M846" s="2" t="str">
        <f>IF(ISBLANK(L846),"",VLOOKUP(L846,configuration!$M$7:$N$10,2,FALSE))</f>
        <v/>
      </c>
      <c r="N846" s="30"/>
      <c r="O846" s="2"/>
      <c r="P846" s="31"/>
      <c r="Q846" s="54"/>
      <c r="R846" s="55" t="str">
        <f>IF(ISBLANK(Q846),"",VLOOKUP(Q846,configuration!$P$7:$Q$10,2,FALSE))</f>
        <v/>
      </c>
      <c r="S846" s="56"/>
      <c r="T846" s="55"/>
      <c r="U846" s="78"/>
      <c r="V846" s="76" t="str">
        <f t="shared" si="52"/>
        <v/>
      </c>
      <c r="W846" s="48" t="str">
        <f t="shared" si="52"/>
        <v/>
      </c>
      <c r="X846" s="48" t="str">
        <f t="shared" si="52"/>
        <v/>
      </c>
      <c r="Y846" s="48" t="str">
        <f t="shared" si="52"/>
        <v/>
      </c>
      <c r="Z846" s="49" t="str">
        <f t="shared" si="54"/>
        <v/>
      </c>
      <c r="AA846" s="50" t="str">
        <f t="shared" si="53"/>
        <v/>
      </c>
      <c r="AB846" s="48" t="str">
        <f t="shared" si="53"/>
        <v/>
      </c>
      <c r="AC846" s="48" t="str">
        <f t="shared" si="53"/>
        <v/>
      </c>
      <c r="AD846" s="48" t="str">
        <f t="shared" si="53"/>
        <v/>
      </c>
      <c r="AE846" s="48" t="str">
        <f t="shared" si="55"/>
        <v/>
      </c>
    </row>
    <row r="847" spans="1:31" x14ac:dyDescent="0.25">
      <c r="A847" s="2"/>
      <c r="B847" s="2"/>
      <c r="C847" s="2"/>
      <c r="D847" s="2" t="str">
        <f>IF(ISBLANK(C847),"",VLOOKUP(C847,configuration!$G$7:$H$10,2,FALSE))</f>
        <v/>
      </c>
      <c r="E847" s="2"/>
      <c r="F847" s="2"/>
      <c r="G847" s="2"/>
      <c r="H847" s="2" t="str">
        <f>IF(ISBLANK(G847),"",VLOOKUP(G847,configuration!$J$7:$K$10,2,FALSE))</f>
        <v/>
      </c>
      <c r="I847" s="30"/>
      <c r="J847" s="2"/>
      <c r="K847" s="31"/>
      <c r="L847" s="35"/>
      <c r="M847" s="2" t="str">
        <f>IF(ISBLANK(L847),"",VLOOKUP(L847,configuration!$M$7:$N$10,2,FALSE))</f>
        <v/>
      </c>
      <c r="N847" s="30"/>
      <c r="O847" s="2"/>
      <c r="P847" s="31"/>
      <c r="Q847" s="54"/>
      <c r="R847" s="55" t="str">
        <f>IF(ISBLANK(Q847),"",VLOOKUP(Q847,configuration!$P$7:$Q$10,2,FALSE))</f>
        <v/>
      </c>
      <c r="S847" s="56"/>
      <c r="T847" s="55"/>
      <c r="U847" s="78"/>
      <c r="V847" s="76" t="str">
        <f t="shared" si="52"/>
        <v/>
      </c>
      <c r="W847" s="48" t="str">
        <f t="shared" si="52"/>
        <v/>
      </c>
      <c r="X847" s="48" t="str">
        <f t="shared" si="52"/>
        <v/>
      </c>
      <c r="Y847" s="48" t="str">
        <f t="shared" si="52"/>
        <v/>
      </c>
      <c r="Z847" s="49" t="str">
        <f t="shared" si="54"/>
        <v/>
      </c>
      <c r="AA847" s="50" t="str">
        <f t="shared" si="53"/>
        <v/>
      </c>
      <c r="AB847" s="48" t="str">
        <f t="shared" si="53"/>
        <v/>
      </c>
      <c r="AC847" s="48" t="str">
        <f t="shared" si="53"/>
        <v/>
      </c>
      <c r="AD847" s="48" t="str">
        <f t="shared" si="53"/>
        <v/>
      </c>
      <c r="AE847" s="48" t="str">
        <f t="shared" si="55"/>
        <v/>
      </c>
    </row>
    <row r="848" spans="1:31" x14ac:dyDescent="0.25">
      <c r="A848" s="2"/>
      <c r="B848" s="2"/>
      <c r="C848" s="2"/>
      <c r="D848" s="2" t="str">
        <f>IF(ISBLANK(C848),"",VLOOKUP(C848,configuration!$G$7:$H$10,2,FALSE))</f>
        <v/>
      </c>
      <c r="E848" s="2"/>
      <c r="F848" s="2"/>
      <c r="G848" s="2"/>
      <c r="H848" s="2" t="str">
        <f>IF(ISBLANK(G848),"",VLOOKUP(G848,configuration!$J$7:$K$10,2,FALSE))</f>
        <v/>
      </c>
      <c r="I848" s="30"/>
      <c r="J848" s="2"/>
      <c r="K848" s="31"/>
      <c r="L848" s="35"/>
      <c r="M848" s="2" t="str">
        <f>IF(ISBLANK(L848),"",VLOOKUP(L848,configuration!$M$7:$N$10,2,FALSE))</f>
        <v/>
      </c>
      <c r="N848" s="30"/>
      <c r="O848" s="2"/>
      <c r="P848" s="31"/>
      <c r="Q848" s="54"/>
      <c r="R848" s="55" t="str">
        <f>IF(ISBLANK(Q848),"",VLOOKUP(Q848,configuration!$P$7:$Q$10,2,FALSE))</f>
        <v/>
      </c>
      <c r="S848" s="56"/>
      <c r="T848" s="55"/>
      <c r="U848" s="78"/>
      <c r="V848" s="76" t="str">
        <f t="shared" ref="V848:Y911" si="56">IF($G848=V$4,1,"")</f>
        <v/>
      </c>
      <c r="W848" s="48" t="str">
        <f t="shared" si="56"/>
        <v/>
      </c>
      <c r="X848" s="48" t="str">
        <f t="shared" si="56"/>
        <v/>
      </c>
      <c r="Y848" s="48" t="str">
        <f t="shared" si="56"/>
        <v/>
      </c>
      <c r="Z848" s="49" t="str">
        <f t="shared" si="54"/>
        <v/>
      </c>
      <c r="AA848" s="50" t="str">
        <f t="shared" ref="AA848:AD911" si="57">IF($L848=AA$4,1,"")</f>
        <v/>
      </c>
      <c r="AB848" s="48" t="str">
        <f t="shared" si="57"/>
        <v/>
      </c>
      <c r="AC848" s="48" t="str">
        <f t="shared" si="57"/>
        <v/>
      </c>
      <c r="AD848" s="48" t="str">
        <f t="shared" si="57"/>
        <v/>
      </c>
      <c r="AE848" s="48" t="str">
        <f t="shared" si="55"/>
        <v/>
      </c>
    </row>
    <row r="849" spans="1:31" x14ac:dyDescent="0.25">
      <c r="A849" s="2"/>
      <c r="B849" s="2"/>
      <c r="C849" s="2"/>
      <c r="D849" s="2" t="str">
        <f>IF(ISBLANK(C849),"",VLOOKUP(C849,configuration!$G$7:$H$10,2,FALSE))</f>
        <v/>
      </c>
      <c r="E849" s="2"/>
      <c r="F849" s="2"/>
      <c r="G849" s="2"/>
      <c r="H849" s="2" t="str">
        <f>IF(ISBLANK(G849),"",VLOOKUP(G849,configuration!$J$7:$K$10,2,FALSE))</f>
        <v/>
      </c>
      <c r="I849" s="30"/>
      <c r="J849" s="2"/>
      <c r="K849" s="31"/>
      <c r="L849" s="35"/>
      <c r="M849" s="2" t="str">
        <f>IF(ISBLANK(L849),"",VLOOKUP(L849,configuration!$M$7:$N$10,2,FALSE))</f>
        <v/>
      </c>
      <c r="N849" s="30"/>
      <c r="O849" s="2"/>
      <c r="P849" s="31"/>
      <c r="Q849" s="54"/>
      <c r="R849" s="55" t="str">
        <f>IF(ISBLANK(Q849),"",VLOOKUP(Q849,configuration!$P$7:$Q$10,2,FALSE))</f>
        <v/>
      </c>
      <c r="S849" s="56"/>
      <c r="T849" s="55"/>
      <c r="U849" s="78"/>
      <c r="V849" s="76" t="str">
        <f t="shared" si="56"/>
        <v/>
      </c>
      <c r="W849" s="48" t="str">
        <f t="shared" si="56"/>
        <v/>
      </c>
      <c r="X849" s="48" t="str">
        <f t="shared" si="56"/>
        <v/>
      </c>
      <c r="Y849" s="48" t="str">
        <f t="shared" si="56"/>
        <v/>
      </c>
      <c r="Z849" s="49" t="str">
        <f t="shared" si="54"/>
        <v/>
      </c>
      <c r="AA849" s="50" t="str">
        <f t="shared" si="57"/>
        <v/>
      </c>
      <c r="AB849" s="48" t="str">
        <f t="shared" si="57"/>
        <v/>
      </c>
      <c r="AC849" s="48" t="str">
        <f t="shared" si="57"/>
        <v/>
      </c>
      <c r="AD849" s="48" t="str">
        <f t="shared" si="57"/>
        <v/>
      </c>
      <c r="AE849" s="48" t="str">
        <f t="shared" si="55"/>
        <v/>
      </c>
    </row>
    <row r="850" spans="1:31" x14ac:dyDescent="0.25">
      <c r="A850" s="2"/>
      <c r="B850" s="2"/>
      <c r="C850" s="2"/>
      <c r="D850" s="2" t="str">
        <f>IF(ISBLANK(C850),"",VLOOKUP(C850,configuration!$G$7:$H$10,2,FALSE))</f>
        <v/>
      </c>
      <c r="E850" s="2"/>
      <c r="F850" s="2"/>
      <c r="G850" s="2"/>
      <c r="H850" s="2" t="str">
        <f>IF(ISBLANK(G850),"",VLOOKUP(G850,configuration!$J$7:$K$10,2,FALSE))</f>
        <v/>
      </c>
      <c r="I850" s="30"/>
      <c r="J850" s="2"/>
      <c r="K850" s="31"/>
      <c r="L850" s="35"/>
      <c r="M850" s="2" t="str">
        <f>IF(ISBLANK(L850),"",VLOOKUP(L850,configuration!$M$7:$N$10,2,FALSE))</f>
        <v/>
      </c>
      <c r="N850" s="30"/>
      <c r="O850" s="2"/>
      <c r="P850" s="31"/>
      <c r="Q850" s="54"/>
      <c r="R850" s="55" t="str">
        <f>IF(ISBLANK(Q850),"",VLOOKUP(Q850,configuration!$P$7:$Q$10,2,FALSE))</f>
        <v/>
      </c>
      <c r="S850" s="56"/>
      <c r="T850" s="55"/>
      <c r="U850" s="78"/>
      <c r="V850" s="76" t="str">
        <f t="shared" si="56"/>
        <v/>
      </c>
      <c r="W850" s="48" t="str">
        <f t="shared" si="56"/>
        <v/>
      </c>
      <c r="X850" s="48" t="str">
        <f t="shared" si="56"/>
        <v/>
      </c>
      <c r="Y850" s="48" t="str">
        <f t="shared" si="56"/>
        <v/>
      </c>
      <c r="Z850" s="49" t="str">
        <f t="shared" si="54"/>
        <v/>
      </c>
      <c r="AA850" s="50" t="str">
        <f t="shared" si="57"/>
        <v/>
      </c>
      <c r="AB850" s="48" t="str">
        <f t="shared" si="57"/>
        <v/>
      </c>
      <c r="AC850" s="48" t="str">
        <f t="shared" si="57"/>
        <v/>
      </c>
      <c r="AD850" s="48" t="str">
        <f t="shared" si="57"/>
        <v/>
      </c>
      <c r="AE850" s="48" t="str">
        <f t="shared" si="55"/>
        <v/>
      </c>
    </row>
    <row r="851" spans="1:31" x14ac:dyDescent="0.25">
      <c r="A851" s="2"/>
      <c r="B851" s="2"/>
      <c r="C851" s="2"/>
      <c r="D851" s="2" t="str">
        <f>IF(ISBLANK(C851),"",VLOOKUP(C851,configuration!$G$7:$H$10,2,FALSE))</f>
        <v/>
      </c>
      <c r="E851" s="2"/>
      <c r="F851" s="2"/>
      <c r="G851" s="2"/>
      <c r="H851" s="2" t="str">
        <f>IF(ISBLANK(G851),"",VLOOKUP(G851,configuration!$J$7:$K$10,2,FALSE))</f>
        <v/>
      </c>
      <c r="I851" s="30"/>
      <c r="J851" s="2"/>
      <c r="K851" s="31"/>
      <c r="L851" s="35"/>
      <c r="M851" s="2" t="str">
        <f>IF(ISBLANK(L851),"",VLOOKUP(L851,configuration!$M$7:$N$10,2,FALSE))</f>
        <v/>
      </c>
      <c r="N851" s="30"/>
      <c r="O851" s="2"/>
      <c r="P851" s="31"/>
      <c r="Q851" s="54"/>
      <c r="R851" s="55" t="str">
        <f>IF(ISBLANK(Q851),"",VLOOKUP(Q851,configuration!$P$7:$Q$10,2,FALSE))</f>
        <v/>
      </c>
      <c r="S851" s="56"/>
      <c r="T851" s="55"/>
      <c r="U851" s="78"/>
      <c r="V851" s="76" t="str">
        <f t="shared" si="56"/>
        <v/>
      </c>
      <c r="W851" s="48" t="str">
        <f t="shared" si="56"/>
        <v/>
      </c>
      <c r="X851" s="48" t="str">
        <f t="shared" si="56"/>
        <v/>
      </c>
      <c r="Y851" s="48" t="str">
        <f t="shared" si="56"/>
        <v/>
      </c>
      <c r="Z851" s="49" t="str">
        <f t="shared" si="54"/>
        <v/>
      </c>
      <c r="AA851" s="50" t="str">
        <f t="shared" si="57"/>
        <v/>
      </c>
      <c r="AB851" s="48" t="str">
        <f t="shared" si="57"/>
        <v/>
      </c>
      <c r="AC851" s="48" t="str">
        <f t="shared" si="57"/>
        <v/>
      </c>
      <c r="AD851" s="48" t="str">
        <f t="shared" si="57"/>
        <v/>
      </c>
      <c r="AE851" s="48" t="str">
        <f t="shared" si="55"/>
        <v/>
      </c>
    </row>
    <row r="852" spans="1:31" x14ac:dyDescent="0.25">
      <c r="A852" s="2"/>
      <c r="B852" s="2"/>
      <c r="C852" s="2"/>
      <c r="D852" s="2" t="str">
        <f>IF(ISBLANK(C852),"",VLOOKUP(C852,configuration!$G$7:$H$10,2,FALSE))</f>
        <v/>
      </c>
      <c r="E852" s="2"/>
      <c r="F852" s="2"/>
      <c r="G852" s="2"/>
      <c r="H852" s="2" t="str">
        <f>IF(ISBLANK(G852),"",VLOOKUP(G852,configuration!$J$7:$K$10,2,FALSE))</f>
        <v/>
      </c>
      <c r="I852" s="30"/>
      <c r="J852" s="2"/>
      <c r="K852" s="31"/>
      <c r="L852" s="35"/>
      <c r="M852" s="2" t="str">
        <f>IF(ISBLANK(L852),"",VLOOKUP(L852,configuration!$M$7:$N$10,2,FALSE))</f>
        <v/>
      </c>
      <c r="N852" s="30"/>
      <c r="O852" s="2"/>
      <c r="P852" s="31"/>
      <c r="Q852" s="54"/>
      <c r="R852" s="55" t="str">
        <f>IF(ISBLANK(Q852),"",VLOOKUP(Q852,configuration!$P$7:$Q$10,2,FALSE))</f>
        <v/>
      </c>
      <c r="S852" s="56"/>
      <c r="T852" s="55"/>
      <c r="U852" s="78"/>
      <c r="V852" s="76" t="str">
        <f t="shared" si="56"/>
        <v/>
      </c>
      <c r="W852" s="48" t="str">
        <f t="shared" si="56"/>
        <v/>
      </c>
      <c r="X852" s="48" t="str">
        <f t="shared" si="56"/>
        <v/>
      </c>
      <c r="Y852" s="48" t="str">
        <f t="shared" si="56"/>
        <v/>
      </c>
      <c r="Z852" s="49" t="str">
        <f t="shared" si="54"/>
        <v/>
      </c>
      <c r="AA852" s="50" t="str">
        <f t="shared" si="57"/>
        <v/>
      </c>
      <c r="AB852" s="48" t="str">
        <f t="shared" si="57"/>
        <v/>
      </c>
      <c r="AC852" s="48" t="str">
        <f t="shared" si="57"/>
        <v/>
      </c>
      <c r="AD852" s="48" t="str">
        <f t="shared" si="57"/>
        <v/>
      </c>
      <c r="AE852" s="48" t="str">
        <f t="shared" si="55"/>
        <v/>
      </c>
    </row>
    <row r="853" spans="1:31" x14ac:dyDescent="0.25">
      <c r="A853" s="2"/>
      <c r="B853" s="2"/>
      <c r="C853" s="2"/>
      <c r="D853" s="2" t="str">
        <f>IF(ISBLANK(C853),"",VLOOKUP(C853,configuration!$G$7:$H$10,2,FALSE))</f>
        <v/>
      </c>
      <c r="E853" s="2"/>
      <c r="F853" s="2"/>
      <c r="G853" s="2"/>
      <c r="H853" s="2" t="str">
        <f>IF(ISBLANK(G853),"",VLOOKUP(G853,configuration!$J$7:$K$10,2,FALSE))</f>
        <v/>
      </c>
      <c r="I853" s="30"/>
      <c r="J853" s="2"/>
      <c r="K853" s="31"/>
      <c r="L853" s="35"/>
      <c r="M853" s="2" t="str">
        <f>IF(ISBLANK(L853),"",VLOOKUP(L853,configuration!$M$7:$N$10,2,FALSE))</f>
        <v/>
      </c>
      <c r="N853" s="30"/>
      <c r="O853" s="2"/>
      <c r="P853" s="31"/>
      <c r="Q853" s="54"/>
      <c r="R853" s="55" t="str">
        <f>IF(ISBLANK(Q853),"",VLOOKUP(Q853,configuration!$P$7:$Q$10,2,FALSE))</f>
        <v/>
      </c>
      <c r="S853" s="56"/>
      <c r="T853" s="55"/>
      <c r="U853" s="78"/>
      <c r="V853" s="76" t="str">
        <f t="shared" si="56"/>
        <v/>
      </c>
      <c r="W853" s="48" t="str">
        <f t="shared" si="56"/>
        <v/>
      </c>
      <c r="X853" s="48" t="str">
        <f t="shared" si="56"/>
        <v/>
      </c>
      <c r="Y853" s="48" t="str">
        <f t="shared" si="56"/>
        <v/>
      </c>
      <c r="Z853" s="49" t="str">
        <f t="shared" si="54"/>
        <v/>
      </c>
      <c r="AA853" s="50" t="str">
        <f t="shared" si="57"/>
        <v/>
      </c>
      <c r="AB853" s="48" t="str">
        <f t="shared" si="57"/>
        <v/>
      </c>
      <c r="AC853" s="48" t="str">
        <f t="shared" si="57"/>
        <v/>
      </c>
      <c r="AD853" s="48" t="str">
        <f t="shared" si="57"/>
        <v/>
      </c>
      <c r="AE853" s="48" t="str">
        <f t="shared" si="55"/>
        <v/>
      </c>
    </row>
    <row r="854" spans="1:31" x14ac:dyDescent="0.25">
      <c r="A854" s="2"/>
      <c r="B854" s="2"/>
      <c r="C854" s="2"/>
      <c r="D854" s="2" t="str">
        <f>IF(ISBLANK(C854),"",VLOOKUP(C854,configuration!$G$7:$H$10,2,FALSE))</f>
        <v/>
      </c>
      <c r="E854" s="2"/>
      <c r="F854" s="2"/>
      <c r="G854" s="2"/>
      <c r="H854" s="2" t="str">
        <f>IF(ISBLANK(G854),"",VLOOKUP(G854,configuration!$J$7:$K$10,2,FALSE))</f>
        <v/>
      </c>
      <c r="I854" s="30"/>
      <c r="J854" s="2"/>
      <c r="K854" s="31"/>
      <c r="L854" s="35"/>
      <c r="M854" s="2" t="str">
        <f>IF(ISBLANK(L854),"",VLOOKUP(L854,configuration!$M$7:$N$10,2,FALSE))</f>
        <v/>
      </c>
      <c r="N854" s="30"/>
      <c r="O854" s="2"/>
      <c r="P854" s="31"/>
      <c r="Q854" s="54"/>
      <c r="R854" s="55" t="str">
        <f>IF(ISBLANK(Q854),"",VLOOKUP(Q854,configuration!$P$7:$Q$10,2,FALSE))</f>
        <v/>
      </c>
      <c r="S854" s="56"/>
      <c r="T854" s="55"/>
      <c r="U854" s="78"/>
      <c r="V854" s="76" t="str">
        <f t="shared" si="56"/>
        <v/>
      </c>
      <c r="W854" s="48" t="str">
        <f t="shared" si="56"/>
        <v/>
      </c>
      <c r="X854" s="48" t="str">
        <f t="shared" si="56"/>
        <v/>
      </c>
      <c r="Y854" s="48" t="str">
        <f t="shared" si="56"/>
        <v/>
      </c>
      <c r="Z854" s="49" t="str">
        <f t="shared" si="54"/>
        <v/>
      </c>
      <c r="AA854" s="50" t="str">
        <f t="shared" si="57"/>
        <v/>
      </c>
      <c r="AB854" s="48" t="str">
        <f t="shared" si="57"/>
        <v/>
      </c>
      <c r="AC854" s="48" t="str">
        <f t="shared" si="57"/>
        <v/>
      </c>
      <c r="AD854" s="48" t="str">
        <f t="shared" si="57"/>
        <v/>
      </c>
      <c r="AE854" s="48" t="str">
        <f t="shared" si="55"/>
        <v/>
      </c>
    </row>
    <row r="855" spans="1:31" x14ac:dyDescent="0.25">
      <c r="A855" s="2"/>
      <c r="B855" s="2"/>
      <c r="C855" s="2"/>
      <c r="D855" s="2" t="str">
        <f>IF(ISBLANK(C855),"",VLOOKUP(C855,configuration!$G$7:$H$10,2,FALSE))</f>
        <v/>
      </c>
      <c r="E855" s="2"/>
      <c r="F855" s="2"/>
      <c r="G855" s="2"/>
      <c r="H855" s="2" t="str">
        <f>IF(ISBLANK(G855),"",VLOOKUP(G855,configuration!$J$7:$K$10,2,FALSE))</f>
        <v/>
      </c>
      <c r="I855" s="30"/>
      <c r="J855" s="2"/>
      <c r="K855" s="31"/>
      <c r="L855" s="35"/>
      <c r="M855" s="2" t="str">
        <f>IF(ISBLANK(L855),"",VLOOKUP(L855,configuration!$M$7:$N$10,2,FALSE))</f>
        <v/>
      </c>
      <c r="N855" s="30"/>
      <c r="O855" s="2"/>
      <c r="P855" s="31"/>
      <c r="Q855" s="54"/>
      <c r="R855" s="55" t="str">
        <f>IF(ISBLANK(Q855),"",VLOOKUP(Q855,configuration!$P$7:$Q$10,2,FALSE))</f>
        <v/>
      </c>
      <c r="S855" s="56"/>
      <c r="T855" s="55"/>
      <c r="U855" s="78"/>
      <c r="V855" s="76" t="str">
        <f t="shared" si="56"/>
        <v/>
      </c>
      <c r="W855" s="48" t="str">
        <f t="shared" si="56"/>
        <v/>
      </c>
      <c r="X855" s="48" t="str">
        <f t="shared" si="56"/>
        <v/>
      </c>
      <c r="Y855" s="48" t="str">
        <f t="shared" si="56"/>
        <v/>
      </c>
      <c r="Z855" s="49" t="str">
        <f t="shared" si="54"/>
        <v/>
      </c>
      <c r="AA855" s="50" t="str">
        <f t="shared" si="57"/>
        <v/>
      </c>
      <c r="AB855" s="48" t="str">
        <f t="shared" si="57"/>
        <v/>
      </c>
      <c r="AC855" s="48" t="str">
        <f t="shared" si="57"/>
        <v/>
      </c>
      <c r="AD855" s="48" t="str">
        <f t="shared" si="57"/>
        <v/>
      </c>
      <c r="AE855" s="48" t="str">
        <f t="shared" si="55"/>
        <v/>
      </c>
    </row>
    <row r="856" spans="1:31" x14ac:dyDescent="0.25">
      <c r="A856" s="2"/>
      <c r="B856" s="2"/>
      <c r="C856" s="2"/>
      <c r="D856" s="2" t="str">
        <f>IF(ISBLANK(C856),"",VLOOKUP(C856,configuration!$G$7:$H$10,2,FALSE))</f>
        <v/>
      </c>
      <c r="E856" s="2"/>
      <c r="F856" s="2"/>
      <c r="G856" s="2"/>
      <c r="H856" s="2" t="str">
        <f>IF(ISBLANK(G856),"",VLOOKUP(G856,configuration!$J$7:$K$10,2,FALSE))</f>
        <v/>
      </c>
      <c r="I856" s="30"/>
      <c r="J856" s="2"/>
      <c r="K856" s="31"/>
      <c r="L856" s="35"/>
      <c r="M856" s="2" t="str">
        <f>IF(ISBLANK(L856),"",VLOOKUP(L856,configuration!$M$7:$N$10,2,FALSE))</f>
        <v/>
      </c>
      <c r="N856" s="30"/>
      <c r="O856" s="2"/>
      <c r="P856" s="31"/>
      <c r="Q856" s="54"/>
      <c r="R856" s="55" t="str">
        <f>IF(ISBLANK(Q856),"",VLOOKUP(Q856,configuration!$P$7:$Q$10,2,FALSE))</f>
        <v/>
      </c>
      <c r="S856" s="56"/>
      <c r="T856" s="55"/>
      <c r="U856" s="78"/>
      <c r="V856" s="76" t="str">
        <f t="shared" si="56"/>
        <v/>
      </c>
      <c r="W856" s="48" t="str">
        <f t="shared" si="56"/>
        <v/>
      </c>
      <c r="X856" s="48" t="str">
        <f t="shared" si="56"/>
        <v/>
      </c>
      <c r="Y856" s="48" t="str">
        <f t="shared" si="56"/>
        <v/>
      </c>
      <c r="Z856" s="49" t="str">
        <f t="shared" si="54"/>
        <v/>
      </c>
      <c r="AA856" s="50" t="str">
        <f t="shared" si="57"/>
        <v/>
      </c>
      <c r="AB856" s="48" t="str">
        <f t="shared" si="57"/>
        <v/>
      </c>
      <c r="AC856" s="48" t="str">
        <f t="shared" si="57"/>
        <v/>
      </c>
      <c r="AD856" s="48" t="str">
        <f t="shared" si="57"/>
        <v/>
      </c>
      <c r="AE856" s="48" t="str">
        <f t="shared" si="55"/>
        <v/>
      </c>
    </row>
    <row r="857" spans="1:31" x14ac:dyDescent="0.25">
      <c r="A857" s="2"/>
      <c r="B857" s="2"/>
      <c r="C857" s="2"/>
      <c r="D857" s="2" t="str">
        <f>IF(ISBLANK(C857),"",VLOOKUP(C857,configuration!$G$7:$H$10,2,FALSE))</f>
        <v/>
      </c>
      <c r="E857" s="2"/>
      <c r="F857" s="2"/>
      <c r="G857" s="2"/>
      <c r="H857" s="2" t="str">
        <f>IF(ISBLANK(G857),"",VLOOKUP(G857,configuration!$J$7:$K$10,2,FALSE))</f>
        <v/>
      </c>
      <c r="I857" s="30"/>
      <c r="J857" s="2"/>
      <c r="K857" s="31"/>
      <c r="L857" s="35"/>
      <c r="M857" s="2" t="str">
        <f>IF(ISBLANK(L857),"",VLOOKUP(L857,configuration!$M$7:$N$10,2,FALSE))</f>
        <v/>
      </c>
      <c r="N857" s="30"/>
      <c r="O857" s="2"/>
      <c r="P857" s="31"/>
      <c r="Q857" s="54"/>
      <c r="R857" s="55" t="str">
        <f>IF(ISBLANK(Q857),"",VLOOKUP(Q857,configuration!$P$7:$Q$10,2,FALSE))</f>
        <v/>
      </c>
      <c r="S857" s="56"/>
      <c r="T857" s="55"/>
      <c r="U857" s="78"/>
      <c r="V857" s="76" t="str">
        <f t="shared" si="56"/>
        <v/>
      </c>
      <c r="W857" s="48" t="str">
        <f t="shared" si="56"/>
        <v/>
      </c>
      <c r="X857" s="48" t="str">
        <f t="shared" si="56"/>
        <v/>
      </c>
      <c r="Y857" s="48" t="str">
        <f t="shared" si="56"/>
        <v/>
      </c>
      <c r="Z857" s="49" t="str">
        <f t="shared" si="54"/>
        <v/>
      </c>
      <c r="AA857" s="50" t="str">
        <f t="shared" si="57"/>
        <v/>
      </c>
      <c r="AB857" s="48" t="str">
        <f t="shared" si="57"/>
        <v/>
      </c>
      <c r="AC857" s="48" t="str">
        <f t="shared" si="57"/>
        <v/>
      </c>
      <c r="AD857" s="48" t="str">
        <f t="shared" si="57"/>
        <v/>
      </c>
      <c r="AE857" s="48" t="str">
        <f t="shared" si="55"/>
        <v/>
      </c>
    </row>
    <row r="858" spans="1:31" x14ac:dyDescent="0.25">
      <c r="A858" s="2"/>
      <c r="B858" s="2"/>
      <c r="C858" s="2"/>
      <c r="D858" s="2" t="str">
        <f>IF(ISBLANK(C858),"",VLOOKUP(C858,configuration!$G$7:$H$10,2,FALSE))</f>
        <v/>
      </c>
      <c r="E858" s="2"/>
      <c r="F858" s="2"/>
      <c r="G858" s="2"/>
      <c r="H858" s="2" t="str">
        <f>IF(ISBLANK(G858),"",VLOOKUP(G858,configuration!$J$7:$K$10,2,FALSE))</f>
        <v/>
      </c>
      <c r="I858" s="30"/>
      <c r="J858" s="2"/>
      <c r="K858" s="31"/>
      <c r="L858" s="35"/>
      <c r="M858" s="2" t="str">
        <f>IF(ISBLANK(L858),"",VLOOKUP(L858,configuration!$M$7:$N$10,2,FALSE))</f>
        <v/>
      </c>
      <c r="N858" s="30"/>
      <c r="O858" s="2"/>
      <c r="P858" s="31"/>
      <c r="Q858" s="54"/>
      <c r="R858" s="55" t="str">
        <f>IF(ISBLANK(Q858),"",VLOOKUP(Q858,configuration!$P$7:$Q$10,2,FALSE))</f>
        <v/>
      </c>
      <c r="S858" s="56"/>
      <c r="T858" s="55"/>
      <c r="U858" s="78"/>
      <c r="V858" s="76" t="str">
        <f t="shared" si="56"/>
        <v/>
      </c>
      <c r="W858" s="48" t="str">
        <f t="shared" si="56"/>
        <v/>
      </c>
      <c r="X858" s="48" t="str">
        <f t="shared" si="56"/>
        <v/>
      </c>
      <c r="Y858" s="48" t="str">
        <f t="shared" si="56"/>
        <v/>
      </c>
      <c r="Z858" s="49" t="str">
        <f t="shared" si="54"/>
        <v/>
      </c>
      <c r="AA858" s="50" t="str">
        <f t="shared" si="57"/>
        <v/>
      </c>
      <c r="AB858" s="48" t="str">
        <f t="shared" si="57"/>
        <v/>
      </c>
      <c r="AC858" s="48" t="str">
        <f t="shared" si="57"/>
        <v/>
      </c>
      <c r="AD858" s="48" t="str">
        <f t="shared" si="57"/>
        <v/>
      </c>
      <c r="AE858" s="48" t="str">
        <f t="shared" si="55"/>
        <v/>
      </c>
    </row>
    <row r="859" spans="1:31" x14ac:dyDescent="0.25">
      <c r="A859" s="2"/>
      <c r="B859" s="2"/>
      <c r="C859" s="2"/>
      <c r="D859" s="2" t="str">
        <f>IF(ISBLANK(C859),"",VLOOKUP(C859,configuration!$G$7:$H$10,2,FALSE))</f>
        <v/>
      </c>
      <c r="E859" s="2"/>
      <c r="F859" s="2"/>
      <c r="G859" s="2"/>
      <c r="H859" s="2" t="str">
        <f>IF(ISBLANK(G859),"",VLOOKUP(G859,configuration!$J$7:$K$10,2,FALSE))</f>
        <v/>
      </c>
      <c r="I859" s="30"/>
      <c r="J859" s="2"/>
      <c r="K859" s="31"/>
      <c r="L859" s="35"/>
      <c r="M859" s="2" t="str">
        <f>IF(ISBLANK(L859),"",VLOOKUP(L859,configuration!$M$7:$N$10,2,FALSE))</f>
        <v/>
      </c>
      <c r="N859" s="30"/>
      <c r="O859" s="2"/>
      <c r="P859" s="31"/>
      <c r="Q859" s="54"/>
      <c r="R859" s="55" t="str">
        <f>IF(ISBLANK(Q859),"",VLOOKUP(Q859,configuration!$P$7:$Q$10,2,FALSE))</f>
        <v/>
      </c>
      <c r="S859" s="56"/>
      <c r="T859" s="55"/>
      <c r="U859" s="78"/>
      <c r="V859" s="76" t="str">
        <f t="shared" si="56"/>
        <v/>
      </c>
      <c r="W859" s="48" t="str">
        <f t="shared" si="56"/>
        <v/>
      </c>
      <c r="X859" s="48" t="str">
        <f t="shared" si="56"/>
        <v/>
      </c>
      <c r="Y859" s="48" t="str">
        <f t="shared" si="56"/>
        <v/>
      </c>
      <c r="Z859" s="49" t="str">
        <f t="shared" si="54"/>
        <v/>
      </c>
      <c r="AA859" s="50" t="str">
        <f t="shared" si="57"/>
        <v/>
      </c>
      <c r="AB859" s="48" t="str">
        <f t="shared" si="57"/>
        <v/>
      </c>
      <c r="AC859" s="48" t="str">
        <f t="shared" si="57"/>
        <v/>
      </c>
      <c r="AD859" s="48" t="str">
        <f t="shared" si="57"/>
        <v/>
      </c>
      <c r="AE859" s="48" t="str">
        <f t="shared" si="55"/>
        <v/>
      </c>
    </row>
    <row r="860" spans="1:31" x14ac:dyDescent="0.25">
      <c r="A860" s="2"/>
      <c r="B860" s="2"/>
      <c r="C860" s="2"/>
      <c r="D860" s="2" t="str">
        <f>IF(ISBLANK(C860),"",VLOOKUP(C860,configuration!$G$7:$H$10,2,FALSE))</f>
        <v/>
      </c>
      <c r="E860" s="2"/>
      <c r="F860" s="2"/>
      <c r="G860" s="2"/>
      <c r="H860" s="2" t="str">
        <f>IF(ISBLANK(G860),"",VLOOKUP(G860,configuration!$J$7:$K$10,2,FALSE))</f>
        <v/>
      </c>
      <c r="I860" s="30"/>
      <c r="J860" s="2"/>
      <c r="K860" s="31"/>
      <c r="L860" s="35"/>
      <c r="M860" s="2" t="str">
        <f>IF(ISBLANK(L860),"",VLOOKUP(L860,configuration!$M$7:$N$10,2,FALSE))</f>
        <v/>
      </c>
      <c r="N860" s="30"/>
      <c r="O860" s="2"/>
      <c r="P860" s="31"/>
      <c r="Q860" s="54"/>
      <c r="R860" s="55" t="str">
        <f>IF(ISBLANK(Q860),"",VLOOKUP(Q860,configuration!$P$7:$Q$10,2,FALSE))</f>
        <v/>
      </c>
      <c r="S860" s="56"/>
      <c r="T860" s="55"/>
      <c r="U860" s="78"/>
      <c r="V860" s="76" t="str">
        <f t="shared" si="56"/>
        <v/>
      </c>
      <c r="W860" s="48" t="str">
        <f t="shared" si="56"/>
        <v/>
      </c>
      <c r="X860" s="48" t="str">
        <f t="shared" si="56"/>
        <v/>
      </c>
      <c r="Y860" s="48" t="str">
        <f t="shared" si="56"/>
        <v/>
      </c>
      <c r="Z860" s="49" t="str">
        <f t="shared" si="54"/>
        <v/>
      </c>
      <c r="AA860" s="50" t="str">
        <f t="shared" si="57"/>
        <v/>
      </c>
      <c r="AB860" s="48" t="str">
        <f t="shared" si="57"/>
        <v/>
      </c>
      <c r="AC860" s="48" t="str">
        <f t="shared" si="57"/>
        <v/>
      </c>
      <c r="AD860" s="48" t="str">
        <f t="shared" si="57"/>
        <v/>
      </c>
      <c r="AE860" s="48" t="str">
        <f t="shared" si="55"/>
        <v/>
      </c>
    </row>
    <row r="861" spans="1:31" x14ac:dyDescent="0.25">
      <c r="A861" s="2"/>
      <c r="B861" s="2"/>
      <c r="C861" s="2"/>
      <c r="D861" s="2" t="str">
        <f>IF(ISBLANK(C861),"",VLOOKUP(C861,configuration!$G$7:$H$10,2,FALSE))</f>
        <v/>
      </c>
      <c r="E861" s="2"/>
      <c r="F861" s="2"/>
      <c r="G861" s="2"/>
      <c r="H861" s="2" t="str">
        <f>IF(ISBLANK(G861),"",VLOOKUP(G861,configuration!$J$7:$K$10,2,FALSE))</f>
        <v/>
      </c>
      <c r="I861" s="30"/>
      <c r="J861" s="2"/>
      <c r="K861" s="31"/>
      <c r="L861" s="35"/>
      <c r="M861" s="2" t="str">
        <f>IF(ISBLANK(L861),"",VLOOKUP(L861,configuration!$M$7:$N$10,2,FALSE))</f>
        <v/>
      </c>
      <c r="N861" s="30"/>
      <c r="O861" s="2"/>
      <c r="P861" s="31"/>
      <c r="Q861" s="54"/>
      <c r="R861" s="55" t="str">
        <f>IF(ISBLANK(Q861),"",VLOOKUP(Q861,configuration!$P$7:$Q$10,2,FALSE))</f>
        <v/>
      </c>
      <c r="S861" s="56"/>
      <c r="T861" s="55"/>
      <c r="U861" s="78"/>
      <c r="V861" s="76" t="str">
        <f t="shared" si="56"/>
        <v/>
      </c>
      <c r="W861" s="48" t="str">
        <f t="shared" si="56"/>
        <v/>
      </c>
      <c r="X861" s="48" t="str">
        <f t="shared" si="56"/>
        <v/>
      </c>
      <c r="Y861" s="48" t="str">
        <f t="shared" si="56"/>
        <v/>
      </c>
      <c r="Z861" s="49" t="str">
        <f t="shared" si="54"/>
        <v/>
      </c>
      <c r="AA861" s="50" t="str">
        <f t="shared" si="57"/>
        <v/>
      </c>
      <c r="AB861" s="48" t="str">
        <f t="shared" si="57"/>
        <v/>
      </c>
      <c r="AC861" s="48" t="str">
        <f t="shared" si="57"/>
        <v/>
      </c>
      <c r="AD861" s="48" t="str">
        <f t="shared" si="57"/>
        <v/>
      </c>
      <c r="AE861" s="48" t="str">
        <f t="shared" si="55"/>
        <v/>
      </c>
    </row>
    <row r="862" spans="1:31" x14ac:dyDescent="0.25">
      <c r="A862" s="2"/>
      <c r="B862" s="2"/>
      <c r="C862" s="2"/>
      <c r="D862" s="2" t="str">
        <f>IF(ISBLANK(C862),"",VLOOKUP(C862,configuration!$G$7:$H$10,2,FALSE))</f>
        <v/>
      </c>
      <c r="E862" s="2"/>
      <c r="F862" s="2"/>
      <c r="G862" s="2"/>
      <c r="H862" s="2" t="str">
        <f>IF(ISBLANK(G862),"",VLOOKUP(G862,configuration!$J$7:$K$10,2,FALSE))</f>
        <v/>
      </c>
      <c r="I862" s="30"/>
      <c r="J862" s="2"/>
      <c r="K862" s="31"/>
      <c r="L862" s="35"/>
      <c r="M862" s="2" t="str">
        <f>IF(ISBLANK(L862),"",VLOOKUP(L862,configuration!$M$7:$N$10,2,FALSE))</f>
        <v/>
      </c>
      <c r="N862" s="30"/>
      <c r="O862" s="2"/>
      <c r="P862" s="31"/>
      <c r="Q862" s="54"/>
      <c r="R862" s="55" t="str">
        <f>IF(ISBLANK(Q862),"",VLOOKUP(Q862,configuration!$P$7:$Q$10,2,FALSE))</f>
        <v/>
      </c>
      <c r="S862" s="56"/>
      <c r="T862" s="55"/>
      <c r="U862" s="78"/>
      <c r="V862" s="76" t="str">
        <f t="shared" si="56"/>
        <v/>
      </c>
      <c r="W862" s="48" t="str">
        <f t="shared" si="56"/>
        <v/>
      </c>
      <c r="X862" s="48" t="str">
        <f t="shared" si="56"/>
        <v/>
      </c>
      <c r="Y862" s="48" t="str">
        <f t="shared" si="56"/>
        <v/>
      </c>
      <c r="Z862" s="49" t="str">
        <f t="shared" si="54"/>
        <v/>
      </c>
      <c r="AA862" s="50" t="str">
        <f t="shared" si="57"/>
        <v/>
      </c>
      <c r="AB862" s="48" t="str">
        <f t="shared" si="57"/>
        <v/>
      </c>
      <c r="AC862" s="48" t="str">
        <f t="shared" si="57"/>
        <v/>
      </c>
      <c r="AD862" s="48" t="str">
        <f t="shared" si="57"/>
        <v/>
      </c>
      <c r="AE862" s="48" t="str">
        <f t="shared" si="55"/>
        <v/>
      </c>
    </row>
    <row r="863" spans="1:31" x14ac:dyDescent="0.25">
      <c r="A863" s="2"/>
      <c r="B863" s="2"/>
      <c r="C863" s="2"/>
      <c r="D863" s="2" t="str">
        <f>IF(ISBLANK(C863),"",VLOOKUP(C863,configuration!$G$7:$H$10,2,FALSE))</f>
        <v/>
      </c>
      <c r="E863" s="2"/>
      <c r="F863" s="2"/>
      <c r="G863" s="2"/>
      <c r="H863" s="2" t="str">
        <f>IF(ISBLANK(G863),"",VLOOKUP(G863,configuration!$J$7:$K$10,2,FALSE))</f>
        <v/>
      </c>
      <c r="I863" s="30"/>
      <c r="J863" s="2"/>
      <c r="K863" s="31"/>
      <c r="L863" s="35"/>
      <c r="M863" s="2" t="str">
        <f>IF(ISBLANK(L863),"",VLOOKUP(L863,configuration!$M$7:$N$10,2,FALSE))</f>
        <v/>
      </c>
      <c r="N863" s="30"/>
      <c r="O863" s="2"/>
      <c r="P863" s="31"/>
      <c r="Q863" s="54"/>
      <c r="R863" s="55" t="str">
        <f>IF(ISBLANK(Q863),"",VLOOKUP(Q863,configuration!$P$7:$Q$10,2,FALSE))</f>
        <v/>
      </c>
      <c r="S863" s="56"/>
      <c r="T863" s="55"/>
      <c r="U863" s="78"/>
      <c r="V863" s="76" t="str">
        <f t="shared" si="56"/>
        <v/>
      </c>
      <c r="W863" s="48" t="str">
        <f t="shared" si="56"/>
        <v/>
      </c>
      <c r="X863" s="48" t="str">
        <f t="shared" si="56"/>
        <v/>
      </c>
      <c r="Y863" s="48" t="str">
        <f t="shared" si="56"/>
        <v/>
      </c>
      <c r="Z863" s="49" t="str">
        <f t="shared" si="54"/>
        <v/>
      </c>
      <c r="AA863" s="50" t="str">
        <f t="shared" si="57"/>
        <v/>
      </c>
      <c r="AB863" s="48" t="str">
        <f t="shared" si="57"/>
        <v/>
      </c>
      <c r="AC863" s="48" t="str">
        <f t="shared" si="57"/>
        <v/>
      </c>
      <c r="AD863" s="48" t="str">
        <f t="shared" si="57"/>
        <v/>
      </c>
      <c r="AE863" s="48" t="str">
        <f t="shared" si="55"/>
        <v/>
      </c>
    </row>
    <row r="864" spans="1:31" x14ac:dyDescent="0.25">
      <c r="A864" s="2"/>
      <c r="B864" s="2"/>
      <c r="C864" s="2"/>
      <c r="D864" s="2" t="str">
        <f>IF(ISBLANK(C864),"",VLOOKUP(C864,configuration!$G$7:$H$10,2,FALSE))</f>
        <v/>
      </c>
      <c r="E864" s="2"/>
      <c r="F864" s="2"/>
      <c r="G864" s="2"/>
      <c r="H864" s="2" t="str">
        <f>IF(ISBLANK(G864),"",VLOOKUP(G864,configuration!$J$7:$K$10,2,FALSE))</f>
        <v/>
      </c>
      <c r="I864" s="30"/>
      <c r="J864" s="2"/>
      <c r="K864" s="31"/>
      <c r="L864" s="35"/>
      <c r="M864" s="2" t="str">
        <f>IF(ISBLANK(L864),"",VLOOKUP(L864,configuration!$M$7:$N$10,2,FALSE))</f>
        <v/>
      </c>
      <c r="N864" s="30"/>
      <c r="O864" s="2"/>
      <c r="P864" s="31"/>
      <c r="Q864" s="54"/>
      <c r="R864" s="55" t="str">
        <f>IF(ISBLANK(Q864),"",VLOOKUP(Q864,configuration!$P$7:$Q$10,2,FALSE))</f>
        <v/>
      </c>
      <c r="S864" s="56"/>
      <c r="T864" s="55"/>
      <c r="U864" s="78"/>
      <c r="V864" s="76" t="str">
        <f t="shared" si="56"/>
        <v/>
      </c>
      <c r="W864" s="48" t="str">
        <f t="shared" si="56"/>
        <v/>
      </c>
      <c r="X864" s="48" t="str">
        <f t="shared" si="56"/>
        <v/>
      </c>
      <c r="Y864" s="48" t="str">
        <f t="shared" si="56"/>
        <v/>
      </c>
      <c r="Z864" s="49" t="str">
        <f t="shared" si="54"/>
        <v/>
      </c>
      <c r="AA864" s="50" t="str">
        <f t="shared" si="57"/>
        <v/>
      </c>
      <c r="AB864" s="48" t="str">
        <f t="shared" si="57"/>
        <v/>
      </c>
      <c r="AC864" s="48" t="str">
        <f t="shared" si="57"/>
        <v/>
      </c>
      <c r="AD864" s="48" t="str">
        <f t="shared" si="57"/>
        <v/>
      </c>
      <c r="AE864" s="48" t="str">
        <f t="shared" si="55"/>
        <v/>
      </c>
    </row>
    <row r="865" spans="1:31" x14ac:dyDescent="0.25">
      <c r="A865" s="2"/>
      <c r="B865" s="2"/>
      <c r="C865" s="2"/>
      <c r="D865" s="2" t="str">
        <f>IF(ISBLANK(C865),"",VLOOKUP(C865,configuration!$G$7:$H$10,2,FALSE))</f>
        <v/>
      </c>
      <c r="E865" s="2"/>
      <c r="F865" s="2"/>
      <c r="G865" s="2"/>
      <c r="H865" s="2" t="str">
        <f>IF(ISBLANK(G865),"",VLOOKUP(G865,configuration!$J$7:$K$10,2,FALSE))</f>
        <v/>
      </c>
      <c r="I865" s="30"/>
      <c r="J865" s="2"/>
      <c r="K865" s="31"/>
      <c r="L865" s="35"/>
      <c r="M865" s="2" t="str">
        <f>IF(ISBLANK(L865),"",VLOOKUP(L865,configuration!$M$7:$N$10,2,FALSE))</f>
        <v/>
      </c>
      <c r="N865" s="30"/>
      <c r="O865" s="2"/>
      <c r="P865" s="31"/>
      <c r="Q865" s="54"/>
      <c r="R865" s="55" t="str">
        <f>IF(ISBLANK(Q865),"",VLOOKUP(Q865,configuration!$P$7:$Q$10,2,FALSE))</f>
        <v/>
      </c>
      <c r="S865" s="56"/>
      <c r="T865" s="55"/>
      <c r="U865" s="78"/>
      <c r="V865" s="76" t="str">
        <f t="shared" si="56"/>
        <v/>
      </c>
      <c r="W865" s="48" t="str">
        <f t="shared" si="56"/>
        <v/>
      </c>
      <c r="X865" s="48" t="str">
        <f t="shared" si="56"/>
        <v/>
      </c>
      <c r="Y865" s="48" t="str">
        <f t="shared" si="56"/>
        <v/>
      </c>
      <c r="Z865" s="49" t="str">
        <f t="shared" si="54"/>
        <v/>
      </c>
      <c r="AA865" s="50" t="str">
        <f t="shared" si="57"/>
        <v/>
      </c>
      <c r="AB865" s="48" t="str">
        <f t="shared" si="57"/>
        <v/>
      </c>
      <c r="AC865" s="48" t="str">
        <f t="shared" si="57"/>
        <v/>
      </c>
      <c r="AD865" s="48" t="str">
        <f t="shared" si="57"/>
        <v/>
      </c>
      <c r="AE865" s="48" t="str">
        <f t="shared" si="55"/>
        <v/>
      </c>
    </row>
    <row r="866" spans="1:31" x14ac:dyDescent="0.25">
      <c r="A866" s="2"/>
      <c r="B866" s="2"/>
      <c r="C866" s="2"/>
      <c r="D866" s="2" t="str">
        <f>IF(ISBLANK(C866),"",VLOOKUP(C866,configuration!$G$7:$H$10,2,FALSE))</f>
        <v/>
      </c>
      <c r="E866" s="2"/>
      <c r="F866" s="2"/>
      <c r="G866" s="2"/>
      <c r="H866" s="2" t="str">
        <f>IF(ISBLANK(G866),"",VLOOKUP(G866,configuration!$J$7:$K$10,2,FALSE))</f>
        <v/>
      </c>
      <c r="I866" s="30"/>
      <c r="J866" s="2"/>
      <c r="K866" s="31"/>
      <c r="L866" s="35"/>
      <c r="M866" s="2" t="str">
        <f>IF(ISBLANK(L866),"",VLOOKUP(L866,configuration!$M$7:$N$10,2,FALSE))</f>
        <v/>
      </c>
      <c r="N866" s="30"/>
      <c r="O866" s="2"/>
      <c r="P866" s="31"/>
      <c r="Q866" s="54"/>
      <c r="R866" s="55" t="str">
        <f>IF(ISBLANK(Q866),"",VLOOKUP(Q866,configuration!$P$7:$Q$10,2,FALSE))</f>
        <v/>
      </c>
      <c r="S866" s="56"/>
      <c r="T866" s="55"/>
      <c r="U866" s="78"/>
      <c r="V866" s="76" t="str">
        <f t="shared" si="56"/>
        <v/>
      </c>
      <c r="W866" s="48" t="str">
        <f t="shared" si="56"/>
        <v/>
      </c>
      <c r="X866" s="48" t="str">
        <f t="shared" si="56"/>
        <v/>
      </c>
      <c r="Y866" s="48" t="str">
        <f t="shared" si="56"/>
        <v/>
      </c>
      <c r="Z866" s="49" t="str">
        <f t="shared" si="54"/>
        <v/>
      </c>
      <c r="AA866" s="50" t="str">
        <f t="shared" si="57"/>
        <v/>
      </c>
      <c r="AB866" s="48" t="str">
        <f t="shared" si="57"/>
        <v/>
      </c>
      <c r="AC866" s="48" t="str">
        <f t="shared" si="57"/>
        <v/>
      </c>
      <c r="AD866" s="48" t="str">
        <f t="shared" si="57"/>
        <v/>
      </c>
      <c r="AE866" s="48" t="str">
        <f t="shared" si="55"/>
        <v/>
      </c>
    </row>
    <row r="867" spans="1:31" x14ac:dyDescent="0.25">
      <c r="A867" s="2"/>
      <c r="B867" s="2"/>
      <c r="C867" s="2"/>
      <c r="D867" s="2" t="str">
        <f>IF(ISBLANK(C867),"",VLOOKUP(C867,configuration!$G$7:$H$10,2,FALSE))</f>
        <v/>
      </c>
      <c r="E867" s="2"/>
      <c r="F867" s="2"/>
      <c r="G867" s="2"/>
      <c r="H867" s="2" t="str">
        <f>IF(ISBLANK(G867),"",VLOOKUP(G867,configuration!$J$7:$K$10,2,FALSE))</f>
        <v/>
      </c>
      <c r="I867" s="30"/>
      <c r="J867" s="2"/>
      <c r="K867" s="31"/>
      <c r="L867" s="35"/>
      <c r="M867" s="2" t="str">
        <f>IF(ISBLANK(L867),"",VLOOKUP(L867,configuration!$M$7:$N$10,2,FALSE))</f>
        <v/>
      </c>
      <c r="N867" s="30"/>
      <c r="O867" s="2"/>
      <c r="P867" s="31"/>
      <c r="Q867" s="54"/>
      <c r="R867" s="55" t="str">
        <f>IF(ISBLANK(Q867),"",VLOOKUP(Q867,configuration!$P$7:$Q$10,2,FALSE))</f>
        <v/>
      </c>
      <c r="S867" s="56"/>
      <c r="T867" s="55"/>
      <c r="U867" s="78"/>
      <c r="V867" s="76" t="str">
        <f t="shared" si="56"/>
        <v/>
      </c>
      <c r="W867" s="48" t="str">
        <f t="shared" si="56"/>
        <v/>
      </c>
      <c r="X867" s="48" t="str">
        <f t="shared" si="56"/>
        <v/>
      </c>
      <c r="Y867" s="48" t="str">
        <f t="shared" si="56"/>
        <v/>
      </c>
      <c r="Z867" s="49" t="str">
        <f t="shared" si="54"/>
        <v/>
      </c>
      <c r="AA867" s="50" t="str">
        <f t="shared" si="57"/>
        <v/>
      </c>
      <c r="AB867" s="48" t="str">
        <f t="shared" si="57"/>
        <v/>
      </c>
      <c r="AC867" s="48" t="str">
        <f t="shared" si="57"/>
        <v/>
      </c>
      <c r="AD867" s="48" t="str">
        <f t="shared" si="57"/>
        <v/>
      </c>
      <c r="AE867" s="48" t="str">
        <f t="shared" si="55"/>
        <v/>
      </c>
    </row>
    <row r="868" spans="1:31" x14ac:dyDescent="0.25">
      <c r="A868" s="2"/>
      <c r="B868" s="2"/>
      <c r="C868" s="2"/>
      <c r="D868" s="2" t="str">
        <f>IF(ISBLANK(C868),"",VLOOKUP(C868,configuration!$G$7:$H$10,2,FALSE))</f>
        <v/>
      </c>
      <c r="E868" s="2"/>
      <c r="F868" s="2"/>
      <c r="G868" s="2"/>
      <c r="H868" s="2" t="str">
        <f>IF(ISBLANK(G868),"",VLOOKUP(G868,configuration!$J$7:$K$10,2,FALSE))</f>
        <v/>
      </c>
      <c r="I868" s="30"/>
      <c r="J868" s="2"/>
      <c r="K868" s="31"/>
      <c r="L868" s="35"/>
      <c r="M868" s="2" t="str">
        <f>IF(ISBLANK(L868),"",VLOOKUP(L868,configuration!$M$7:$N$10,2,FALSE))</f>
        <v/>
      </c>
      <c r="N868" s="30"/>
      <c r="O868" s="2"/>
      <c r="P868" s="31"/>
      <c r="Q868" s="54"/>
      <c r="R868" s="55" t="str">
        <f>IF(ISBLANK(Q868),"",VLOOKUP(Q868,configuration!$P$7:$Q$10,2,FALSE))</f>
        <v/>
      </c>
      <c r="S868" s="56"/>
      <c r="T868" s="55"/>
      <c r="U868" s="78"/>
      <c r="V868" s="76" t="str">
        <f t="shared" si="56"/>
        <v/>
      </c>
      <c r="W868" s="48" t="str">
        <f t="shared" si="56"/>
        <v/>
      </c>
      <c r="X868" s="48" t="str">
        <f t="shared" si="56"/>
        <v/>
      </c>
      <c r="Y868" s="48" t="str">
        <f t="shared" si="56"/>
        <v/>
      </c>
      <c r="Z868" s="49" t="str">
        <f t="shared" si="54"/>
        <v/>
      </c>
      <c r="AA868" s="50" t="str">
        <f t="shared" si="57"/>
        <v/>
      </c>
      <c r="AB868" s="48" t="str">
        <f t="shared" si="57"/>
        <v/>
      </c>
      <c r="AC868" s="48" t="str">
        <f t="shared" si="57"/>
        <v/>
      </c>
      <c r="AD868" s="48" t="str">
        <f t="shared" si="57"/>
        <v/>
      </c>
      <c r="AE868" s="48" t="str">
        <f t="shared" si="55"/>
        <v/>
      </c>
    </row>
    <row r="869" spans="1:31" x14ac:dyDescent="0.25">
      <c r="A869" s="2"/>
      <c r="B869" s="2"/>
      <c r="C869" s="2"/>
      <c r="D869" s="2" t="str">
        <f>IF(ISBLANK(C869),"",VLOOKUP(C869,configuration!$G$7:$H$10,2,FALSE))</f>
        <v/>
      </c>
      <c r="E869" s="2"/>
      <c r="F869" s="2"/>
      <c r="G869" s="2"/>
      <c r="H869" s="2" t="str">
        <f>IF(ISBLANK(G869),"",VLOOKUP(G869,configuration!$J$7:$K$10,2,FALSE))</f>
        <v/>
      </c>
      <c r="I869" s="30"/>
      <c r="J869" s="2"/>
      <c r="K869" s="31"/>
      <c r="L869" s="35"/>
      <c r="M869" s="2" t="str">
        <f>IF(ISBLANK(L869),"",VLOOKUP(L869,configuration!$M$7:$N$10,2,FALSE))</f>
        <v/>
      </c>
      <c r="N869" s="30"/>
      <c r="O869" s="2"/>
      <c r="P869" s="31"/>
      <c r="Q869" s="54"/>
      <c r="R869" s="55" t="str">
        <f>IF(ISBLANK(Q869),"",VLOOKUP(Q869,configuration!$P$7:$Q$10,2,FALSE))</f>
        <v/>
      </c>
      <c r="S869" s="56"/>
      <c r="T869" s="55"/>
      <c r="U869" s="78"/>
      <c r="V869" s="76" t="str">
        <f t="shared" si="56"/>
        <v/>
      </c>
      <c r="W869" s="48" t="str">
        <f t="shared" si="56"/>
        <v/>
      </c>
      <c r="X869" s="48" t="str">
        <f t="shared" si="56"/>
        <v/>
      </c>
      <c r="Y869" s="48" t="str">
        <f t="shared" si="56"/>
        <v/>
      </c>
      <c r="Z869" s="49" t="str">
        <f t="shared" si="54"/>
        <v/>
      </c>
      <c r="AA869" s="50" t="str">
        <f t="shared" si="57"/>
        <v/>
      </c>
      <c r="AB869" s="48" t="str">
        <f t="shared" si="57"/>
        <v/>
      </c>
      <c r="AC869" s="48" t="str">
        <f t="shared" si="57"/>
        <v/>
      </c>
      <c r="AD869" s="48" t="str">
        <f t="shared" si="57"/>
        <v/>
      </c>
      <c r="AE869" s="48" t="str">
        <f t="shared" si="55"/>
        <v/>
      </c>
    </row>
    <row r="870" spans="1:31" x14ac:dyDescent="0.25">
      <c r="A870" s="2"/>
      <c r="B870" s="2"/>
      <c r="C870" s="2"/>
      <c r="D870" s="2" t="str">
        <f>IF(ISBLANK(C870),"",VLOOKUP(C870,configuration!$G$7:$H$10,2,FALSE))</f>
        <v/>
      </c>
      <c r="E870" s="2"/>
      <c r="F870" s="2"/>
      <c r="G870" s="2"/>
      <c r="H870" s="2" t="str">
        <f>IF(ISBLANK(G870),"",VLOOKUP(G870,configuration!$J$7:$K$10,2,FALSE))</f>
        <v/>
      </c>
      <c r="I870" s="30"/>
      <c r="J870" s="2"/>
      <c r="K870" s="31"/>
      <c r="L870" s="35"/>
      <c r="M870" s="2" t="str">
        <f>IF(ISBLANK(L870),"",VLOOKUP(L870,configuration!$M$7:$N$10,2,FALSE))</f>
        <v/>
      </c>
      <c r="N870" s="30"/>
      <c r="O870" s="2"/>
      <c r="P870" s="31"/>
      <c r="Q870" s="54"/>
      <c r="R870" s="55" t="str">
        <f>IF(ISBLANK(Q870),"",VLOOKUP(Q870,configuration!$P$7:$Q$10,2,FALSE))</f>
        <v/>
      </c>
      <c r="S870" s="56"/>
      <c r="T870" s="55"/>
      <c r="U870" s="78"/>
      <c r="V870" s="76" t="str">
        <f t="shared" si="56"/>
        <v/>
      </c>
      <c r="W870" s="48" t="str">
        <f t="shared" si="56"/>
        <v/>
      </c>
      <c r="X870" s="48" t="str">
        <f t="shared" si="56"/>
        <v/>
      </c>
      <c r="Y870" s="48" t="str">
        <f t="shared" si="56"/>
        <v/>
      </c>
      <c r="Z870" s="49" t="str">
        <f t="shared" si="54"/>
        <v/>
      </c>
      <c r="AA870" s="50" t="str">
        <f t="shared" si="57"/>
        <v/>
      </c>
      <c r="AB870" s="48" t="str">
        <f t="shared" si="57"/>
        <v/>
      </c>
      <c r="AC870" s="48" t="str">
        <f t="shared" si="57"/>
        <v/>
      </c>
      <c r="AD870" s="48" t="str">
        <f t="shared" si="57"/>
        <v/>
      </c>
      <c r="AE870" s="48" t="str">
        <f t="shared" si="55"/>
        <v/>
      </c>
    </row>
    <row r="871" spans="1:31" x14ac:dyDescent="0.25">
      <c r="A871" s="2"/>
      <c r="B871" s="2"/>
      <c r="C871" s="2"/>
      <c r="D871" s="2" t="str">
        <f>IF(ISBLANK(C871),"",VLOOKUP(C871,configuration!$G$7:$H$10,2,FALSE))</f>
        <v/>
      </c>
      <c r="E871" s="2"/>
      <c r="F871" s="2"/>
      <c r="G871" s="2"/>
      <c r="H871" s="2" t="str">
        <f>IF(ISBLANK(G871),"",VLOOKUP(G871,configuration!$J$7:$K$10,2,FALSE))</f>
        <v/>
      </c>
      <c r="I871" s="30"/>
      <c r="J871" s="2"/>
      <c r="K871" s="31"/>
      <c r="L871" s="35"/>
      <c r="M871" s="2" t="str">
        <f>IF(ISBLANK(L871),"",VLOOKUP(L871,configuration!$M$7:$N$10,2,FALSE))</f>
        <v/>
      </c>
      <c r="N871" s="30"/>
      <c r="O871" s="2"/>
      <c r="P871" s="31"/>
      <c r="Q871" s="54"/>
      <c r="R871" s="55" t="str">
        <f>IF(ISBLANK(Q871),"",VLOOKUP(Q871,configuration!$P$7:$Q$10,2,FALSE))</f>
        <v/>
      </c>
      <c r="S871" s="56"/>
      <c r="T871" s="55"/>
      <c r="U871" s="78"/>
      <c r="V871" s="76" t="str">
        <f t="shared" si="56"/>
        <v/>
      </c>
      <c r="W871" s="48" t="str">
        <f t="shared" si="56"/>
        <v/>
      </c>
      <c r="X871" s="48" t="str">
        <f t="shared" si="56"/>
        <v/>
      </c>
      <c r="Y871" s="48" t="str">
        <f t="shared" si="56"/>
        <v/>
      </c>
      <c r="Z871" s="49" t="str">
        <f t="shared" si="54"/>
        <v/>
      </c>
      <c r="AA871" s="50" t="str">
        <f t="shared" si="57"/>
        <v/>
      </c>
      <c r="AB871" s="48" t="str">
        <f t="shared" si="57"/>
        <v/>
      </c>
      <c r="AC871" s="48" t="str">
        <f t="shared" si="57"/>
        <v/>
      </c>
      <c r="AD871" s="48" t="str">
        <f t="shared" si="57"/>
        <v/>
      </c>
      <c r="AE871" s="48" t="str">
        <f t="shared" si="55"/>
        <v/>
      </c>
    </row>
    <row r="872" spans="1:31" x14ac:dyDescent="0.25">
      <c r="A872" s="2"/>
      <c r="B872" s="2"/>
      <c r="C872" s="2"/>
      <c r="D872" s="2" t="str">
        <f>IF(ISBLANK(C872),"",VLOOKUP(C872,configuration!$G$7:$H$10,2,FALSE))</f>
        <v/>
      </c>
      <c r="E872" s="2"/>
      <c r="F872" s="2"/>
      <c r="G872" s="2"/>
      <c r="H872" s="2" t="str">
        <f>IF(ISBLANK(G872),"",VLOOKUP(G872,configuration!$J$7:$K$10,2,FALSE))</f>
        <v/>
      </c>
      <c r="I872" s="30"/>
      <c r="J872" s="2"/>
      <c r="K872" s="31"/>
      <c r="L872" s="35"/>
      <c r="M872" s="2" t="str">
        <f>IF(ISBLANK(L872),"",VLOOKUP(L872,configuration!$M$7:$N$10,2,FALSE))</f>
        <v/>
      </c>
      <c r="N872" s="30"/>
      <c r="O872" s="2"/>
      <c r="P872" s="31"/>
      <c r="Q872" s="54"/>
      <c r="R872" s="55" t="str">
        <f>IF(ISBLANK(Q872),"",VLOOKUP(Q872,configuration!$P$7:$Q$10,2,FALSE))</f>
        <v/>
      </c>
      <c r="S872" s="56"/>
      <c r="T872" s="55"/>
      <c r="U872" s="78"/>
      <c r="V872" s="76" t="str">
        <f t="shared" si="56"/>
        <v/>
      </c>
      <c r="W872" s="48" t="str">
        <f t="shared" si="56"/>
        <v/>
      </c>
      <c r="X872" s="48" t="str">
        <f t="shared" si="56"/>
        <v/>
      </c>
      <c r="Y872" s="48" t="str">
        <f t="shared" si="56"/>
        <v/>
      </c>
      <c r="Z872" s="49" t="str">
        <f t="shared" si="54"/>
        <v/>
      </c>
      <c r="AA872" s="50" t="str">
        <f t="shared" si="57"/>
        <v/>
      </c>
      <c r="AB872" s="48" t="str">
        <f t="shared" si="57"/>
        <v/>
      </c>
      <c r="AC872" s="48" t="str">
        <f t="shared" si="57"/>
        <v/>
      </c>
      <c r="AD872" s="48" t="str">
        <f t="shared" si="57"/>
        <v/>
      </c>
      <c r="AE872" s="48" t="str">
        <f t="shared" si="55"/>
        <v/>
      </c>
    </row>
    <row r="873" spans="1:31" x14ac:dyDescent="0.25">
      <c r="A873" s="2"/>
      <c r="B873" s="2"/>
      <c r="C873" s="2"/>
      <c r="D873" s="2" t="str">
        <f>IF(ISBLANK(C873),"",VLOOKUP(C873,configuration!$G$7:$H$10,2,FALSE))</f>
        <v/>
      </c>
      <c r="E873" s="2"/>
      <c r="F873" s="2"/>
      <c r="G873" s="2"/>
      <c r="H873" s="2" t="str">
        <f>IF(ISBLANK(G873),"",VLOOKUP(G873,configuration!$J$7:$K$10,2,FALSE))</f>
        <v/>
      </c>
      <c r="I873" s="30"/>
      <c r="J873" s="2"/>
      <c r="K873" s="31"/>
      <c r="L873" s="35"/>
      <c r="M873" s="2" t="str">
        <f>IF(ISBLANK(L873),"",VLOOKUP(L873,configuration!$M$7:$N$10,2,FALSE))</f>
        <v/>
      </c>
      <c r="N873" s="30"/>
      <c r="O873" s="2"/>
      <c r="P873" s="31"/>
      <c r="Q873" s="54"/>
      <c r="R873" s="55" t="str">
        <f>IF(ISBLANK(Q873),"",VLOOKUP(Q873,configuration!$P$7:$Q$10,2,FALSE))</f>
        <v/>
      </c>
      <c r="S873" s="56"/>
      <c r="T873" s="55"/>
      <c r="U873" s="78"/>
      <c r="V873" s="76" t="str">
        <f t="shared" si="56"/>
        <v/>
      </c>
      <c r="W873" s="48" t="str">
        <f t="shared" si="56"/>
        <v/>
      </c>
      <c r="X873" s="48" t="str">
        <f t="shared" si="56"/>
        <v/>
      </c>
      <c r="Y873" s="48" t="str">
        <f t="shared" si="56"/>
        <v/>
      </c>
      <c r="Z873" s="49" t="str">
        <f t="shared" si="54"/>
        <v/>
      </c>
      <c r="AA873" s="50" t="str">
        <f t="shared" si="57"/>
        <v/>
      </c>
      <c r="AB873" s="48" t="str">
        <f t="shared" si="57"/>
        <v/>
      </c>
      <c r="AC873" s="48" t="str">
        <f t="shared" si="57"/>
        <v/>
      </c>
      <c r="AD873" s="48" t="str">
        <f t="shared" si="57"/>
        <v/>
      </c>
      <c r="AE873" s="48" t="str">
        <f t="shared" si="55"/>
        <v/>
      </c>
    </row>
    <row r="874" spans="1:31" x14ac:dyDescent="0.25">
      <c r="A874" s="2"/>
      <c r="B874" s="2"/>
      <c r="C874" s="2"/>
      <c r="D874" s="2" t="str">
        <f>IF(ISBLANK(C874),"",VLOOKUP(C874,configuration!$G$7:$H$10,2,FALSE))</f>
        <v/>
      </c>
      <c r="E874" s="2"/>
      <c r="F874" s="2"/>
      <c r="G874" s="2"/>
      <c r="H874" s="2" t="str">
        <f>IF(ISBLANK(G874),"",VLOOKUP(G874,configuration!$J$7:$K$10,2,FALSE))</f>
        <v/>
      </c>
      <c r="I874" s="30"/>
      <c r="J874" s="2"/>
      <c r="K874" s="31"/>
      <c r="L874" s="35"/>
      <c r="M874" s="2" t="str">
        <f>IF(ISBLANK(L874),"",VLOOKUP(L874,configuration!$M$7:$N$10,2,FALSE))</f>
        <v/>
      </c>
      <c r="N874" s="30"/>
      <c r="O874" s="2"/>
      <c r="P874" s="31"/>
      <c r="Q874" s="54"/>
      <c r="R874" s="55" t="str">
        <f>IF(ISBLANK(Q874),"",VLOOKUP(Q874,configuration!$P$7:$Q$10,2,FALSE))</f>
        <v/>
      </c>
      <c r="S874" s="56"/>
      <c r="T874" s="55"/>
      <c r="U874" s="78"/>
      <c r="V874" s="76" t="str">
        <f t="shared" si="56"/>
        <v/>
      </c>
      <c r="W874" s="48" t="str">
        <f t="shared" si="56"/>
        <v/>
      </c>
      <c r="X874" s="48" t="str">
        <f t="shared" si="56"/>
        <v/>
      </c>
      <c r="Y874" s="48" t="str">
        <f t="shared" si="56"/>
        <v/>
      </c>
      <c r="Z874" s="49" t="str">
        <f t="shared" si="54"/>
        <v/>
      </c>
      <c r="AA874" s="50" t="str">
        <f t="shared" si="57"/>
        <v/>
      </c>
      <c r="AB874" s="48" t="str">
        <f t="shared" si="57"/>
        <v/>
      </c>
      <c r="AC874" s="48" t="str">
        <f t="shared" si="57"/>
        <v/>
      </c>
      <c r="AD874" s="48" t="str">
        <f t="shared" si="57"/>
        <v/>
      </c>
      <c r="AE874" s="48" t="str">
        <f t="shared" si="55"/>
        <v/>
      </c>
    </row>
    <row r="875" spans="1:31" x14ac:dyDescent="0.25">
      <c r="A875" s="2"/>
      <c r="B875" s="2"/>
      <c r="C875" s="2"/>
      <c r="D875" s="2" t="str">
        <f>IF(ISBLANK(C875),"",VLOOKUP(C875,configuration!$G$7:$H$10,2,FALSE))</f>
        <v/>
      </c>
      <c r="E875" s="2"/>
      <c r="F875" s="2"/>
      <c r="G875" s="2"/>
      <c r="H875" s="2" t="str">
        <f>IF(ISBLANK(G875),"",VLOOKUP(G875,configuration!$J$7:$K$10,2,FALSE))</f>
        <v/>
      </c>
      <c r="I875" s="30"/>
      <c r="J875" s="2"/>
      <c r="K875" s="31"/>
      <c r="L875" s="35"/>
      <c r="M875" s="2" t="str">
        <f>IF(ISBLANK(L875),"",VLOOKUP(L875,configuration!$M$7:$N$10,2,FALSE))</f>
        <v/>
      </c>
      <c r="N875" s="30"/>
      <c r="O875" s="2"/>
      <c r="P875" s="31"/>
      <c r="Q875" s="54"/>
      <c r="R875" s="55" t="str">
        <f>IF(ISBLANK(Q875),"",VLOOKUP(Q875,configuration!$P$7:$Q$10,2,FALSE))</f>
        <v/>
      </c>
      <c r="S875" s="56"/>
      <c r="T875" s="55"/>
      <c r="U875" s="78"/>
      <c r="V875" s="76" t="str">
        <f t="shared" si="56"/>
        <v/>
      </c>
      <c r="W875" s="48" t="str">
        <f t="shared" si="56"/>
        <v/>
      </c>
      <c r="X875" s="48" t="str">
        <f t="shared" si="56"/>
        <v/>
      </c>
      <c r="Y875" s="48" t="str">
        <f t="shared" si="56"/>
        <v/>
      </c>
      <c r="Z875" s="49" t="str">
        <f t="shared" si="54"/>
        <v/>
      </c>
      <c r="AA875" s="50" t="str">
        <f t="shared" si="57"/>
        <v/>
      </c>
      <c r="AB875" s="48" t="str">
        <f t="shared" si="57"/>
        <v/>
      </c>
      <c r="AC875" s="48" t="str">
        <f t="shared" si="57"/>
        <v/>
      </c>
      <c r="AD875" s="48" t="str">
        <f t="shared" si="57"/>
        <v/>
      </c>
      <c r="AE875" s="48" t="str">
        <f t="shared" si="55"/>
        <v/>
      </c>
    </row>
    <row r="876" spans="1:31" x14ac:dyDescent="0.25">
      <c r="A876" s="2"/>
      <c r="B876" s="2"/>
      <c r="C876" s="2"/>
      <c r="D876" s="2" t="str">
        <f>IF(ISBLANK(C876),"",VLOOKUP(C876,configuration!$G$7:$H$10,2,FALSE))</f>
        <v/>
      </c>
      <c r="E876" s="2"/>
      <c r="F876" s="2"/>
      <c r="G876" s="2"/>
      <c r="H876" s="2" t="str">
        <f>IF(ISBLANK(G876),"",VLOOKUP(G876,configuration!$J$7:$K$10,2,FALSE))</f>
        <v/>
      </c>
      <c r="I876" s="30"/>
      <c r="J876" s="2"/>
      <c r="K876" s="31"/>
      <c r="L876" s="35"/>
      <c r="M876" s="2" t="str">
        <f>IF(ISBLANK(L876),"",VLOOKUP(L876,configuration!$M$7:$N$10,2,FALSE))</f>
        <v/>
      </c>
      <c r="N876" s="30"/>
      <c r="O876" s="2"/>
      <c r="P876" s="31"/>
      <c r="Q876" s="54"/>
      <c r="R876" s="55" t="str">
        <f>IF(ISBLANK(Q876),"",VLOOKUP(Q876,configuration!$P$7:$Q$10,2,FALSE))</f>
        <v/>
      </c>
      <c r="S876" s="56"/>
      <c r="T876" s="55"/>
      <c r="U876" s="78"/>
      <c r="V876" s="76" t="str">
        <f t="shared" si="56"/>
        <v/>
      </c>
      <c r="W876" s="48" t="str">
        <f t="shared" si="56"/>
        <v/>
      </c>
      <c r="X876" s="48" t="str">
        <f t="shared" si="56"/>
        <v/>
      </c>
      <c r="Y876" s="48" t="str">
        <f t="shared" si="56"/>
        <v/>
      </c>
      <c r="Z876" s="49" t="str">
        <f t="shared" si="54"/>
        <v/>
      </c>
      <c r="AA876" s="50" t="str">
        <f t="shared" si="57"/>
        <v/>
      </c>
      <c r="AB876" s="48" t="str">
        <f t="shared" si="57"/>
        <v/>
      </c>
      <c r="AC876" s="48" t="str">
        <f t="shared" si="57"/>
        <v/>
      </c>
      <c r="AD876" s="48" t="str">
        <f t="shared" si="57"/>
        <v/>
      </c>
      <c r="AE876" s="48" t="str">
        <f t="shared" si="55"/>
        <v/>
      </c>
    </row>
    <row r="877" spans="1:31" x14ac:dyDescent="0.25">
      <c r="A877" s="2"/>
      <c r="B877" s="2"/>
      <c r="C877" s="2"/>
      <c r="D877" s="2" t="str">
        <f>IF(ISBLANK(C877),"",VLOOKUP(C877,configuration!$G$7:$H$10,2,FALSE))</f>
        <v/>
      </c>
      <c r="E877" s="2"/>
      <c r="F877" s="2"/>
      <c r="G877" s="2"/>
      <c r="H877" s="2" t="str">
        <f>IF(ISBLANK(G877),"",VLOOKUP(G877,configuration!$J$7:$K$10,2,FALSE))</f>
        <v/>
      </c>
      <c r="I877" s="30"/>
      <c r="J877" s="2"/>
      <c r="K877" s="31"/>
      <c r="L877" s="35"/>
      <c r="M877" s="2" t="str">
        <f>IF(ISBLANK(L877),"",VLOOKUP(L877,configuration!$M$7:$N$10,2,FALSE))</f>
        <v/>
      </c>
      <c r="N877" s="30"/>
      <c r="O877" s="2"/>
      <c r="P877" s="31"/>
      <c r="Q877" s="54"/>
      <c r="R877" s="55" t="str">
        <f>IF(ISBLANK(Q877),"",VLOOKUP(Q877,configuration!$P$7:$Q$10,2,FALSE))</f>
        <v/>
      </c>
      <c r="S877" s="56"/>
      <c r="T877" s="55"/>
      <c r="U877" s="78"/>
      <c r="V877" s="76" t="str">
        <f t="shared" si="56"/>
        <v/>
      </c>
      <c r="W877" s="48" t="str">
        <f t="shared" si="56"/>
        <v/>
      </c>
      <c r="X877" s="48" t="str">
        <f t="shared" si="56"/>
        <v/>
      </c>
      <c r="Y877" s="48" t="str">
        <f t="shared" si="56"/>
        <v/>
      </c>
      <c r="Z877" s="49" t="str">
        <f t="shared" si="54"/>
        <v/>
      </c>
      <c r="AA877" s="50" t="str">
        <f t="shared" si="57"/>
        <v/>
      </c>
      <c r="AB877" s="48" t="str">
        <f t="shared" si="57"/>
        <v/>
      </c>
      <c r="AC877" s="48" t="str">
        <f t="shared" si="57"/>
        <v/>
      </c>
      <c r="AD877" s="48" t="str">
        <f t="shared" si="57"/>
        <v/>
      </c>
      <c r="AE877" s="48" t="str">
        <f t="shared" si="55"/>
        <v/>
      </c>
    </row>
    <row r="878" spans="1:31" x14ac:dyDescent="0.25">
      <c r="A878" s="2"/>
      <c r="B878" s="2"/>
      <c r="C878" s="2"/>
      <c r="D878" s="2" t="str">
        <f>IF(ISBLANK(C878),"",VLOOKUP(C878,configuration!$G$7:$H$10,2,FALSE))</f>
        <v/>
      </c>
      <c r="E878" s="2"/>
      <c r="F878" s="2"/>
      <c r="G878" s="2"/>
      <c r="H878" s="2" t="str">
        <f>IF(ISBLANK(G878),"",VLOOKUP(G878,configuration!$J$7:$K$10,2,FALSE))</f>
        <v/>
      </c>
      <c r="I878" s="30"/>
      <c r="J878" s="2"/>
      <c r="K878" s="31"/>
      <c r="L878" s="35"/>
      <c r="M878" s="2" t="str">
        <f>IF(ISBLANK(L878),"",VLOOKUP(L878,configuration!$M$7:$N$10,2,FALSE))</f>
        <v/>
      </c>
      <c r="N878" s="30"/>
      <c r="O878" s="2"/>
      <c r="P878" s="31"/>
      <c r="Q878" s="54"/>
      <c r="R878" s="55" t="str">
        <f>IF(ISBLANK(Q878),"",VLOOKUP(Q878,configuration!$P$7:$Q$10,2,FALSE))</f>
        <v/>
      </c>
      <c r="S878" s="56"/>
      <c r="T878" s="55"/>
      <c r="U878" s="78"/>
      <c r="V878" s="76" t="str">
        <f t="shared" si="56"/>
        <v/>
      </c>
      <c r="W878" s="48" t="str">
        <f t="shared" si="56"/>
        <v/>
      </c>
      <c r="X878" s="48" t="str">
        <f t="shared" si="56"/>
        <v/>
      </c>
      <c r="Y878" s="48" t="str">
        <f t="shared" si="56"/>
        <v/>
      </c>
      <c r="Z878" s="49" t="str">
        <f t="shared" si="54"/>
        <v/>
      </c>
      <c r="AA878" s="50" t="str">
        <f t="shared" si="57"/>
        <v/>
      </c>
      <c r="AB878" s="48" t="str">
        <f t="shared" si="57"/>
        <v/>
      </c>
      <c r="AC878" s="48" t="str">
        <f t="shared" si="57"/>
        <v/>
      </c>
      <c r="AD878" s="48" t="str">
        <f t="shared" si="57"/>
        <v/>
      </c>
      <c r="AE878" s="48" t="str">
        <f t="shared" si="55"/>
        <v/>
      </c>
    </row>
    <row r="879" spans="1:31" x14ac:dyDescent="0.25">
      <c r="A879" s="2"/>
      <c r="B879" s="2"/>
      <c r="C879" s="2"/>
      <c r="D879" s="2" t="str">
        <f>IF(ISBLANK(C879),"",VLOOKUP(C879,configuration!$G$7:$H$10,2,FALSE))</f>
        <v/>
      </c>
      <c r="E879" s="2"/>
      <c r="F879" s="2"/>
      <c r="G879" s="2"/>
      <c r="H879" s="2" t="str">
        <f>IF(ISBLANK(G879),"",VLOOKUP(G879,configuration!$J$7:$K$10,2,FALSE))</f>
        <v/>
      </c>
      <c r="I879" s="30"/>
      <c r="J879" s="2"/>
      <c r="K879" s="31"/>
      <c r="L879" s="35"/>
      <c r="M879" s="2" t="str">
        <f>IF(ISBLANK(L879),"",VLOOKUP(L879,configuration!$M$7:$N$10,2,FALSE))</f>
        <v/>
      </c>
      <c r="N879" s="30"/>
      <c r="O879" s="2"/>
      <c r="P879" s="31"/>
      <c r="Q879" s="54"/>
      <c r="R879" s="55" t="str">
        <f>IF(ISBLANK(Q879),"",VLOOKUP(Q879,configuration!$P$7:$Q$10,2,FALSE))</f>
        <v/>
      </c>
      <c r="S879" s="56"/>
      <c r="T879" s="55"/>
      <c r="U879" s="78"/>
      <c r="V879" s="76" t="str">
        <f t="shared" si="56"/>
        <v/>
      </c>
      <c r="W879" s="48" t="str">
        <f t="shared" si="56"/>
        <v/>
      </c>
      <c r="X879" s="48" t="str">
        <f t="shared" si="56"/>
        <v/>
      </c>
      <c r="Y879" s="48" t="str">
        <f t="shared" si="56"/>
        <v/>
      </c>
      <c r="Z879" s="49" t="str">
        <f t="shared" si="54"/>
        <v/>
      </c>
      <c r="AA879" s="50" t="str">
        <f t="shared" si="57"/>
        <v/>
      </c>
      <c r="AB879" s="48" t="str">
        <f t="shared" si="57"/>
        <v/>
      </c>
      <c r="AC879" s="48" t="str">
        <f t="shared" si="57"/>
        <v/>
      </c>
      <c r="AD879" s="48" t="str">
        <f t="shared" si="57"/>
        <v/>
      </c>
      <c r="AE879" s="48" t="str">
        <f t="shared" si="55"/>
        <v/>
      </c>
    </row>
    <row r="880" spans="1:31" x14ac:dyDescent="0.25">
      <c r="A880" s="2"/>
      <c r="B880" s="2"/>
      <c r="C880" s="2"/>
      <c r="D880" s="2" t="str">
        <f>IF(ISBLANK(C880),"",VLOOKUP(C880,configuration!$G$7:$H$10,2,FALSE))</f>
        <v/>
      </c>
      <c r="E880" s="2"/>
      <c r="F880" s="2"/>
      <c r="G880" s="2"/>
      <c r="H880" s="2" t="str">
        <f>IF(ISBLANK(G880),"",VLOOKUP(G880,configuration!$J$7:$K$10,2,FALSE))</f>
        <v/>
      </c>
      <c r="I880" s="30"/>
      <c r="J880" s="2"/>
      <c r="K880" s="31"/>
      <c r="L880" s="35"/>
      <c r="M880" s="2" t="str">
        <f>IF(ISBLANK(L880),"",VLOOKUP(L880,configuration!$M$7:$N$10,2,FALSE))</f>
        <v/>
      </c>
      <c r="N880" s="30"/>
      <c r="O880" s="2"/>
      <c r="P880" s="31"/>
      <c r="Q880" s="54"/>
      <c r="R880" s="55" t="str">
        <f>IF(ISBLANK(Q880),"",VLOOKUP(Q880,configuration!$P$7:$Q$10,2,FALSE))</f>
        <v/>
      </c>
      <c r="S880" s="56"/>
      <c r="T880" s="55"/>
      <c r="U880" s="78"/>
      <c r="V880" s="76" t="str">
        <f t="shared" si="56"/>
        <v/>
      </c>
      <c r="W880" s="48" t="str">
        <f t="shared" si="56"/>
        <v/>
      </c>
      <c r="X880" s="48" t="str">
        <f t="shared" si="56"/>
        <v/>
      </c>
      <c r="Y880" s="48" t="str">
        <f t="shared" si="56"/>
        <v/>
      </c>
      <c r="Z880" s="49" t="str">
        <f t="shared" si="54"/>
        <v/>
      </c>
      <c r="AA880" s="50" t="str">
        <f t="shared" si="57"/>
        <v/>
      </c>
      <c r="AB880" s="48" t="str">
        <f t="shared" si="57"/>
        <v/>
      </c>
      <c r="AC880" s="48" t="str">
        <f t="shared" si="57"/>
        <v/>
      </c>
      <c r="AD880" s="48" t="str">
        <f t="shared" si="57"/>
        <v/>
      </c>
      <c r="AE880" s="48" t="str">
        <f t="shared" si="55"/>
        <v/>
      </c>
    </row>
    <row r="881" spans="1:31" x14ac:dyDescent="0.25">
      <c r="A881" s="2"/>
      <c r="B881" s="2"/>
      <c r="C881" s="2"/>
      <c r="D881" s="2" t="str">
        <f>IF(ISBLANK(C881),"",VLOOKUP(C881,configuration!$G$7:$H$10,2,FALSE))</f>
        <v/>
      </c>
      <c r="E881" s="2"/>
      <c r="F881" s="2"/>
      <c r="G881" s="2"/>
      <c r="H881" s="2" t="str">
        <f>IF(ISBLANK(G881),"",VLOOKUP(G881,configuration!$J$7:$K$10,2,FALSE))</f>
        <v/>
      </c>
      <c r="I881" s="30"/>
      <c r="J881" s="2"/>
      <c r="K881" s="31"/>
      <c r="L881" s="35"/>
      <c r="M881" s="2" t="str">
        <f>IF(ISBLANK(L881),"",VLOOKUP(L881,configuration!$M$7:$N$10,2,FALSE))</f>
        <v/>
      </c>
      <c r="N881" s="30"/>
      <c r="O881" s="2"/>
      <c r="P881" s="31"/>
      <c r="Q881" s="54"/>
      <c r="R881" s="55" t="str">
        <f>IF(ISBLANK(Q881),"",VLOOKUP(Q881,configuration!$P$7:$Q$10,2,FALSE))</f>
        <v/>
      </c>
      <c r="S881" s="56"/>
      <c r="T881" s="55"/>
      <c r="U881" s="78"/>
      <c r="V881" s="76" t="str">
        <f t="shared" si="56"/>
        <v/>
      </c>
      <c r="W881" s="48" t="str">
        <f t="shared" si="56"/>
        <v/>
      </c>
      <c r="X881" s="48" t="str">
        <f t="shared" si="56"/>
        <v/>
      </c>
      <c r="Y881" s="48" t="str">
        <f t="shared" si="56"/>
        <v/>
      </c>
      <c r="Z881" s="49" t="str">
        <f t="shared" si="54"/>
        <v/>
      </c>
      <c r="AA881" s="50" t="str">
        <f t="shared" si="57"/>
        <v/>
      </c>
      <c r="AB881" s="48" t="str">
        <f t="shared" si="57"/>
        <v/>
      </c>
      <c r="AC881" s="48" t="str">
        <f t="shared" si="57"/>
        <v/>
      </c>
      <c r="AD881" s="48" t="str">
        <f t="shared" si="57"/>
        <v/>
      </c>
      <c r="AE881" s="48" t="str">
        <f t="shared" si="55"/>
        <v/>
      </c>
    </row>
    <row r="882" spans="1:31" x14ac:dyDescent="0.25">
      <c r="A882" s="2"/>
      <c r="B882" s="2"/>
      <c r="C882" s="2"/>
      <c r="D882" s="2" t="str">
        <f>IF(ISBLANK(C882),"",VLOOKUP(C882,configuration!$G$7:$H$10,2,FALSE))</f>
        <v/>
      </c>
      <c r="E882" s="2"/>
      <c r="F882" s="2"/>
      <c r="G882" s="2"/>
      <c r="H882" s="2" t="str">
        <f>IF(ISBLANK(G882),"",VLOOKUP(G882,configuration!$J$7:$K$10,2,FALSE))</f>
        <v/>
      </c>
      <c r="I882" s="30"/>
      <c r="J882" s="2"/>
      <c r="K882" s="31"/>
      <c r="L882" s="35"/>
      <c r="M882" s="2" t="str">
        <f>IF(ISBLANK(L882),"",VLOOKUP(L882,configuration!$M$7:$N$10,2,FALSE))</f>
        <v/>
      </c>
      <c r="N882" s="30"/>
      <c r="O882" s="2"/>
      <c r="P882" s="31"/>
      <c r="Q882" s="54"/>
      <c r="R882" s="55" t="str">
        <f>IF(ISBLANK(Q882),"",VLOOKUP(Q882,configuration!$P$7:$Q$10,2,FALSE))</f>
        <v/>
      </c>
      <c r="S882" s="56"/>
      <c r="T882" s="55"/>
      <c r="U882" s="78"/>
      <c r="V882" s="76" t="str">
        <f t="shared" si="56"/>
        <v/>
      </c>
      <c r="W882" s="48" t="str">
        <f t="shared" si="56"/>
        <v/>
      </c>
      <c r="X882" s="48" t="str">
        <f t="shared" si="56"/>
        <v/>
      </c>
      <c r="Y882" s="48" t="str">
        <f t="shared" si="56"/>
        <v/>
      </c>
      <c r="Z882" s="49" t="str">
        <f t="shared" si="54"/>
        <v/>
      </c>
      <c r="AA882" s="50" t="str">
        <f t="shared" si="57"/>
        <v/>
      </c>
      <c r="AB882" s="48" t="str">
        <f t="shared" si="57"/>
        <v/>
      </c>
      <c r="AC882" s="48" t="str">
        <f t="shared" si="57"/>
        <v/>
      </c>
      <c r="AD882" s="48" t="str">
        <f t="shared" si="57"/>
        <v/>
      </c>
      <c r="AE882" s="48" t="str">
        <f t="shared" si="55"/>
        <v/>
      </c>
    </row>
    <row r="883" spans="1:31" x14ac:dyDescent="0.25">
      <c r="A883" s="2"/>
      <c r="B883" s="2"/>
      <c r="C883" s="2"/>
      <c r="D883" s="2" t="str">
        <f>IF(ISBLANK(C883),"",VLOOKUP(C883,configuration!$G$7:$H$10,2,FALSE))</f>
        <v/>
      </c>
      <c r="E883" s="2"/>
      <c r="F883" s="2"/>
      <c r="G883" s="2"/>
      <c r="H883" s="2" t="str">
        <f>IF(ISBLANK(G883),"",VLOOKUP(G883,configuration!$J$7:$K$10,2,FALSE))</f>
        <v/>
      </c>
      <c r="I883" s="30"/>
      <c r="J883" s="2"/>
      <c r="K883" s="31"/>
      <c r="L883" s="35"/>
      <c r="M883" s="2" t="str">
        <f>IF(ISBLANK(L883),"",VLOOKUP(L883,configuration!$M$7:$N$10,2,FALSE))</f>
        <v/>
      </c>
      <c r="N883" s="30"/>
      <c r="O883" s="2"/>
      <c r="P883" s="31"/>
      <c r="Q883" s="54"/>
      <c r="R883" s="55" t="str">
        <f>IF(ISBLANK(Q883),"",VLOOKUP(Q883,configuration!$P$7:$Q$10,2,FALSE))</f>
        <v/>
      </c>
      <c r="S883" s="56"/>
      <c r="T883" s="55"/>
      <c r="U883" s="78"/>
      <c r="V883" s="76" t="str">
        <f t="shared" si="56"/>
        <v/>
      </c>
      <c r="W883" s="48" t="str">
        <f t="shared" si="56"/>
        <v/>
      </c>
      <c r="X883" s="48" t="str">
        <f t="shared" si="56"/>
        <v/>
      </c>
      <c r="Y883" s="48" t="str">
        <f t="shared" si="56"/>
        <v/>
      </c>
      <c r="Z883" s="49" t="str">
        <f t="shared" si="54"/>
        <v/>
      </c>
      <c r="AA883" s="50" t="str">
        <f t="shared" si="57"/>
        <v/>
      </c>
      <c r="AB883" s="48" t="str">
        <f t="shared" si="57"/>
        <v/>
      </c>
      <c r="AC883" s="48" t="str">
        <f t="shared" si="57"/>
        <v/>
      </c>
      <c r="AD883" s="48" t="str">
        <f t="shared" si="57"/>
        <v/>
      </c>
      <c r="AE883" s="48" t="str">
        <f t="shared" si="55"/>
        <v/>
      </c>
    </row>
    <row r="884" spans="1:31" x14ac:dyDescent="0.25">
      <c r="A884" s="2"/>
      <c r="B884" s="2"/>
      <c r="C884" s="2"/>
      <c r="D884" s="2" t="str">
        <f>IF(ISBLANK(C884),"",VLOOKUP(C884,configuration!$G$7:$H$10,2,FALSE))</f>
        <v/>
      </c>
      <c r="E884" s="2"/>
      <c r="F884" s="2"/>
      <c r="G884" s="2"/>
      <c r="H884" s="2" t="str">
        <f>IF(ISBLANK(G884),"",VLOOKUP(G884,configuration!$J$7:$K$10,2,FALSE))</f>
        <v/>
      </c>
      <c r="I884" s="30"/>
      <c r="J884" s="2"/>
      <c r="K884" s="31"/>
      <c r="L884" s="35"/>
      <c r="M884" s="2" t="str">
        <f>IF(ISBLANK(L884),"",VLOOKUP(L884,configuration!$M$7:$N$10,2,FALSE))</f>
        <v/>
      </c>
      <c r="N884" s="30"/>
      <c r="O884" s="2"/>
      <c r="P884" s="31"/>
      <c r="Q884" s="54"/>
      <c r="R884" s="55" t="str">
        <f>IF(ISBLANK(Q884),"",VLOOKUP(Q884,configuration!$P$7:$Q$10,2,FALSE))</f>
        <v/>
      </c>
      <c r="S884" s="56"/>
      <c r="T884" s="55"/>
      <c r="U884" s="78"/>
      <c r="V884" s="76" t="str">
        <f t="shared" si="56"/>
        <v/>
      </c>
      <c r="W884" s="48" t="str">
        <f t="shared" si="56"/>
        <v/>
      </c>
      <c r="X884" s="48" t="str">
        <f t="shared" si="56"/>
        <v/>
      </c>
      <c r="Y884" s="48" t="str">
        <f t="shared" si="56"/>
        <v/>
      </c>
      <c r="Z884" s="49" t="str">
        <f t="shared" si="54"/>
        <v/>
      </c>
      <c r="AA884" s="50" t="str">
        <f t="shared" si="57"/>
        <v/>
      </c>
      <c r="AB884" s="48" t="str">
        <f t="shared" si="57"/>
        <v/>
      </c>
      <c r="AC884" s="48" t="str">
        <f t="shared" si="57"/>
        <v/>
      </c>
      <c r="AD884" s="48" t="str">
        <f t="shared" si="57"/>
        <v/>
      </c>
      <c r="AE884" s="48" t="str">
        <f t="shared" si="55"/>
        <v/>
      </c>
    </row>
    <row r="885" spans="1:31" x14ac:dyDescent="0.25">
      <c r="A885" s="2"/>
      <c r="B885" s="2"/>
      <c r="C885" s="2"/>
      <c r="D885" s="2" t="str">
        <f>IF(ISBLANK(C885),"",VLOOKUP(C885,configuration!$G$7:$H$10,2,FALSE))</f>
        <v/>
      </c>
      <c r="E885" s="2"/>
      <c r="F885" s="2"/>
      <c r="G885" s="2"/>
      <c r="H885" s="2" t="str">
        <f>IF(ISBLANK(G885),"",VLOOKUP(G885,configuration!$J$7:$K$10,2,FALSE))</f>
        <v/>
      </c>
      <c r="I885" s="30"/>
      <c r="J885" s="2"/>
      <c r="K885" s="31"/>
      <c r="L885" s="35"/>
      <c r="M885" s="2" t="str">
        <f>IF(ISBLANK(L885),"",VLOOKUP(L885,configuration!$M$7:$N$10,2,FALSE))</f>
        <v/>
      </c>
      <c r="N885" s="30"/>
      <c r="O885" s="2"/>
      <c r="P885" s="31"/>
      <c r="Q885" s="54"/>
      <c r="R885" s="55" t="str">
        <f>IF(ISBLANK(Q885),"",VLOOKUP(Q885,configuration!$P$7:$Q$10,2,FALSE))</f>
        <v/>
      </c>
      <c r="S885" s="56"/>
      <c r="T885" s="55"/>
      <c r="U885" s="78"/>
      <c r="V885" s="76" t="str">
        <f t="shared" si="56"/>
        <v/>
      </c>
      <c r="W885" s="48" t="str">
        <f t="shared" si="56"/>
        <v/>
      </c>
      <c r="X885" s="48" t="str">
        <f t="shared" si="56"/>
        <v/>
      </c>
      <c r="Y885" s="48" t="str">
        <f t="shared" si="56"/>
        <v/>
      </c>
      <c r="Z885" s="49" t="str">
        <f t="shared" si="54"/>
        <v/>
      </c>
      <c r="AA885" s="50" t="str">
        <f t="shared" si="57"/>
        <v/>
      </c>
      <c r="AB885" s="48" t="str">
        <f t="shared" si="57"/>
        <v/>
      </c>
      <c r="AC885" s="48" t="str">
        <f t="shared" si="57"/>
        <v/>
      </c>
      <c r="AD885" s="48" t="str">
        <f t="shared" si="57"/>
        <v/>
      </c>
      <c r="AE885" s="48" t="str">
        <f t="shared" si="55"/>
        <v/>
      </c>
    </row>
    <row r="886" spans="1:31" x14ac:dyDescent="0.25">
      <c r="A886" s="2"/>
      <c r="B886" s="2"/>
      <c r="C886" s="2"/>
      <c r="D886" s="2" t="str">
        <f>IF(ISBLANK(C886),"",VLOOKUP(C886,configuration!$G$7:$H$10,2,FALSE))</f>
        <v/>
      </c>
      <c r="E886" s="2"/>
      <c r="F886" s="2"/>
      <c r="G886" s="2"/>
      <c r="H886" s="2" t="str">
        <f>IF(ISBLANK(G886),"",VLOOKUP(G886,configuration!$J$7:$K$10,2,FALSE))</f>
        <v/>
      </c>
      <c r="I886" s="30"/>
      <c r="J886" s="2"/>
      <c r="K886" s="31"/>
      <c r="L886" s="35"/>
      <c r="M886" s="2" t="str">
        <f>IF(ISBLANK(L886),"",VLOOKUP(L886,configuration!$M$7:$N$10,2,FALSE))</f>
        <v/>
      </c>
      <c r="N886" s="30"/>
      <c r="O886" s="2"/>
      <c r="P886" s="31"/>
      <c r="Q886" s="54"/>
      <c r="R886" s="55" t="str">
        <f>IF(ISBLANK(Q886),"",VLOOKUP(Q886,configuration!$P$7:$Q$10,2,FALSE))</f>
        <v/>
      </c>
      <c r="S886" s="56"/>
      <c r="T886" s="55"/>
      <c r="U886" s="78"/>
      <c r="V886" s="76" t="str">
        <f t="shared" si="56"/>
        <v/>
      </c>
      <c r="W886" s="48" t="str">
        <f t="shared" si="56"/>
        <v/>
      </c>
      <c r="X886" s="48" t="str">
        <f t="shared" si="56"/>
        <v/>
      </c>
      <c r="Y886" s="48" t="str">
        <f t="shared" si="56"/>
        <v/>
      </c>
      <c r="Z886" s="49" t="str">
        <f t="shared" si="54"/>
        <v/>
      </c>
      <c r="AA886" s="50" t="str">
        <f t="shared" si="57"/>
        <v/>
      </c>
      <c r="AB886" s="48" t="str">
        <f t="shared" si="57"/>
        <v/>
      </c>
      <c r="AC886" s="48" t="str">
        <f t="shared" si="57"/>
        <v/>
      </c>
      <c r="AD886" s="48" t="str">
        <f t="shared" si="57"/>
        <v/>
      </c>
      <c r="AE886" s="48" t="str">
        <f t="shared" si="55"/>
        <v/>
      </c>
    </row>
    <row r="887" spans="1:31" x14ac:dyDescent="0.25">
      <c r="A887" s="2"/>
      <c r="B887" s="2"/>
      <c r="C887" s="2"/>
      <c r="D887" s="2" t="str">
        <f>IF(ISBLANK(C887),"",VLOOKUP(C887,configuration!$G$7:$H$10,2,FALSE))</f>
        <v/>
      </c>
      <c r="E887" s="2"/>
      <c r="F887" s="2"/>
      <c r="G887" s="2"/>
      <c r="H887" s="2" t="str">
        <f>IF(ISBLANK(G887),"",VLOOKUP(G887,configuration!$J$7:$K$10,2,FALSE))</f>
        <v/>
      </c>
      <c r="I887" s="30"/>
      <c r="J887" s="2"/>
      <c r="K887" s="31"/>
      <c r="L887" s="35"/>
      <c r="M887" s="2" t="str">
        <f>IF(ISBLANK(L887),"",VLOOKUP(L887,configuration!$M$7:$N$10,2,FALSE))</f>
        <v/>
      </c>
      <c r="N887" s="30"/>
      <c r="O887" s="2"/>
      <c r="P887" s="31"/>
      <c r="Q887" s="54"/>
      <c r="R887" s="55" t="str">
        <f>IF(ISBLANK(Q887),"",VLOOKUP(Q887,configuration!$P$7:$Q$10,2,FALSE))</f>
        <v/>
      </c>
      <c r="S887" s="56"/>
      <c r="T887" s="55"/>
      <c r="U887" s="78"/>
      <c r="V887" s="76" t="str">
        <f t="shared" si="56"/>
        <v/>
      </c>
      <c r="W887" s="48" t="str">
        <f t="shared" si="56"/>
        <v/>
      </c>
      <c r="X887" s="48" t="str">
        <f t="shared" si="56"/>
        <v/>
      </c>
      <c r="Y887" s="48" t="str">
        <f t="shared" si="56"/>
        <v/>
      </c>
      <c r="Z887" s="49" t="str">
        <f t="shared" si="54"/>
        <v/>
      </c>
      <c r="AA887" s="50" t="str">
        <f t="shared" si="57"/>
        <v/>
      </c>
      <c r="AB887" s="48" t="str">
        <f t="shared" si="57"/>
        <v/>
      </c>
      <c r="AC887" s="48" t="str">
        <f t="shared" si="57"/>
        <v/>
      </c>
      <c r="AD887" s="48" t="str">
        <f t="shared" si="57"/>
        <v/>
      </c>
      <c r="AE887" s="48" t="str">
        <f t="shared" si="55"/>
        <v/>
      </c>
    </row>
    <row r="888" spans="1:31" x14ac:dyDescent="0.25">
      <c r="A888" s="2"/>
      <c r="B888" s="2"/>
      <c r="C888" s="2"/>
      <c r="D888" s="2" t="str">
        <f>IF(ISBLANK(C888),"",VLOOKUP(C888,configuration!$G$7:$H$10,2,FALSE))</f>
        <v/>
      </c>
      <c r="E888" s="2"/>
      <c r="F888" s="2"/>
      <c r="G888" s="2"/>
      <c r="H888" s="2" t="str">
        <f>IF(ISBLANK(G888),"",VLOOKUP(G888,configuration!$J$7:$K$10,2,FALSE))</f>
        <v/>
      </c>
      <c r="I888" s="30"/>
      <c r="J888" s="2"/>
      <c r="K888" s="31"/>
      <c r="L888" s="35"/>
      <c r="M888" s="2" t="str">
        <f>IF(ISBLANK(L888),"",VLOOKUP(L888,configuration!$M$7:$N$10,2,FALSE))</f>
        <v/>
      </c>
      <c r="N888" s="30"/>
      <c r="O888" s="2"/>
      <c r="P888" s="31"/>
      <c r="Q888" s="54"/>
      <c r="R888" s="55" t="str">
        <f>IF(ISBLANK(Q888),"",VLOOKUP(Q888,configuration!$P$7:$Q$10,2,FALSE))</f>
        <v/>
      </c>
      <c r="S888" s="56"/>
      <c r="T888" s="55"/>
      <c r="U888" s="78"/>
      <c r="V888" s="76" t="str">
        <f t="shared" si="56"/>
        <v/>
      </c>
      <c r="W888" s="48" t="str">
        <f t="shared" si="56"/>
        <v/>
      </c>
      <c r="X888" s="48" t="str">
        <f t="shared" si="56"/>
        <v/>
      </c>
      <c r="Y888" s="48" t="str">
        <f t="shared" si="56"/>
        <v/>
      </c>
      <c r="Z888" s="49" t="str">
        <f t="shared" si="54"/>
        <v/>
      </c>
      <c r="AA888" s="50" t="str">
        <f t="shared" si="57"/>
        <v/>
      </c>
      <c r="AB888" s="48" t="str">
        <f t="shared" si="57"/>
        <v/>
      </c>
      <c r="AC888" s="48" t="str">
        <f t="shared" si="57"/>
        <v/>
      </c>
      <c r="AD888" s="48" t="str">
        <f t="shared" si="57"/>
        <v/>
      </c>
      <c r="AE888" s="48" t="str">
        <f t="shared" si="55"/>
        <v/>
      </c>
    </row>
    <row r="889" spans="1:31" x14ac:dyDescent="0.25">
      <c r="A889" s="2"/>
      <c r="B889" s="2"/>
      <c r="C889" s="2"/>
      <c r="D889" s="2" t="str">
        <f>IF(ISBLANK(C889),"",VLOOKUP(C889,configuration!$G$7:$H$10,2,FALSE))</f>
        <v/>
      </c>
      <c r="E889" s="2"/>
      <c r="F889" s="2"/>
      <c r="G889" s="2"/>
      <c r="H889" s="2" t="str">
        <f>IF(ISBLANK(G889),"",VLOOKUP(G889,configuration!$J$7:$K$10,2,FALSE))</f>
        <v/>
      </c>
      <c r="I889" s="30"/>
      <c r="J889" s="2"/>
      <c r="K889" s="31"/>
      <c r="L889" s="35"/>
      <c r="M889" s="2" t="str">
        <f>IF(ISBLANK(L889),"",VLOOKUP(L889,configuration!$M$7:$N$10,2,FALSE))</f>
        <v/>
      </c>
      <c r="N889" s="30"/>
      <c r="O889" s="2"/>
      <c r="P889" s="31"/>
      <c r="Q889" s="54"/>
      <c r="R889" s="55" t="str">
        <f>IF(ISBLANK(Q889),"",VLOOKUP(Q889,configuration!$P$7:$Q$10,2,FALSE))</f>
        <v/>
      </c>
      <c r="S889" s="56"/>
      <c r="T889" s="55"/>
      <c r="U889" s="78"/>
      <c r="V889" s="76" t="str">
        <f t="shared" si="56"/>
        <v/>
      </c>
      <c r="W889" s="48" t="str">
        <f t="shared" si="56"/>
        <v/>
      </c>
      <c r="X889" s="48" t="str">
        <f t="shared" si="56"/>
        <v/>
      </c>
      <c r="Y889" s="48" t="str">
        <f t="shared" si="56"/>
        <v/>
      </c>
      <c r="Z889" s="49" t="str">
        <f t="shared" si="54"/>
        <v/>
      </c>
      <c r="AA889" s="50" t="str">
        <f t="shared" si="57"/>
        <v/>
      </c>
      <c r="AB889" s="48" t="str">
        <f t="shared" si="57"/>
        <v/>
      </c>
      <c r="AC889" s="48" t="str">
        <f t="shared" si="57"/>
        <v/>
      </c>
      <c r="AD889" s="48" t="str">
        <f t="shared" si="57"/>
        <v/>
      </c>
      <c r="AE889" s="48" t="str">
        <f t="shared" si="55"/>
        <v/>
      </c>
    </row>
    <row r="890" spans="1:31" x14ac:dyDescent="0.25">
      <c r="A890" s="2"/>
      <c r="B890" s="2"/>
      <c r="C890" s="2"/>
      <c r="D890" s="2" t="str">
        <f>IF(ISBLANK(C890),"",VLOOKUP(C890,configuration!$G$7:$H$10,2,FALSE))</f>
        <v/>
      </c>
      <c r="E890" s="2"/>
      <c r="F890" s="2"/>
      <c r="G890" s="2"/>
      <c r="H890" s="2" t="str">
        <f>IF(ISBLANK(G890),"",VLOOKUP(G890,configuration!$J$7:$K$10,2,FALSE))</f>
        <v/>
      </c>
      <c r="I890" s="30"/>
      <c r="J890" s="2"/>
      <c r="K890" s="31"/>
      <c r="L890" s="35"/>
      <c r="M890" s="2" t="str">
        <f>IF(ISBLANK(L890),"",VLOOKUP(L890,configuration!$M$7:$N$10,2,FALSE))</f>
        <v/>
      </c>
      <c r="N890" s="30"/>
      <c r="O890" s="2"/>
      <c r="P890" s="31"/>
      <c r="Q890" s="54"/>
      <c r="R890" s="55" t="str">
        <f>IF(ISBLANK(Q890),"",VLOOKUP(Q890,configuration!$P$7:$Q$10,2,FALSE))</f>
        <v/>
      </c>
      <c r="S890" s="56"/>
      <c r="T890" s="55"/>
      <c r="U890" s="78"/>
      <c r="V890" s="76" t="str">
        <f t="shared" si="56"/>
        <v/>
      </c>
      <c r="W890" s="48" t="str">
        <f t="shared" si="56"/>
        <v/>
      </c>
      <c r="X890" s="48" t="str">
        <f t="shared" si="56"/>
        <v/>
      </c>
      <c r="Y890" s="48" t="str">
        <f t="shared" si="56"/>
        <v/>
      </c>
      <c r="Z890" s="49" t="str">
        <f t="shared" si="54"/>
        <v/>
      </c>
      <c r="AA890" s="50" t="str">
        <f t="shared" si="57"/>
        <v/>
      </c>
      <c r="AB890" s="48" t="str">
        <f t="shared" si="57"/>
        <v/>
      </c>
      <c r="AC890" s="48" t="str">
        <f t="shared" si="57"/>
        <v/>
      </c>
      <c r="AD890" s="48" t="str">
        <f t="shared" si="57"/>
        <v/>
      </c>
      <c r="AE890" s="48" t="str">
        <f t="shared" si="55"/>
        <v/>
      </c>
    </row>
    <row r="891" spans="1:31" x14ac:dyDescent="0.25">
      <c r="A891" s="2"/>
      <c r="B891" s="2"/>
      <c r="C891" s="2"/>
      <c r="D891" s="2" t="str">
        <f>IF(ISBLANK(C891),"",VLOOKUP(C891,configuration!$G$7:$H$10,2,FALSE))</f>
        <v/>
      </c>
      <c r="E891" s="2"/>
      <c r="F891" s="2"/>
      <c r="G891" s="2"/>
      <c r="H891" s="2" t="str">
        <f>IF(ISBLANK(G891),"",VLOOKUP(G891,configuration!$J$7:$K$10,2,FALSE))</f>
        <v/>
      </c>
      <c r="I891" s="30"/>
      <c r="J891" s="2"/>
      <c r="K891" s="31"/>
      <c r="L891" s="35"/>
      <c r="M891" s="2" t="str">
        <f>IF(ISBLANK(L891),"",VLOOKUP(L891,configuration!$M$7:$N$10,2,FALSE))</f>
        <v/>
      </c>
      <c r="N891" s="30"/>
      <c r="O891" s="2"/>
      <c r="P891" s="31"/>
      <c r="Q891" s="54"/>
      <c r="R891" s="55" t="str">
        <f>IF(ISBLANK(Q891),"",VLOOKUP(Q891,configuration!$P$7:$Q$10,2,FALSE))</f>
        <v/>
      </c>
      <c r="S891" s="56"/>
      <c r="T891" s="55"/>
      <c r="U891" s="78"/>
      <c r="V891" s="76" t="str">
        <f t="shared" si="56"/>
        <v/>
      </c>
      <c r="W891" s="48" t="str">
        <f t="shared" si="56"/>
        <v/>
      </c>
      <c r="X891" s="48" t="str">
        <f t="shared" si="56"/>
        <v/>
      </c>
      <c r="Y891" s="48" t="str">
        <f t="shared" si="56"/>
        <v/>
      </c>
      <c r="Z891" s="49" t="str">
        <f t="shared" si="54"/>
        <v/>
      </c>
      <c r="AA891" s="50" t="str">
        <f t="shared" si="57"/>
        <v/>
      </c>
      <c r="AB891" s="48" t="str">
        <f t="shared" si="57"/>
        <v/>
      </c>
      <c r="AC891" s="48" t="str">
        <f t="shared" si="57"/>
        <v/>
      </c>
      <c r="AD891" s="48" t="str">
        <f t="shared" si="57"/>
        <v/>
      </c>
      <c r="AE891" s="48" t="str">
        <f t="shared" si="55"/>
        <v/>
      </c>
    </row>
    <row r="892" spans="1:31" x14ac:dyDescent="0.25">
      <c r="A892" s="2"/>
      <c r="B892" s="2"/>
      <c r="C892" s="2"/>
      <c r="D892" s="2" t="str">
        <f>IF(ISBLANK(C892),"",VLOOKUP(C892,configuration!$G$7:$H$10,2,FALSE))</f>
        <v/>
      </c>
      <c r="E892" s="2"/>
      <c r="F892" s="2"/>
      <c r="G892" s="2"/>
      <c r="H892" s="2" t="str">
        <f>IF(ISBLANK(G892),"",VLOOKUP(G892,configuration!$J$7:$K$10,2,FALSE))</f>
        <v/>
      </c>
      <c r="I892" s="30"/>
      <c r="J892" s="2"/>
      <c r="K892" s="31"/>
      <c r="L892" s="35"/>
      <c r="M892" s="2" t="str">
        <f>IF(ISBLANK(L892),"",VLOOKUP(L892,configuration!$M$7:$N$10,2,FALSE))</f>
        <v/>
      </c>
      <c r="N892" s="30"/>
      <c r="O892" s="2"/>
      <c r="P892" s="31"/>
      <c r="Q892" s="54"/>
      <c r="R892" s="55" t="str">
        <f>IF(ISBLANK(Q892),"",VLOOKUP(Q892,configuration!$P$7:$Q$10,2,FALSE))</f>
        <v/>
      </c>
      <c r="S892" s="56"/>
      <c r="T892" s="55"/>
      <c r="U892" s="78"/>
      <c r="V892" s="76" t="str">
        <f t="shared" si="56"/>
        <v/>
      </c>
      <c r="W892" s="48" t="str">
        <f t="shared" si="56"/>
        <v/>
      </c>
      <c r="X892" s="48" t="str">
        <f t="shared" si="56"/>
        <v/>
      </c>
      <c r="Y892" s="48" t="str">
        <f t="shared" si="56"/>
        <v/>
      </c>
      <c r="Z892" s="49" t="str">
        <f t="shared" si="54"/>
        <v/>
      </c>
      <c r="AA892" s="50" t="str">
        <f t="shared" si="57"/>
        <v/>
      </c>
      <c r="AB892" s="48" t="str">
        <f t="shared" si="57"/>
        <v/>
      </c>
      <c r="AC892" s="48" t="str">
        <f t="shared" si="57"/>
        <v/>
      </c>
      <c r="AD892" s="48" t="str">
        <f t="shared" si="57"/>
        <v/>
      </c>
      <c r="AE892" s="48" t="str">
        <f t="shared" si="55"/>
        <v/>
      </c>
    </row>
    <row r="893" spans="1:31" x14ac:dyDescent="0.25">
      <c r="A893" s="2"/>
      <c r="B893" s="2"/>
      <c r="C893" s="2"/>
      <c r="D893" s="2" t="str">
        <f>IF(ISBLANK(C893),"",VLOOKUP(C893,configuration!$G$7:$H$10,2,FALSE))</f>
        <v/>
      </c>
      <c r="E893" s="2"/>
      <c r="F893" s="2"/>
      <c r="G893" s="2"/>
      <c r="H893" s="2" t="str">
        <f>IF(ISBLANK(G893),"",VLOOKUP(G893,configuration!$J$7:$K$10,2,FALSE))</f>
        <v/>
      </c>
      <c r="I893" s="30"/>
      <c r="J893" s="2"/>
      <c r="K893" s="31"/>
      <c r="L893" s="35"/>
      <c r="M893" s="2" t="str">
        <f>IF(ISBLANK(L893),"",VLOOKUP(L893,configuration!$M$7:$N$10,2,FALSE))</f>
        <v/>
      </c>
      <c r="N893" s="30"/>
      <c r="O893" s="2"/>
      <c r="P893" s="31"/>
      <c r="Q893" s="54"/>
      <c r="R893" s="55" t="str">
        <f>IF(ISBLANK(Q893),"",VLOOKUP(Q893,configuration!$P$7:$Q$10,2,FALSE))</f>
        <v/>
      </c>
      <c r="S893" s="56"/>
      <c r="T893" s="55"/>
      <c r="U893" s="78"/>
      <c r="V893" s="76" t="str">
        <f t="shared" si="56"/>
        <v/>
      </c>
      <c r="W893" s="48" t="str">
        <f t="shared" si="56"/>
        <v/>
      </c>
      <c r="X893" s="48" t="str">
        <f t="shared" si="56"/>
        <v/>
      </c>
      <c r="Y893" s="48" t="str">
        <f t="shared" si="56"/>
        <v/>
      </c>
      <c r="Z893" s="49" t="str">
        <f t="shared" si="54"/>
        <v/>
      </c>
      <c r="AA893" s="50" t="str">
        <f t="shared" si="57"/>
        <v/>
      </c>
      <c r="AB893" s="48" t="str">
        <f t="shared" si="57"/>
        <v/>
      </c>
      <c r="AC893" s="48" t="str">
        <f t="shared" si="57"/>
        <v/>
      </c>
      <c r="AD893" s="48" t="str">
        <f t="shared" si="57"/>
        <v/>
      </c>
      <c r="AE893" s="48" t="str">
        <f t="shared" si="55"/>
        <v/>
      </c>
    </row>
    <row r="894" spans="1:31" x14ac:dyDescent="0.25">
      <c r="A894" s="2"/>
      <c r="B894" s="2"/>
      <c r="C894" s="2"/>
      <c r="D894" s="2" t="str">
        <f>IF(ISBLANK(C894),"",VLOOKUP(C894,configuration!$G$7:$H$10,2,FALSE))</f>
        <v/>
      </c>
      <c r="E894" s="2"/>
      <c r="F894" s="2"/>
      <c r="G894" s="2"/>
      <c r="H894" s="2" t="str">
        <f>IF(ISBLANK(G894),"",VLOOKUP(G894,configuration!$J$7:$K$10,2,FALSE))</f>
        <v/>
      </c>
      <c r="I894" s="30"/>
      <c r="J894" s="2"/>
      <c r="K894" s="31"/>
      <c r="L894" s="35"/>
      <c r="M894" s="2" t="str">
        <f>IF(ISBLANK(L894),"",VLOOKUP(L894,configuration!$M$7:$N$10,2,FALSE))</f>
        <v/>
      </c>
      <c r="N894" s="30"/>
      <c r="O894" s="2"/>
      <c r="P894" s="31"/>
      <c r="Q894" s="54"/>
      <c r="R894" s="55" t="str">
        <f>IF(ISBLANK(Q894),"",VLOOKUP(Q894,configuration!$P$7:$Q$10,2,FALSE))</f>
        <v/>
      </c>
      <c r="S894" s="56"/>
      <c r="T894" s="55"/>
      <c r="U894" s="78"/>
      <c r="V894" s="76" t="str">
        <f t="shared" si="56"/>
        <v/>
      </c>
      <c r="W894" s="48" t="str">
        <f t="shared" si="56"/>
        <v/>
      </c>
      <c r="X894" s="48" t="str">
        <f t="shared" si="56"/>
        <v/>
      </c>
      <c r="Y894" s="48" t="str">
        <f t="shared" si="56"/>
        <v/>
      </c>
      <c r="Z894" s="49" t="str">
        <f t="shared" si="54"/>
        <v/>
      </c>
      <c r="AA894" s="50" t="str">
        <f t="shared" si="57"/>
        <v/>
      </c>
      <c r="AB894" s="48" t="str">
        <f t="shared" si="57"/>
        <v/>
      </c>
      <c r="AC894" s="48" t="str">
        <f t="shared" si="57"/>
        <v/>
      </c>
      <c r="AD894" s="48" t="str">
        <f t="shared" si="57"/>
        <v/>
      </c>
      <c r="AE894" s="48" t="str">
        <f t="shared" si="55"/>
        <v/>
      </c>
    </row>
    <row r="895" spans="1:31" x14ac:dyDescent="0.25">
      <c r="A895" s="2"/>
      <c r="B895" s="2"/>
      <c r="C895" s="2"/>
      <c r="D895" s="2" t="str">
        <f>IF(ISBLANK(C895),"",VLOOKUP(C895,configuration!$G$7:$H$10,2,FALSE))</f>
        <v/>
      </c>
      <c r="E895" s="2"/>
      <c r="F895" s="2"/>
      <c r="G895" s="2"/>
      <c r="H895" s="2" t="str">
        <f>IF(ISBLANK(G895),"",VLOOKUP(G895,configuration!$J$7:$K$10,2,FALSE))</f>
        <v/>
      </c>
      <c r="I895" s="30"/>
      <c r="J895" s="2"/>
      <c r="K895" s="31"/>
      <c r="L895" s="35"/>
      <c r="M895" s="2" t="str">
        <f>IF(ISBLANK(L895),"",VLOOKUP(L895,configuration!$M$7:$N$10,2,FALSE))</f>
        <v/>
      </c>
      <c r="N895" s="30"/>
      <c r="O895" s="2"/>
      <c r="P895" s="31"/>
      <c r="Q895" s="54"/>
      <c r="R895" s="55" t="str">
        <f>IF(ISBLANK(Q895),"",VLOOKUP(Q895,configuration!$P$7:$Q$10,2,FALSE))</f>
        <v/>
      </c>
      <c r="S895" s="56"/>
      <c r="T895" s="55"/>
      <c r="U895" s="78"/>
      <c r="V895" s="76" t="str">
        <f t="shared" si="56"/>
        <v/>
      </c>
      <c r="W895" s="48" t="str">
        <f t="shared" si="56"/>
        <v/>
      </c>
      <c r="X895" s="48" t="str">
        <f t="shared" si="56"/>
        <v/>
      </c>
      <c r="Y895" s="48" t="str">
        <f t="shared" si="56"/>
        <v/>
      </c>
      <c r="Z895" s="49" t="str">
        <f t="shared" si="54"/>
        <v/>
      </c>
      <c r="AA895" s="50" t="str">
        <f t="shared" si="57"/>
        <v/>
      </c>
      <c r="AB895" s="48" t="str">
        <f t="shared" si="57"/>
        <v/>
      </c>
      <c r="AC895" s="48" t="str">
        <f t="shared" si="57"/>
        <v/>
      </c>
      <c r="AD895" s="48" t="str">
        <f t="shared" si="57"/>
        <v/>
      </c>
      <c r="AE895" s="48" t="str">
        <f t="shared" si="55"/>
        <v/>
      </c>
    </row>
    <row r="896" spans="1:31" x14ac:dyDescent="0.25">
      <c r="A896" s="2"/>
      <c r="B896" s="2"/>
      <c r="C896" s="2"/>
      <c r="D896" s="2" t="str">
        <f>IF(ISBLANK(C896),"",VLOOKUP(C896,configuration!$G$7:$H$10,2,FALSE))</f>
        <v/>
      </c>
      <c r="E896" s="2"/>
      <c r="F896" s="2"/>
      <c r="G896" s="2"/>
      <c r="H896" s="2" t="str">
        <f>IF(ISBLANK(G896),"",VLOOKUP(G896,configuration!$J$7:$K$10,2,FALSE))</f>
        <v/>
      </c>
      <c r="I896" s="30"/>
      <c r="J896" s="2"/>
      <c r="K896" s="31"/>
      <c r="L896" s="35"/>
      <c r="M896" s="2" t="str">
        <f>IF(ISBLANK(L896),"",VLOOKUP(L896,configuration!$M$7:$N$10,2,FALSE))</f>
        <v/>
      </c>
      <c r="N896" s="30"/>
      <c r="O896" s="2"/>
      <c r="P896" s="31"/>
      <c r="Q896" s="54"/>
      <c r="R896" s="55" t="str">
        <f>IF(ISBLANK(Q896),"",VLOOKUP(Q896,configuration!$P$7:$Q$10,2,FALSE))</f>
        <v/>
      </c>
      <c r="S896" s="56"/>
      <c r="T896" s="55"/>
      <c r="U896" s="78"/>
      <c r="V896" s="76" t="str">
        <f t="shared" si="56"/>
        <v/>
      </c>
      <c r="W896" s="48" t="str">
        <f t="shared" si="56"/>
        <v/>
      </c>
      <c r="X896" s="48" t="str">
        <f t="shared" si="56"/>
        <v/>
      </c>
      <c r="Y896" s="48" t="str">
        <f t="shared" si="56"/>
        <v/>
      </c>
      <c r="Z896" s="49" t="str">
        <f t="shared" si="54"/>
        <v/>
      </c>
      <c r="AA896" s="50" t="str">
        <f t="shared" si="57"/>
        <v/>
      </c>
      <c r="AB896" s="48" t="str">
        <f t="shared" si="57"/>
        <v/>
      </c>
      <c r="AC896" s="48" t="str">
        <f t="shared" si="57"/>
        <v/>
      </c>
      <c r="AD896" s="48" t="str">
        <f t="shared" si="57"/>
        <v/>
      </c>
      <c r="AE896" s="48" t="str">
        <f t="shared" si="55"/>
        <v/>
      </c>
    </row>
    <row r="897" spans="1:31" x14ac:dyDescent="0.25">
      <c r="A897" s="2"/>
      <c r="B897" s="2"/>
      <c r="C897" s="2"/>
      <c r="D897" s="2" t="str">
        <f>IF(ISBLANK(C897),"",VLOOKUP(C897,configuration!$G$7:$H$10,2,FALSE))</f>
        <v/>
      </c>
      <c r="E897" s="2"/>
      <c r="F897" s="2"/>
      <c r="G897" s="2"/>
      <c r="H897" s="2" t="str">
        <f>IF(ISBLANK(G897),"",VLOOKUP(G897,configuration!$J$7:$K$10,2,FALSE))</f>
        <v/>
      </c>
      <c r="I897" s="30"/>
      <c r="J897" s="2"/>
      <c r="K897" s="31"/>
      <c r="L897" s="35"/>
      <c r="M897" s="2" t="str">
        <f>IF(ISBLANK(L897),"",VLOOKUP(L897,configuration!$M$7:$N$10,2,FALSE))</f>
        <v/>
      </c>
      <c r="N897" s="30"/>
      <c r="O897" s="2"/>
      <c r="P897" s="31"/>
      <c r="Q897" s="54"/>
      <c r="R897" s="55" t="str">
        <f>IF(ISBLANK(Q897),"",VLOOKUP(Q897,configuration!$P$7:$Q$10,2,FALSE))</f>
        <v/>
      </c>
      <c r="S897" s="56"/>
      <c r="T897" s="55"/>
      <c r="U897" s="78"/>
      <c r="V897" s="76" t="str">
        <f t="shared" si="56"/>
        <v/>
      </c>
      <c r="W897" s="48" t="str">
        <f t="shared" si="56"/>
        <v/>
      </c>
      <c r="X897" s="48" t="str">
        <f t="shared" si="56"/>
        <v/>
      </c>
      <c r="Y897" s="48" t="str">
        <f t="shared" si="56"/>
        <v/>
      </c>
      <c r="Z897" s="49" t="str">
        <f t="shared" si="54"/>
        <v/>
      </c>
      <c r="AA897" s="50" t="str">
        <f t="shared" si="57"/>
        <v/>
      </c>
      <c r="AB897" s="48" t="str">
        <f t="shared" si="57"/>
        <v/>
      </c>
      <c r="AC897" s="48" t="str">
        <f t="shared" si="57"/>
        <v/>
      </c>
      <c r="AD897" s="48" t="str">
        <f t="shared" si="57"/>
        <v/>
      </c>
      <c r="AE897" s="48" t="str">
        <f t="shared" si="55"/>
        <v/>
      </c>
    </row>
    <row r="898" spans="1:31" x14ac:dyDescent="0.25">
      <c r="A898" s="2"/>
      <c r="B898" s="2"/>
      <c r="C898" s="2"/>
      <c r="D898" s="2" t="str">
        <f>IF(ISBLANK(C898),"",VLOOKUP(C898,configuration!$G$7:$H$10,2,FALSE))</f>
        <v/>
      </c>
      <c r="E898" s="2"/>
      <c r="F898" s="2"/>
      <c r="G898" s="2"/>
      <c r="H898" s="2" t="str">
        <f>IF(ISBLANK(G898),"",VLOOKUP(G898,configuration!$J$7:$K$10,2,FALSE))</f>
        <v/>
      </c>
      <c r="I898" s="30"/>
      <c r="J898" s="2"/>
      <c r="K898" s="31"/>
      <c r="L898" s="35"/>
      <c r="M898" s="2" t="str">
        <f>IF(ISBLANK(L898),"",VLOOKUP(L898,configuration!$M$7:$N$10,2,FALSE))</f>
        <v/>
      </c>
      <c r="N898" s="30"/>
      <c r="O898" s="2"/>
      <c r="P898" s="31"/>
      <c r="Q898" s="54"/>
      <c r="R898" s="55" t="str">
        <f>IF(ISBLANK(Q898),"",VLOOKUP(Q898,configuration!$P$7:$Q$10,2,FALSE))</f>
        <v/>
      </c>
      <c r="S898" s="56"/>
      <c r="T898" s="55"/>
      <c r="U898" s="78"/>
      <c r="V898" s="76" t="str">
        <f t="shared" si="56"/>
        <v/>
      </c>
      <c r="W898" s="48" t="str">
        <f t="shared" si="56"/>
        <v/>
      </c>
      <c r="X898" s="48" t="str">
        <f t="shared" si="56"/>
        <v/>
      </c>
      <c r="Y898" s="48" t="str">
        <f t="shared" si="56"/>
        <v/>
      </c>
      <c r="Z898" s="49" t="str">
        <f t="shared" si="54"/>
        <v/>
      </c>
      <c r="AA898" s="50" t="str">
        <f t="shared" si="57"/>
        <v/>
      </c>
      <c r="AB898" s="48" t="str">
        <f t="shared" si="57"/>
        <v/>
      </c>
      <c r="AC898" s="48" t="str">
        <f t="shared" si="57"/>
        <v/>
      </c>
      <c r="AD898" s="48" t="str">
        <f t="shared" si="57"/>
        <v/>
      </c>
      <c r="AE898" s="48" t="str">
        <f t="shared" si="55"/>
        <v/>
      </c>
    </row>
    <row r="899" spans="1:31" x14ac:dyDescent="0.25">
      <c r="A899" s="2"/>
      <c r="B899" s="2"/>
      <c r="C899" s="2"/>
      <c r="D899" s="2" t="str">
        <f>IF(ISBLANK(C899),"",VLOOKUP(C899,configuration!$G$7:$H$10,2,FALSE))</f>
        <v/>
      </c>
      <c r="E899" s="2"/>
      <c r="F899" s="2"/>
      <c r="G899" s="2"/>
      <c r="H899" s="2" t="str">
        <f>IF(ISBLANK(G899),"",VLOOKUP(G899,configuration!$J$7:$K$10,2,FALSE))</f>
        <v/>
      </c>
      <c r="I899" s="30"/>
      <c r="J899" s="2"/>
      <c r="K899" s="31"/>
      <c r="L899" s="35"/>
      <c r="M899" s="2" t="str">
        <f>IF(ISBLANK(L899),"",VLOOKUP(L899,configuration!$M$7:$N$10,2,FALSE))</f>
        <v/>
      </c>
      <c r="N899" s="30"/>
      <c r="O899" s="2"/>
      <c r="P899" s="31"/>
      <c r="Q899" s="54"/>
      <c r="R899" s="55" t="str">
        <f>IF(ISBLANK(Q899),"",VLOOKUP(Q899,configuration!$P$7:$Q$10,2,FALSE))</f>
        <v/>
      </c>
      <c r="S899" s="56"/>
      <c r="T899" s="55"/>
      <c r="U899" s="78"/>
      <c r="V899" s="76" t="str">
        <f t="shared" si="56"/>
        <v/>
      </c>
      <c r="W899" s="48" t="str">
        <f t="shared" si="56"/>
        <v/>
      </c>
      <c r="X899" s="48" t="str">
        <f t="shared" si="56"/>
        <v/>
      </c>
      <c r="Y899" s="48" t="str">
        <f t="shared" si="56"/>
        <v/>
      </c>
      <c r="Z899" s="49" t="str">
        <f t="shared" si="54"/>
        <v/>
      </c>
      <c r="AA899" s="50" t="str">
        <f t="shared" si="57"/>
        <v/>
      </c>
      <c r="AB899" s="48" t="str">
        <f t="shared" si="57"/>
        <v/>
      </c>
      <c r="AC899" s="48" t="str">
        <f t="shared" si="57"/>
        <v/>
      </c>
      <c r="AD899" s="48" t="str">
        <f t="shared" si="57"/>
        <v/>
      </c>
      <c r="AE899" s="48" t="str">
        <f t="shared" si="55"/>
        <v/>
      </c>
    </row>
    <row r="900" spans="1:31" x14ac:dyDescent="0.25">
      <c r="A900" s="2"/>
      <c r="B900" s="2"/>
      <c r="C900" s="2"/>
      <c r="D900" s="2" t="str">
        <f>IF(ISBLANK(C900),"",VLOOKUP(C900,configuration!$G$7:$H$10,2,FALSE))</f>
        <v/>
      </c>
      <c r="E900" s="2"/>
      <c r="F900" s="2"/>
      <c r="G900" s="2"/>
      <c r="H900" s="2" t="str">
        <f>IF(ISBLANK(G900),"",VLOOKUP(G900,configuration!$J$7:$K$10,2,FALSE))</f>
        <v/>
      </c>
      <c r="I900" s="30"/>
      <c r="J900" s="2"/>
      <c r="K900" s="31"/>
      <c r="L900" s="35"/>
      <c r="M900" s="2" t="str">
        <f>IF(ISBLANK(L900),"",VLOOKUP(L900,configuration!$M$7:$N$10,2,FALSE))</f>
        <v/>
      </c>
      <c r="N900" s="30"/>
      <c r="O900" s="2"/>
      <c r="P900" s="31"/>
      <c r="Q900" s="54"/>
      <c r="R900" s="55" t="str">
        <f>IF(ISBLANK(Q900),"",VLOOKUP(Q900,configuration!$P$7:$Q$10,2,FALSE))</f>
        <v/>
      </c>
      <c r="S900" s="56"/>
      <c r="T900" s="55"/>
      <c r="U900" s="78"/>
      <c r="V900" s="76" t="str">
        <f t="shared" si="56"/>
        <v/>
      </c>
      <c r="W900" s="48" t="str">
        <f t="shared" si="56"/>
        <v/>
      </c>
      <c r="X900" s="48" t="str">
        <f t="shared" si="56"/>
        <v/>
      </c>
      <c r="Y900" s="48" t="str">
        <f t="shared" si="56"/>
        <v/>
      </c>
      <c r="Z900" s="49" t="str">
        <f t="shared" si="54"/>
        <v/>
      </c>
      <c r="AA900" s="50" t="str">
        <f t="shared" si="57"/>
        <v/>
      </c>
      <c r="AB900" s="48" t="str">
        <f t="shared" si="57"/>
        <v/>
      </c>
      <c r="AC900" s="48" t="str">
        <f t="shared" si="57"/>
        <v/>
      </c>
      <c r="AD900" s="48" t="str">
        <f t="shared" si="57"/>
        <v/>
      </c>
      <c r="AE900" s="48" t="str">
        <f t="shared" si="55"/>
        <v/>
      </c>
    </row>
    <row r="901" spans="1:31" x14ac:dyDescent="0.25">
      <c r="A901" s="2"/>
      <c r="B901" s="2"/>
      <c r="C901" s="2"/>
      <c r="D901" s="2" t="str">
        <f>IF(ISBLANK(C901),"",VLOOKUP(C901,configuration!$G$7:$H$10,2,FALSE))</f>
        <v/>
      </c>
      <c r="E901" s="2"/>
      <c r="F901" s="2"/>
      <c r="G901" s="2"/>
      <c r="H901" s="2" t="str">
        <f>IF(ISBLANK(G901),"",VLOOKUP(G901,configuration!$J$7:$K$10,2,FALSE))</f>
        <v/>
      </c>
      <c r="I901" s="30"/>
      <c r="J901" s="2"/>
      <c r="K901" s="31"/>
      <c r="L901" s="35"/>
      <c r="M901" s="2" t="str">
        <f>IF(ISBLANK(L901),"",VLOOKUP(L901,configuration!$M$7:$N$10,2,FALSE))</f>
        <v/>
      </c>
      <c r="N901" s="30"/>
      <c r="O901" s="2"/>
      <c r="P901" s="31"/>
      <c r="Q901" s="54"/>
      <c r="R901" s="55" t="str">
        <f>IF(ISBLANK(Q901),"",VLOOKUP(Q901,configuration!$P$7:$Q$10,2,FALSE))</f>
        <v/>
      </c>
      <c r="S901" s="56"/>
      <c r="T901" s="55"/>
      <c r="U901" s="78"/>
      <c r="V901" s="76" t="str">
        <f t="shared" si="56"/>
        <v/>
      </c>
      <c r="W901" s="48" t="str">
        <f t="shared" si="56"/>
        <v/>
      </c>
      <c r="X901" s="48" t="str">
        <f t="shared" si="56"/>
        <v/>
      </c>
      <c r="Y901" s="48" t="str">
        <f t="shared" si="56"/>
        <v/>
      </c>
      <c r="Z901" s="49" t="str">
        <f t="shared" si="54"/>
        <v/>
      </c>
      <c r="AA901" s="50" t="str">
        <f t="shared" si="57"/>
        <v/>
      </c>
      <c r="AB901" s="48" t="str">
        <f t="shared" si="57"/>
        <v/>
      </c>
      <c r="AC901" s="48" t="str">
        <f t="shared" si="57"/>
        <v/>
      </c>
      <c r="AD901" s="48" t="str">
        <f t="shared" si="57"/>
        <v/>
      </c>
      <c r="AE901" s="48" t="str">
        <f t="shared" si="55"/>
        <v/>
      </c>
    </row>
    <row r="902" spans="1:31" x14ac:dyDescent="0.25">
      <c r="A902" s="2"/>
      <c r="B902" s="2"/>
      <c r="C902" s="2"/>
      <c r="D902" s="2" t="str">
        <f>IF(ISBLANK(C902),"",VLOOKUP(C902,configuration!$G$7:$H$10,2,FALSE))</f>
        <v/>
      </c>
      <c r="E902" s="2"/>
      <c r="F902" s="2"/>
      <c r="G902" s="2"/>
      <c r="H902" s="2" t="str">
        <f>IF(ISBLANK(G902),"",VLOOKUP(G902,configuration!$J$7:$K$10,2,FALSE))</f>
        <v/>
      </c>
      <c r="I902" s="30"/>
      <c r="J902" s="2"/>
      <c r="K902" s="31"/>
      <c r="L902" s="35"/>
      <c r="M902" s="2" t="str">
        <f>IF(ISBLANK(L902),"",VLOOKUP(L902,configuration!$M$7:$N$10,2,FALSE))</f>
        <v/>
      </c>
      <c r="N902" s="30"/>
      <c r="O902" s="2"/>
      <c r="P902" s="31"/>
      <c r="Q902" s="54"/>
      <c r="R902" s="55" t="str">
        <f>IF(ISBLANK(Q902),"",VLOOKUP(Q902,configuration!$P$7:$Q$10,2,FALSE))</f>
        <v/>
      </c>
      <c r="S902" s="56"/>
      <c r="T902" s="55"/>
      <c r="U902" s="78"/>
      <c r="V902" s="76" t="str">
        <f t="shared" si="56"/>
        <v/>
      </c>
      <c r="W902" s="48" t="str">
        <f t="shared" si="56"/>
        <v/>
      </c>
      <c r="X902" s="48" t="str">
        <f t="shared" si="56"/>
        <v/>
      </c>
      <c r="Y902" s="48" t="str">
        <f t="shared" si="56"/>
        <v/>
      </c>
      <c r="Z902" s="49" t="str">
        <f t="shared" ref="Z902:Z965" si="58">IF(AND($G902="",A902&lt;&gt;""),1,"")</f>
        <v/>
      </c>
      <c r="AA902" s="50" t="str">
        <f t="shared" si="57"/>
        <v/>
      </c>
      <c r="AB902" s="48" t="str">
        <f t="shared" si="57"/>
        <v/>
      </c>
      <c r="AC902" s="48" t="str">
        <f t="shared" si="57"/>
        <v/>
      </c>
      <c r="AD902" s="48" t="str">
        <f t="shared" si="57"/>
        <v/>
      </c>
      <c r="AE902" s="48" t="str">
        <f t="shared" ref="AE902:AE965" si="59">IF(AND($L902="",A902&lt;&gt;""),1,"")</f>
        <v/>
      </c>
    </row>
    <row r="903" spans="1:31" x14ac:dyDescent="0.25">
      <c r="A903" s="2"/>
      <c r="B903" s="2"/>
      <c r="C903" s="2"/>
      <c r="D903" s="2" t="str">
        <f>IF(ISBLANK(C903),"",VLOOKUP(C903,configuration!$G$7:$H$10,2,FALSE))</f>
        <v/>
      </c>
      <c r="E903" s="2"/>
      <c r="F903" s="2"/>
      <c r="G903" s="2"/>
      <c r="H903" s="2" t="str">
        <f>IF(ISBLANK(G903),"",VLOOKUP(G903,configuration!$J$7:$K$10,2,FALSE))</f>
        <v/>
      </c>
      <c r="I903" s="30"/>
      <c r="J903" s="2"/>
      <c r="K903" s="31"/>
      <c r="L903" s="35"/>
      <c r="M903" s="2" t="str">
        <f>IF(ISBLANK(L903),"",VLOOKUP(L903,configuration!$M$7:$N$10,2,FALSE))</f>
        <v/>
      </c>
      <c r="N903" s="30"/>
      <c r="O903" s="2"/>
      <c r="P903" s="31"/>
      <c r="Q903" s="54"/>
      <c r="R903" s="55" t="str">
        <f>IF(ISBLANK(Q903),"",VLOOKUP(Q903,configuration!$P$7:$Q$10,2,FALSE))</f>
        <v/>
      </c>
      <c r="S903" s="56"/>
      <c r="T903" s="55"/>
      <c r="U903" s="78"/>
      <c r="V903" s="76" t="str">
        <f t="shared" si="56"/>
        <v/>
      </c>
      <c r="W903" s="48" t="str">
        <f t="shared" si="56"/>
        <v/>
      </c>
      <c r="X903" s="48" t="str">
        <f t="shared" si="56"/>
        <v/>
      </c>
      <c r="Y903" s="48" t="str">
        <f t="shared" si="56"/>
        <v/>
      </c>
      <c r="Z903" s="49" t="str">
        <f t="shared" si="58"/>
        <v/>
      </c>
      <c r="AA903" s="50" t="str">
        <f t="shared" si="57"/>
        <v/>
      </c>
      <c r="AB903" s="48" t="str">
        <f t="shared" si="57"/>
        <v/>
      </c>
      <c r="AC903" s="48" t="str">
        <f t="shared" si="57"/>
        <v/>
      </c>
      <c r="AD903" s="48" t="str">
        <f t="shared" si="57"/>
        <v/>
      </c>
      <c r="AE903" s="48" t="str">
        <f t="shared" si="59"/>
        <v/>
      </c>
    </row>
    <row r="904" spans="1:31" x14ac:dyDescent="0.25">
      <c r="A904" s="2"/>
      <c r="B904" s="2"/>
      <c r="C904" s="2"/>
      <c r="D904" s="2" t="str">
        <f>IF(ISBLANK(C904),"",VLOOKUP(C904,configuration!$G$7:$H$10,2,FALSE))</f>
        <v/>
      </c>
      <c r="E904" s="2"/>
      <c r="F904" s="2"/>
      <c r="G904" s="2"/>
      <c r="H904" s="2" t="str">
        <f>IF(ISBLANK(G904),"",VLOOKUP(G904,configuration!$J$7:$K$10,2,FALSE))</f>
        <v/>
      </c>
      <c r="I904" s="30"/>
      <c r="J904" s="2"/>
      <c r="K904" s="31"/>
      <c r="L904" s="35"/>
      <c r="M904" s="2" t="str">
        <f>IF(ISBLANK(L904),"",VLOOKUP(L904,configuration!$M$7:$N$10,2,FALSE))</f>
        <v/>
      </c>
      <c r="N904" s="30"/>
      <c r="O904" s="2"/>
      <c r="P904" s="31"/>
      <c r="Q904" s="54"/>
      <c r="R904" s="55" t="str">
        <f>IF(ISBLANK(Q904),"",VLOOKUP(Q904,configuration!$P$7:$Q$10,2,FALSE))</f>
        <v/>
      </c>
      <c r="S904" s="56"/>
      <c r="T904" s="55"/>
      <c r="U904" s="78"/>
      <c r="V904" s="76" t="str">
        <f t="shared" si="56"/>
        <v/>
      </c>
      <c r="W904" s="48" t="str">
        <f t="shared" si="56"/>
        <v/>
      </c>
      <c r="X904" s="48" t="str">
        <f t="shared" si="56"/>
        <v/>
      </c>
      <c r="Y904" s="48" t="str">
        <f t="shared" si="56"/>
        <v/>
      </c>
      <c r="Z904" s="49" t="str">
        <f t="shared" si="58"/>
        <v/>
      </c>
      <c r="AA904" s="50" t="str">
        <f t="shared" si="57"/>
        <v/>
      </c>
      <c r="AB904" s="48" t="str">
        <f t="shared" si="57"/>
        <v/>
      </c>
      <c r="AC904" s="48" t="str">
        <f t="shared" si="57"/>
        <v/>
      </c>
      <c r="AD904" s="48" t="str">
        <f t="shared" si="57"/>
        <v/>
      </c>
      <c r="AE904" s="48" t="str">
        <f t="shared" si="59"/>
        <v/>
      </c>
    </row>
    <row r="905" spans="1:31" x14ac:dyDescent="0.25">
      <c r="A905" s="2"/>
      <c r="B905" s="2"/>
      <c r="C905" s="2"/>
      <c r="D905" s="2" t="str">
        <f>IF(ISBLANK(C905),"",VLOOKUP(C905,configuration!$G$7:$H$10,2,FALSE))</f>
        <v/>
      </c>
      <c r="E905" s="2"/>
      <c r="F905" s="2"/>
      <c r="G905" s="2"/>
      <c r="H905" s="2" t="str">
        <f>IF(ISBLANK(G905),"",VLOOKUP(G905,configuration!$J$7:$K$10,2,FALSE))</f>
        <v/>
      </c>
      <c r="I905" s="30"/>
      <c r="J905" s="2"/>
      <c r="K905" s="31"/>
      <c r="L905" s="35"/>
      <c r="M905" s="2" t="str">
        <f>IF(ISBLANK(L905),"",VLOOKUP(L905,configuration!$M$7:$N$10,2,FALSE))</f>
        <v/>
      </c>
      <c r="N905" s="30"/>
      <c r="O905" s="2"/>
      <c r="P905" s="31"/>
      <c r="Q905" s="54"/>
      <c r="R905" s="55" t="str">
        <f>IF(ISBLANK(Q905),"",VLOOKUP(Q905,configuration!$P$7:$Q$10,2,FALSE))</f>
        <v/>
      </c>
      <c r="S905" s="56"/>
      <c r="T905" s="55"/>
      <c r="U905" s="78"/>
      <c r="V905" s="76" t="str">
        <f t="shared" si="56"/>
        <v/>
      </c>
      <c r="W905" s="48" t="str">
        <f t="shared" si="56"/>
        <v/>
      </c>
      <c r="X905" s="48" t="str">
        <f t="shared" si="56"/>
        <v/>
      </c>
      <c r="Y905" s="48" t="str">
        <f t="shared" si="56"/>
        <v/>
      </c>
      <c r="Z905" s="49" t="str">
        <f t="shared" si="58"/>
        <v/>
      </c>
      <c r="AA905" s="50" t="str">
        <f t="shared" si="57"/>
        <v/>
      </c>
      <c r="AB905" s="48" t="str">
        <f t="shared" si="57"/>
        <v/>
      </c>
      <c r="AC905" s="48" t="str">
        <f t="shared" si="57"/>
        <v/>
      </c>
      <c r="AD905" s="48" t="str">
        <f t="shared" si="57"/>
        <v/>
      </c>
      <c r="AE905" s="48" t="str">
        <f t="shared" si="59"/>
        <v/>
      </c>
    </row>
    <row r="906" spans="1:31" x14ac:dyDescent="0.25">
      <c r="A906" s="2"/>
      <c r="B906" s="2"/>
      <c r="C906" s="2"/>
      <c r="D906" s="2" t="str">
        <f>IF(ISBLANK(C906),"",VLOOKUP(C906,configuration!$G$7:$H$10,2,FALSE))</f>
        <v/>
      </c>
      <c r="E906" s="2"/>
      <c r="F906" s="2"/>
      <c r="G906" s="2"/>
      <c r="H906" s="2" t="str">
        <f>IF(ISBLANK(G906),"",VLOOKUP(G906,configuration!$J$7:$K$10,2,FALSE))</f>
        <v/>
      </c>
      <c r="I906" s="30"/>
      <c r="J906" s="2"/>
      <c r="K906" s="31"/>
      <c r="L906" s="35"/>
      <c r="M906" s="2" t="str">
        <f>IF(ISBLANK(L906),"",VLOOKUP(L906,configuration!$M$7:$N$10,2,FALSE))</f>
        <v/>
      </c>
      <c r="N906" s="30"/>
      <c r="O906" s="2"/>
      <c r="P906" s="31"/>
      <c r="Q906" s="54"/>
      <c r="R906" s="55" t="str">
        <f>IF(ISBLANK(Q906),"",VLOOKUP(Q906,configuration!$P$7:$Q$10,2,FALSE))</f>
        <v/>
      </c>
      <c r="S906" s="56"/>
      <c r="T906" s="55"/>
      <c r="U906" s="78"/>
      <c r="V906" s="76" t="str">
        <f t="shared" si="56"/>
        <v/>
      </c>
      <c r="W906" s="48" t="str">
        <f t="shared" si="56"/>
        <v/>
      </c>
      <c r="X906" s="48" t="str">
        <f t="shared" si="56"/>
        <v/>
      </c>
      <c r="Y906" s="48" t="str">
        <f t="shared" si="56"/>
        <v/>
      </c>
      <c r="Z906" s="49" t="str">
        <f t="shared" si="58"/>
        <v/>
      </c>
      <c r="AA906" s="50" t="str">
        <f t="shared" si="57"/>
        <v/>
      </c>
      <c r="AB906" s="48" t="str">
        <f t="shared" si="57"/>
        <v/>
      </c>
      <c r="AC906" s="48" t="str">
        <f t="shared" si="57"/>
        <v/>
      </c>
      <c r="AD906" s="48" t="str">
        <f t="shared" si="57"/>
        <v/>
      </c>
      <c r="AE906" s="48" t="str">
        <f t="shared" si="59"/>
        <v/>
      </c>
    </row>
    <row r="907" spans="1:31" x14ac:dyDescent="0.25">
      <c r="A907" s="2"/>
      <c r="B907" s="2"/>
      <c r="C907" s="2"/>
      <c r="D907" s="2" t="str">
        <f>IF(ISBLANK(C907),"",VLOOKUP(C907,configuration!$G$7:$H$10,2,FALSE))</f>
        <v/>
      </c>
      <c r="E907" s="2"/>
      <c r="F907" s="2"/>
      <c r="G907" s="2"/>
      <c r="H907" s="2" t="str">
        <f>IF(ISBLANK(G907),"",VLOOKUP(G907,configuration!$J$7:$K$10,2,FALSE))</f>
        <v/>
      </c>
      <c r="I907" s="30"/>
      <c r="J907" s="2"/>
      <c r="K907" s="31"/>
      <c r="L907" s="35"/>
      <c r="M907" s="2" t="str">
        <f>IF(ISBLANK(L907),"",VLOOKUP(L907,configuration!$M$7:$N$10,2,FALSE))</f>
        <v/>
      </c>
      <c r="N907" s="30"/>
      <c r="O907" s="2"/>
      <c r="P907" s="31"/>
      <c r="Q907" s="54"/>
      <c r="R907" s="55" t="str">
        <f>IF(ISBLANK(Q907),"",VLOOKUP(Q907,configuration!$P$7:$Q$10,2,FALSE))</f>
        <v/>
      </c>
      <c r="S907" s="56"/>
      <c r="T907" s="55"/>
      <c r="U907" s="78"/>
      <c r="V907" s="76" t="str">
        <f t="shared" si="56"/>
        <v/>
      </c>
      <c r="W907" s="48" t="str">
        <f t="shared" si="56"/>
        <v/>
      </c>
      <c r="X907" s="48" t="str">
        <f t="shared" si="56"/>
        <v/>
      </c>
      <c r="Y907" s="48" t="str">
        <f t="shared" si="56"/>
        <v/>
      </c>
      <c r="Z907" s="49" t="str">
        <f t="shared" si="58"/>
        <v/>
      </c>
      <c r="AA907" s="50" t="str">
        <f t="shared" si="57"/>
        <v/>
      </c>
      <c r="AB907" s="48" t="str">
        <f t="shared" si="57"/>
        <v/>
      </c>
      <c r="AC907" s="48" t="str">
        <f t="shared" si="57"/>
        <v/>
      </c>
      <c r="AD907" s="48" t="str">
        <f t="shared" si="57"/>
        <v/>
      </c>
      <c r="AE907" s="48" t="str">
        <f t="shared" si="59"/>
        <v/>
      </c>
    </row>
    <row r="908" spans="1:31" x14ac:dyDescent="0.25">
      <c r="A908" s="2"/>
      <c r="B908" s="2"/>
      <c r="C908" s="2"/>
      <c r="D908" s="2" t="str">
        <f>IF(ISBLANK(C908),"",VLOOKUP(C908,configuration!$G$7:$H$10,2,FALSE))</f>
        <v/>
      </c>
      <c r="E908" s="2"/>
      <c r="F908" s="2"/>
      <c r="G908" s="2"/>
      <c r="H908" s="2" t="str">
        <f>IF(ISBLANK(G908),"",VLOOKUP(G908,configuration!$J$7:$K$10,2,FALSE))</f>
        <v/>
      </c>
      <c r="I908" s="30"/>
      <c r="J908" s="2"/>
      <c r="K908" s="31"/>
      <c r="L908" s="35"/>
      <c r="M908" s="2" t="str">
        <f>IF(ISBLANK(L908),"",VLOOKUP(L908,configuration!$M$7:$N$10,2,FALSE))</f>
        <v/>
      </c>
      <c r="N908" s="30"/>
      <c r="O908" s="2"/>
      <c r="P908" s="31"/>
      <c r="Q908" s="54"/>
      <c r="R908" s="55" t="str">
        <f>IF(ISBLANK(Q908),"",VLOOKUP(Q908,configuration!$P$7:$Q$10,2,FALSE))</f>
        <v/>
      </c>
      <c r="S908" s="56"/>
      <c r="T908" s="55"/>
      <c r="U908" s="78"/>
      <c r="V908" s="76" t="str">
        <f t="shared" si="56"/>
        <v/>
      </c>
      <c r="W908" s="48" t="str">
        <f t="shared" si="56"/>
        <v/>
      </c>
      <c r="X908" s="48" t="str">
        <f t="shared" si="56"/>
        <v/>
      </c>
      <c r="Y908" s="48" t="str">
        <f t="shared" si="56"/>
        <v/>
      </c>
      <c r="Z908" s="49" t="str">
        <f t="shared" si="58"/>
        <v/>
      </c>
      <c r="AA908" s="50" t="str">
        <f t="shared" si="57"/>
        <v/>
      </c>
      <c r="AB908" s="48" t="str">
        <f t="shared" si="57"/>
        <v/>
      </c>
      <c r="AC908" s="48" t="str">
        <f t="shared" si="57"/>
        <v/>
      </c>
      <c r="AD908" s="48" t="str">
        <f t="shared" si="57"/>
        <v/>
      </c>
      <c r="AE908" s="48" t="str">
        <f t="shared" si="59"/>
        <v/>
      </c>
    </row>
    <row r="909" spans="1:31" x14ac:dyDescent="0.25">
      <c r="A909" s="2"/>
      <c r="B909" s="2"/>
      <c r="C909" s="2"/>
      <c r="D909" s="2" t="str">
        <f>IF(ISBLANK(C909),"",VLOOKUP(C909,configuration!$G$7:$H$10,2,FALSE))</f>
        <v/>
      </c>
      <c r="E909" s="2"/>
      <c r="F909" s="2"/>
      <c r="G909" s="2"/>
      <c r="H909" s="2" t="str">
        <f>IF(ISBLANK(G909),"",VLOOKUP(G909,configuration!$J$7:$K$10,2,FALSE))</f>
        <v/>
      </c>
      <c r="I909" s="30"/>
      <c r="J909" s="2"/>
      <c r="K909" s="31"/>
      <c r="L909" s="35"/>
      <c r="M909" s="2" t="str">
        <f>IF(ISBLANK(L909),"",VLOOKUP(L909,configuration!$M$7:$N$10,2,FALSE))</f>
        <v/>
      </c>
      <c r="N909" s="30"/>
      <c r="O909" s="2"/>
      <c r="P909" s="31"/>
      <c r="Q909" s="54"/>
      <c r="R909" s="55" t="str">
        <f>IF(ISBLANK(Q909),"",VLOOKUP(Q909,configuration!$P$7:$Q$10,2,FALSE))</f>
        <v/>
      </c>
      <c r="S909" s="56"/>
      <c r="T909" s="55"/>
      <c r="U909" s="78"/>
      <c r="V909" s="76" t="str">
        <f t="shared" si="56"/>
        <v/>
      </c>
      <c r="W909" s="48" t="str">
        <f t="shared" si="56"/>
        <v/>
      </c>
      <c r="X909" s="48" t="str">
        <f t="shared" si="56"/>
        <v/>
      </c>
      <c r="Y909" s="48" t="str">
        <f t="shared" si="56"/>
        <v/>
      </c>
      <c r="Z909" s="49" t="str">
        <f t="shared" si="58"/>
        <v/>
      </c>
      <c r="AA909" s="50" t="str">
        <f t="shared" si="57"/>
        <v/>
      </c>
      <c r="AB909" s="48" t="str">
        <f t="shared" si="57"/>
        <v/>
      </c>
      <c r="AC909" s="48" t="str">
        <f t="shared" si="57"/>
        <v/>
      </c>
      <c r="AD909" s="48" t="str">
        <f t="shared" si="57"/>
        <v/>
      </c>
      <c r="AE909" s="48" t="str">
        <f t="shared" si="59"/>
        <v/>
      </c>
    </row>
    <row r="910" spans="1:31" x14ac:dyDescent="0.25">
      <c r="A910" s="2"/>
      <c r="B910" s="2"/>
      <c r="C910" s="2"/>
      <c r="D910" s="2" t="str">
        <f>IF(ISBLANK(C910),"",VLOOKUP(C910,configuration!$G$7:$H$10,2,FALSE))</f>
        <v/>
      </c>
      <c r="E910" s="2"/>
      <c r="F910" s="2"/>
      <c r="G910" s="2"/>
      <c r="H910" s="2" t="str">
        <f>IF(ISBLANK(G910),"",VLOOKUP(G910,configuration!$J$7:$K$10,2,FALSE))</f>
        <v/>
      </c>
      <c r="I910" s="30"/>
      <c r="J910" s="2"/>
      <c r="K910" s="31"/>
      <c r="L910" s="35"/>
      <c r="M910" s="2" t="str">
        <f>IF(ISBLANK(L910),"",VLOOKUP(L910,configuration!$M$7:$N$10,2,FALSE))</f>
        <v/>
      </c>
      <c r="N910" s="30"/>
      <c r="O910" s="2"/>
      <c r="P910" s="31"/>
      <c r="Q910" s="54"/>
      <c r="R910" s="55" t="str">
        <f>IF(ISBLANK(Q910),"",VLOOKUP(Q910,configuration!$P$7:$Q$10,2,FALSE))</f>
        <v/>
      </c>
      <c r="S910" s="56"/>
      <c r="T910" s="55"/>
      <c r="U910" s="78"/>
      <c r="V910" s="76" t="str">
        <f t="shared" si="56"/>
        <v/>
      </c>
      <c r="W910" s="48" t="str">
        <f t="shared" si="56"/>
        <v/>
      </c>
      <c r="X910" s="48" t="str">
        <f t="shared" si="56"/>
        <v/>
      </c>
      <c r="Y910" s="48" t="str">
        <f t="shared" si="56"/>
        <v/>
      </c>
      <c r="Z910" s="49" t="str">
        <f t="shared" si="58"/>
        <v/>
      </c>
      <c r="AA910" s="50" t="str">
        <f t="shared" si="57"/>
        <v/>
      </c>
      <c r="AB910" s="48" t="str">
        <f t="shared" si="57"/>
        <v/>
      </c>
      <c r="AC910" s="48" t="str">
        <f t="shared" si="57"/>
        <v/>
      </c>
      <c r="AD910" s="48" t="str">
        <f t="shared" si="57"/>
        <v/>
      </c>
      <c r="AE910" s="48" t="str">
        <f t="shared" si="59"/>
        <v/>
      </c>
    </row>
    <row r="911" spans="1:31" x14ac:dyDescent="0.25">
      <c r="A911" s="2"/>
      <c r="B911" s="2"/>
      <c r="C911" s="2"/>
      <c r="D911" s="2" t="str">
        <f>IF(ISBLANK(C911),"",VLOOKUP(C911,configuration!$G$7:$H$10,2,FALSE))</f>
        <v/>
      </c>
      <c r="E911" s="2"/>
      <c r="F911" s="2"/>
      <c r="G911" s="2"/>
      <c r="H911" s="2" t="str">
        <f>IF(ISBLANK(G911),"",VLOOKUP(G911,configuration!$J$7:$K$10,2,FALSE))</f>
        <v/>
      </c>
      <c r="I911" s="30"/>
      <c r="J911" s="2"/>
      <c r="K911" s="31"/>
      <c r="L911" s="35"/>
      <c r="M911" s="2" t="str">
        <f>IF(ISBLANK(L911),"",VLOOKUP(L911,configuration!$M$7:$N$10,2,FALSE))</f>
        <v/>
      </c>
      <c r="N911" s="30"/>
      <c r="O911" s="2"/>
      <c r="P911" s="31"/>
      <c r="Q911" s="54"/>
      <c r="R911" s="55" t="str">
        <f>IF(ISBLANK(Q911),"",VLOOKUP(Q911,configuration!$P$7:$Q$10,2,FALSE))</f>
        <v/>
      </c>
      <c r="S911" s="56"/>
      <c r="T911" s="55"/>
      <c r="U911" s="78"/>
      <c r="V911" s="76" t="str">
        <f t="shared" si="56"/>
        <v/>
      </c>
      <c r="W911" s="48" t="str">
        <f t="shared" si="56"/>
        <v/>
      </c>
      <c r="X911" s="48" t="str">
        <f t="shared" si="56"/>
        <v/>
      </c>
      <c r="Y911" s="48" t="str">
        <f t="shared" ref="V911:Y974" si="60">IF($G911=Y$4,1,"")</f>
        <v/>
      </c>
      <c r="Z911" s="49" t="str">
        <f t="shared" si="58"/>
        <v/>
      </c>
      <c r="AA911" s="50" t="str">
        <f t="shared" si="57"/>
        <v/>
      </c>
      <c r="AB911" s="48" t="str">
        <f t="shared" si="57"/>
        <v/>
      </c>
      <c r="AC911" s="48" t="str">
        <f t="shared" si="57"/>
        <v/>
      </c>
      <c r="AD911" s="48" t="str">
        <f t="shared" ref="AA911:AD974" si="61">IF($L911=AD$4,1,"")</f>
        <v/>
      </c>
      <c r="AE911" s="48" t="str">
        <f t="shared" si="59"/>
        <v/>
      </c>
    </row>
    <row r="912" spans="1:31" x14ac:dyDescent="0.25">
      <c r="A912" s="2"/>
      <c r="B912" s="2"/>
      <c r="C912" s="2"/>
      <c r="D912" s="2" t="str">
        <f>IF(ISBLANK(C912),"",VLOOKUP(C912,configuration!$G$7:$H$10,2,FALSE))</f>
        <v/>
      </c>
      <c r="E912" s="2"/>
      <c r="F912" s="2"/>
      <c r="G912" s="2"/>
      <c r="H912" s="2" t="str">
        <f>IF(ISBLANK(G912),"",VLOOKUP(G912,configuration!$J$7:$K$10,2,FALSE))</f>
        <v/>
      </c>
      <c r="I912" s="30"/>
      <c r="J912" s="2"/>
      <c r="K912" s="31"/>
      <c r="L912" s="35"/>
      <c r="M912" s="2" t="str">
        <f>IF(ISBLANK(L912),"",VLOOKUP(L912,configuration!$M$7:$N$10,2,FALSE))</f>
        <v/>
      </c>
      <c r="N912" s="30"/>
      <c r="O912" s="2"/>
      <c r="P912" s="31"/>
      <c r="Q912" s="54"/>
      <c r="R912" s="55" t="str">
        <f>IF(ISBLANK(Q912),"",VLOOKUP(Q912,configuration!$P$7:$Q$10,2,FALSE))</f>
        <v/>
      </c>
      <c r="S912" s="56"/>
      <c r="T912" s="55"/>
      <c r="U912" s="78"/>
      <c r="V912" s="76" t="str">
        <f t="shared" si="60"/>
        <v/>
      </c>
      <c r="W912" s="48" t="str">
        <f t="shared" si="60"/>
        <v/>
      </c>
      <c r="X912" s="48" t="str">
        <f t="shared" si="60"/>
        <v/>
      </c>
      <c r="Y912" s="48" t="str">
        <f t="shared" si="60"/>
        <v/>
      </c>
      <c r="Z912" s="49" t="str">
        <f t="shared" si="58"/>
        <v/>
      </c>
      <c r="AA912" s="50" t="str">
        <f t="shared" si="61"/>
        <v/>
      </c>
      <c r="AB912" s="48" t="str">
        <f t="shared" si="61"/>
        <v/>
      </c>
      <c r="AC912" s="48" t="str">
        <f t="shared" si="61"/>
        <v/>
      </c>
      <c r="AD912" s="48" t="str">
        <f t="shared" si="61"/>
        <v/>
      </c>
      <c r="AE912" s="48" t="str">
        <f t="shared" si="59"/>
        <v/>
      </c>
    </row>
    <row r="913" spans="1:31" x14ac:dyDescent="0.25">
      <c r="A913" s="2"/>
      <c r="B913" s="2"/>
      <c r="C913" s="2"/>
      <c r="D913" s="2" t="str">
        <f>IF(ISBLANK(C913),"",VLOOKUP(C913,configuration!$G$7:$H$10,2,FALSE))</f>
        <v/>
      </c>
      <c r="E913" s="2"/>
      <c r="F913" s="2"/>
      <c r="G913" s="2"/>
      <c r="H913" s="2" t="str">
        <f>IF(ISBLANK(G913),"",VLOOKUP(G913,configuration!$J$7:$K$10,2,FALSE))</f>
        <v/>
      </c>
      <c r="I913" s="30"/>
      <c r="J913" s="2"/>
      <c r="K913" s="31"/>
      <c r="L913" s="35"/>
      <c r="M913" s="2" t="str">
        <f>IF(ISBLANK(L913),"",VLOOKUP(L913,configuration!$M$7:$N$10,2,FALSE))</f>
        <v/>
      </c>
      <c r="N913" s="30"/>
      <c r="O913" s="2"/>
      <c r="P913" s="31"/>
      <c r="Q913" s="54"/>
      <c r="R913" s="55" t="str">
        <f>IF(ISBLANK(Q913),"",VLOOKUP(Q913,configuration!$P$7:$Q$10,2,FALSE))</f>
        <v/>
      </c>
      <c r="S913" s="56"/>
      <c r="T913" s="55"/>
      <c r="U913" s="78"/>
      <c r="V913" s="76" t="str">
        <f t="shared" si="60"/>
        <v/>
      </c>
      <c r="W913" s="48" t="str">
        <f t="shared" si="60"/>
        <v/>
      </c>
      <c r="X913" s="48" t="str">
        <f t="shared" si="60"/>
        <v/>
      </c>
      <c r="Y913" s="48" t="str">
        <f t="shared" si="60"/>
        <v/>
      </c>
      <c r="Z913" s="49" t="str">
        <f t="shared" si="58"/>
        <v/>
      </c>
      <c r="AA913" s="50" t="str">
        <f t="shared" si="61"/>
        <v/>
      </c>
      <c r="AB913" s="48" t="str">
        <f t="shared" si="61"/>
        <v/>
      </c>
      <c r="AC913" s="48" t="str">
        <f t="shared" si="61"/>
        <v/>
      </c>
      <c r="AD913" s="48" t="str">
        <f t="shared" si="61"/>
        <v/>
      </c>
      <c r="AE913" s="48" t="str">
        <f t="shared" si="59"/>
        <v/>
      </c>
    </row>
    <row r="914" spans="1:31" x14ac:dyDescent="0.25">
      <c r="A914" s="2"/>
      <c r="B914" s="2"/>
      <c r="C914" s="2"/>
      <c r="D914" s="2" t="str">
        <f>IF(ISBLANK(C914),"",VLOOKUP(C914,configuration!$G$7:$H$10,2,FALSE))</f>
        <v/>
      </c>
      <c r="E914" s="2"/>
      <c r="F914" s="2"/>
      <c r="G914" s="2"/>
      <c r="H914" s="2" t="str">
        <f>IF(ISBLANK(G914),"",VLOOKUP(G914,configuration!$J$7:$K$10,2,FALSE))</f>
        <v/>
      </c>
      <c r="I914" s="30"/>
      <c r="J914" s="2"/>
      <c r="K914" s="31"/>
      <c r="L914" s="35"/>
      <c r="M914" s="2" t="str">
        <f>IF(ISBLANK(L914),"",VLOOKUP(L914,configuration!$M$7:$N$10,2,FALSE))</f>
        <v/>
      </c>
      <c r="N914" s="30"/>
      <c r="O914" s="2"/>
      <c r="P914" s="31"/>
      <c r="Q914" s="54"/>
      <c r="R914" s="55" t="str">
        <f>IF(ISBLANK(Q914),"",VLOOKUP(Q914,configuration!$P$7:$Q$10,2,FALSE))</f>
        <v/>
      </c>
      <c r="S914" s="56"/>
      <c r="T914" s="55"/>
      <c r="U914" s="78"/>
      <c r="V914" s="76" t="str">
        <f t="shared" si="60"/>
        <v/>
      </c>
      <c r="W914" s="48" t="str">
        <f t="shared" si="60"/>
        <v/>
      </c>
      <c r="X914" s="48" t="str">
        <f t="shared" si="60"/>
        <v/>
      </c>
      <c r="Y914" s="48" t="str">
        <f t="shared" si="60"/>
        <v/>
      </c>
      <c r="Z914" s="49" t="str">
        <f t="shared" si="58"/>
        <v/>
      </c>
      <c r="AA914" s="50" t="str">
        <f t="shared" si="61"/>
        <v/>
      </c>
      <c r="AB914" s="48" t="str">
        <f t="shared" si="61"/>
        <v/>
      </c>
      <c r="AC914" s="48" t="str">
        <f t="shared" si="61"/>
        <v/>
      </c>
      <c r="AD914" s="48" t="str">
        <f t="shared" si="61"/>
        <v/>
      </c>
      <c r="AE914" s="48" t="str">
        <f t="shared" si="59"/>
        <v/>
      </c>
    </row>
    <row r="915" spans="1:31" x14ac:dyDescent="0.25">
      <c r="A915" s="2"/>
      <c r="B915" s="2"/>
      <c r="C915" s="2"/>
      <c r="D915" s="2" t="str">
        <f>IF(ISBLANK(C915),"",VLOOKUP(C915,configuration!$G$7:$H$10,2,FALSE))</f>
        <v/>
      </c>
      <c r="E915" s="2"/>
      <c r="F915" s="2"/>
      <c r="G915" s="2"/>
      <c r="H915" s="2" t="str">
        <f>IF(ISBLANK(G915),"",VLOOKUP(G915,configuration!$J$7:$K$10,2,FALSE))</f>
        <v/>
      </c>
      <c r="I915" s="30"/>
      <c r="J915" s="2"/>
      <c r="K915" s="31"/>
      <c r="L915" s="35"/>
      <c r="M915" s="2" t="str">
        <f>IF(ISBLANK(L915),"",VLOOKUP(L915,configuration!$M$7:$N$10,2,FALSE))</f>
        <v/>
      </c>
      <c r="N915" s="30"/>
      <c r="O915" s="2"/>
      <c r="P915" s="31"/>
      <c r="Q915" s="54"/>
      <c r="R915" s="55" t="str">
        <f>IF(ISBLANK(Q915),"",VLOOKUP(Q915,configuration!$P$7:$Q$10,2,FALSE))</f>
        <v/>
      </c>
      <c r="S915" s="56"/>
      <c r="T915" s="55"/>
      <c r="U915" s="78"/>
      <c r="V915" s="76" t="str">
        <f t="shared" si="60"/>
        <v/>
      </c>
      <c r="W915" s="48" t="str">
        <f t="shared" si="60"/>
        <v/>
      </c>
      <c r="X915" s="48" t="str">
        <f t="shared" si="60"/>
        <v/>
      </c>
      <c r="Y915" s="48" t="str">
        <f t="shared" si="60"/>
        <v/>
      </c>
      <c r="Z915" s="49" t="str">
        <f t="shared" si="58"/>
        <v/>
      </c>
      <c r="AA915" s="50" t="str">
        <f t="shared" si="61"/>
        <v/>
      </c>
      <c r="AB915" s="48" t="str">
        <f t="shared" si="61"/>
        <v/>
      </c>
      <c r="AC915" s="48" t="str">
        <f t="shared" si="61"/>
        <v/>
      </c>
      <c r="AD915" s="48" t="str">
        <f t="shared" si="61"/>
        <v/>
      </c>
      <c r="AE915" s="48" t="str">
        <f t="shared" si="59"/>
        <v/>
      </c>
    </row>
    <row r="916" spans="1:31" x14ac:dyDescent="0.25">
      <c r="A916" s="2"/>
      <c r="B916" s="2"/>
      <c r="C916" s="2"/>
      <c r="D916" s="2" t="str">
        <f>IF(ISBLANK(C916),"",VLOOKUP(C916,configuration!$G$7:$H$10,2,FALSE))</f>
        <v/>
      </c>
      <c r="E916" s="2"/>
      <c r="F916" s="2"/>
      <c r="G916" s="2"/>
      <c r="H916" s="2" t="str">
        <f>IF(ISBLANK(G916),"",VLOOKUP(G916,configuration!$J$7:$K$10,2,FALSE))</f>
        <v/>
      </c>
      <c r="I916" s="30"/>
      <c r="J916" s="2"/>
      <c r="K916" s="31"/>
      <c r="L916" s="35"/>
      <c r="M916" s="2" t="str">
        <f>IF(ISBLANK(L916),"",VLOOKUP(L916,configuration!$M$7:$N$10,2,FALSE))</f>
        <v/>
      </c>
      <c r="N916" s="30"/>
      <c r="O916" s="2"/>
      <c r="P916" s="31"/>
      <c r="Q916" s="54"/>
      <c r="R916" s="55" t="str">
        <f>IF(ISBLANK(Q916),"",VLOOKUP(Q916,configuration!$P$7:$Q$10,2,FALSE))</f>
        <v/>
      </c>
      <c r="S916" s="56"/>
      <c r="T916" s="55"/>
      <c r="U916" s="78"/>
      <c r="V916" s="76" t="str">
        <f t="shared" si="60"/>
        <v/>
      </c>
      <c r="W916" s="48" t="str">
        <f t="shared" si="60"/>
        <v/>
      </c>
      <c r="X916" s="48" t="str">
        <f t="shared" si="60"/>
        <v/>
      </c>
      <c r="Y916" s="48" t="str">
        <f t="shared" si="60"/>
        <v/>
      </c>
      <c r="Z916" s="49" t="str">
        <f t="shared" si="58"/>
        <v/>
      </c>
      <c r="AA916" s="50" t="str">
        <f t="shared" si="61"/>
        <v/>
      </c>
      <c r="AB916" s="48" t="str">
        <f t="shared" si="61"/>
        <v/>
      </c>
      <c r="AC916" s="48" t="str">
        <f t="shared" si="61"/>
        <v/>
      </c>
      <c r="AD916" s="48" t="str">
        <f t="shared" si="61"/>
        <v/>
      </c>
      <c r="AE916" s="48" t="str">
        <f t="shared" si="59"/>
        <v/>
      </c>
    </row>
    <row r="917" spans="1:31" x14ac:dyDescent="0.25">
      <c r="A917" s="2"/>
      <c r="B917" s="2"/>
      <c r="C917" s="2"/>
      <c r="D917" s="2" t="str">
        <f>IF(ISBLANK(C917),"",VLOOKUP(C917,configuration!$G$7:$H$10,2,FALSE))</f>
        <v/>
      </c>
      <c r="E917" s="2"/>
      <c r="F917" s="2"/>
      <c r="G917" s="2"/>
      <c r="H917" s="2" t="str">
        <f>IF(ISBLANK(G917),"",VLOOKUP(G917,configuration!$J$7:$K$10,2,FALSE))</f>
        <v/>
      </c>
      <c r="I917" s="30"/>
      <c r="J917" s="2"/>
      <c r="K917" s="31"/>
      <c r="L917" s="35"/>
      <c r="M917" s="2" t="str">
        <f>IF(ISBLANK(L917),"",VLOOKUP(L917,configuration!$M$7:$N$10,2,FALSE))</f>
        <v/>
      </c>
      <c r="N917" s="30"/>
      <c r="O917" s="2"/>
      <c r="P917" s="31"/>
      <c r="Q917" s="54"/>
      <c r="R917" s="55" t="str">
        <f>IF(ISBLANK(Q917),"",VLOOKUP(Q917,configuration!$P$7:$Q$10,2,FALSE))</f>
        <v/>
      </c>
      <c r="S917" s="56"/>
      <c r="T917" s="55"/>
      <c r="U917" s="78"/>
      <c r="V917" s="76" t="str">
        <f t="shared" si="60"/>
        <v/>
      </c>
      <c r="W917" s="48" t="str">
        <f t="shared" si="60"/>
        <v/>
      </c>
      <c r="X917" s="48" t="str">
        <f t="shared" si="60"/>
        <v/>
      </c>
      <c r="Y917" s="48" t="str">
        <f t="shared" si="60"/>
        <v/>
      </c>
      <c r="Z917" s="49" t="str">
        <f t="shared" si="58"/>
        <v/>
      </c>
      <c r="AA917" s="50" t="str">
        <f t="shared" si="61"/>
        <v/>
      </c>
      <c r="AB917" s="48" t="str">
        <f t="shared" si="61"/>
        <v/>
      </c>
      <c r="AC917" s="48" t="str">
        <f t="shared" si="61"/>
        <v/>
      </c>
      <c r="AD917" s="48" t="str">
        <f t="shared" si="61"/>
        <v/>
      </c>
      <c r="AE917" s="48" t="str">
        <f t="shared" si="59"/>
        <v/>
      </c>
    </row>
    <row r="918" spans="1:31" x14ac:dyDescent="0.25">
      <c r="A918" s="2"/>
      <c r="B918" s="2"/>
      <c r="C918" s="2"/>
      <c r="D918" s="2" t="str">
        <f>IF(ISBLANK(C918),"",VLOOKUP(C918,configuration!$G$7:$H$10,2,FALSE))</f>
        <v/>
      </c>
      <c r="E918" s="2"/>
      <c r="F918" s="2"/>
      <c r="G918" s="2"/>
      <c r="H918" s="2" t="str">
        <f>IF(ISBLANK(G918),"",VLOOKUP(G918,configuration!$J$7:$K$10,2,FALSE))</f>
        <v/>
      </c>
      <c r="I918" s="30"/>
      <c r="J918" s="2"/>
      <c r="K918" s="31"/>
      <c r="L918" s="35"/>
      <c r="M918" s="2" t="str">
        <f>IF(ISBLANK(L918),"",VLOOKUP(L918,configuration!$M$7:$N$10,2,FALSE))</f>
        <v/>
      </c>
      <c r="N918" s="30"/>
      <c r="O918" s="2"/>
      <c r="P918" s="31"/>
      <c r="Q918" s="54"/>
      <c r="R918" s="55" t="str">
        <f>IF(ISBLANK(Q918),"",VLOOKUP(Q918,configuration!$P$7:$Q$10,2,FALSE))</f>
        <v/>
      </c>
      <c r="S918" s="56"/>
      <c r="T918" s="55"/>
      <c r="U918" s="78"/>
      <c r="V918" s="76" t="str">
        <f t="shared" si="60"/>
        <v/>
      </c>
      <c r="W918" s="48" t="str">
        <f t="shared" si="60"/>
        <v/>
      </c>
      <c r="X918" s="48" t="str">
        <f t="shared" si="60"/>
        <v/>
      </c>
      <c r="Y918" s="48" t="str">
        <f t="shared" si="60"/>
        <v/>
      </c>
      <c r="Z918" s="49" t="str">
        <f t="shared" si="58"/>
        <v/>
      </c>
      <c r="AA918" s="50" t="str">
        <f t="shared" si="61"/>
        <v/>
      </c>
      <c r="AB918" s="48" t="str">
        <f t="shared" si="61"/>
        <v/>
      </c>
      <c r="AC918" s="48" t="str">
        <f t="shared" si="61"/>
        <v/>
      </c>
      <c r="AD918" s="48" t="str">
        <f t="shared" si="61"/>
        <v/>
      </c>
      <c r="AE918" s="48" t="str">
        <f t="shared" si="59"/>
        <v/>
      </c>
    </row>
    <row r="919" spans="1:31" x14ac:dyDescent="0.25">
      <c r="A919" s="2"/>
      <c r="B919" s="2"/>
      <c r="C919" s="2"/>
      <c r="D919" s="2" t="str">
        <f>IF(ISBLANK(C919),"",VLOOKUP(C919,configuration!$G$7:$H$10,2,FALSE))</f>
        <v/>
      </c>
      <c r="E919" s="2"/>
      <c r="F919" s="2"/>
      <c r="G919" s="2"/>
      <c r="H919" s="2" t="str">
        <f>IF(ISBLANK(G919),"",VLOOKUP(G919,configuration!$J$7:$K$10,2,FALSE))</f>
        <v/>
      </c>
      <c r="I919" s="30"/>
      <c r="J919" s="2"/>
      <c r="K919" s="31"/>
      <c r="L919" s="35"/>
      <c r="M919" s="2" t="str">
        <f>IF(ISBLANK(L919),"",VLOOKUP(L919,configuration!$M$7:$N$10,2,FALSE))</f>
        <v/>
      </c>
      <c r="N919" s="30"/>
      <c r="O919" s="2"/>
      <c r="P919" s="31"/>
      <c r="Q919" s="54"/>
      <c r="R919" s="55" t="str">
        <f>IF(ISBLANK(Q919),"",VLOOKUP(Q919,configuration!$P$7:$Q$10,2,FALSE))</f>
        <v/>
      </c>
      <c r="S919" s="56"/>
      <c r="T919" s="55"/>
      <c r="U919" s="78"/>
      <c r="V919" s="76" t="str">
        <f t="shared" si="60"/>
        <v/>
      </c>
      <c r="W919" s="48" t="str">
        <f t="shared" si="60"/>
        <v/>
      </c>
      <c r="X919" s="48" t="str">
        <f t="shared" si="60"/>
        <v/>
      </c>
      <c r="Y919" s="48" t="str">
        <f t="shared" si="60"/>
        <v/>
      </c>
      <c r="Z919" s="49" t="str">
        <f t="shared" si="58"/>
        <v/>
      </c>
      <c r="AA919" s="50" t="str">
        <f t="shared" si="61"/>
        <v/>
      </c>
      <c r="AB919" s="48" t="str">
        <f t="shared" si="61"/>
        <v/>
      </c>
      <c r="AC919" s="48" t="str">
        <f t="shared" si="61"/>
        <v/>
      </c>
      <c r="AD919" s="48" t="str">
        <f t="shared" si="61"/>
        <v/>
      </c>
      <c r="AE919" s="48" t="str">
        <f t="shared" si="59"/>
        <v/>
      </c>
    </row>
    <row r="920" spans="1:31" x14ac:dyDescent="0.25">
      <c r="A920" s="2"/>
      <c r="B920" s="2"/>
      <c r="C920" s="2"/>
      <c r="D920" s="2" t="str">
        <f>IF(ISBLANK(C920),"",VLOOKUP(C920,configuration!$G$7:$H$10,2,FALSE))</f>
        <v/>
      </c>
      <c r="E920" s="2"/>
      <c r="F920" s="2"/>
      <c r="G920" s="2"/>
      <c r="H920" s="2" t="str">
        <f>IF(ISBLANK(G920),"",VLOOKUP(G920,configuration!$J$7:$K$10,2,FALSE))</f>
        <v/>
      </c>
      <c r="I920" s="30"/>
      <c r="J920" s="2"/>
      <c r="K920" s="31"/>
      <c r="L920" s="35"/>
      <c r="M920" s="2" t="str">
        <f>IF(ISBLANK(L920),"",VLOOKUP(L920,configuration!$M$7:$N$10,2,FALSE))</f>
        <v/>
      </c>
      <c r="N920" s="30"/>
      <c r="O920" s="2"/>
      <c r="P920" s="31"/>
      <c r="Q920" s="54"/>
      <c r="R920" s="55" t="str">
        <f>IF(ISBLANK(Q920),"",VLOOKUP(Q920,configuration!$P$7:$Q$10,2,FALSE))</f>
        <v/>
      </c>
      <c r="S920" s="56"/>
      <c r="T920" s="55"/>
      <c r="U920" s="78"/>
      <c r="V920" s="76" t="str">
        <f t="shared" si="60"/>
        <v/>
      </c>
      <c r="W920" s="48" t="str">
        <f t="shared" si="60"/>
        <v/>
      </c>
      <c r="X920" s="48" t="str">
        <f t="shared" si="60"/>
        <v/>
      </c>
      <c r="Y920" s="48" t="str">
        <f t="shared" si="60"/>
        <v/>
      </c>
      <c r="Z920" s="49" t="str">
        <f t="shared" si="58"/>
        <v/>
      </c>
      <c r="AA920" s="50" t="str">
        <f t="shared" si="61"/>
        <v/>
      </c>
      <c r="AB920" s="48" t="str">
        <f t="shared" si="61"/>
        <v/>
      </c>
      <c r="AC920" s="48" t="str">
        <f t="shared" si="61"/>
        <v/>
      </c>
      <c r="AD920" s="48" t="str">
        <f t="shared" si="61"/>
        <v/>
      </c>
      <c r="AE920" s="48" t="str">
        <f t="shared" si="59"/>
        <v/>
      </c>
    </row>
    <row r="921" spans="1:31" x14ac:dyDescent="0.25">
      <c r="A921" s="2"/>
      <c r="B921" s="2"/>
      <c r="C921" s="2"/>
      <c r="D921" s="2" t="str">
        <f>IF(ISBLANK(C921),"",VLOOKUP(C921,configuration!$G$7:$H$10,2,FALSE))</f>
        <v/>
      </c>
      <c r="E921" s="2"/>
      <c r="F921" s="2"/>
      <c r="G921" s="2"/>
      <c r="H921" s="2" t="str">
        <f>IF(ISBLANK(G921),"",VLOOKUP(G921,configuration!$J$7:$K$10,2,FALSE))</f>
        <v/>
      </c>
      <c r="I921" s="30"/>
      <c r="J921" s="2"/>
      <c r="K921" s="31"/>
      <c r="L921" s="35"/>
      <c r="M921" s="2" t="str">
        <f>IF(ISBLANK(L921),"",VLOOKUP(L921,configuration!$M$7:$N$10,2,FALSE))</f>
        <v/>
      </c>
      <c r="N921" s="30"/>
      <c r="O921" s="2"/>
      <c r="P921" s="31"/>
      <c r="Q921" s="54"/>
      <c r="R921" s="55" t="str">
        <f>IF(ISBLANK(Q921),"",VLOOKUP(Q921,configuration!$P$7:$Q$10,2,FALSE))</f>
        <v/>
      </c>
      <c r="S921" s="56"/>
      <c r="T921" s="55"/>
      <c r="U921" s="78"/>
      <c r="V921" s="76" t="str">
        <f t="shared" si="60"/>
        <v/>
      </c>
      <c r="W921" s="48" t="str">
        <f t="shared" si="60"/>
        <v/>
      </c>
      <c r="X921" s="48" t="str">
        <f t="shared" si="60"/>
        <v/>
      </c>
      <c r="Y921" s="48" t="str">
        <f t="shared" si="60"/>
        <v/>
      </c>
      <c r="Z921" s="49" t="str">
        <f t="shared" si="58"/>
        <v/>
      </c>
      <c r="AA921" s="50" t="str">
        <f t="shared" si="61"/>
        <v/>
      </c>
      <c r="AB921" s="48" t="str">
        <f t="shared" si="61"/>
        <v/>
      </c>
      <c r="AC921" s="48" t="str">
        <f t="shared" si="61"/>
        <v/>
      </c>
      <c r="AD921" s="48" t="str">
        <f t="shared" si="61"/>
        <v/>
      </c>
      <c r="AE921" s="48" t="str">
        <f t="shared" si="59"/>
        <v/>
      </c>
    </row>
    <row r="922" spans="1:31" x14ac:dyDescent="0.25">
      <c r="A922" s="2"/>
      <c r="B922" s="2"/>
      <c r="C922" s="2"/>
      <c r="D922" s="2" t="str">
        <f>IF(ISBLANK(C922),"",VLOOKUP(C922,configuration!$G$7:$H$10,2,FALSE))</f>
        <v/>
      </c>
      <c r="E922" s="2"/>
      <c r="F922" s="2"/>
      <c r="G922" s="2"/>
      <c r="H922" s="2" t="str">
        <f>IF(ISBLANK(G922),"",VLOOKUP(G922,configuration!$J$7:$K$10,2,FALSE))</f>
        <v/>
      </c>
      <c r="I922" s="30"/>
      <c r="J922" s="2"/>
      <c r="K922" s="31"/>
      <c r="L922" s="35"/>
      <c r="M922" s="2" t="str">
        <f>IF(ISBLANK(L922),"",VLOOKUP(L922,configuration!$M$7:$N$10,2,FALSE))</f>
        <v/>
      </c>
      <c r="N922" s="30"/>
      <c r="O922" s="2"/>
      <c r="P922" s="31"/>
      <c r="Q922" s="54"/>
      <c r="R922" s="55" t="str">
        <f>IF(ISBLANK(Q922),"",VLOOKUP(Q922,configuration!$P$7:$Q$10,2,FALSE))</f>
        <v/>
      </c>
      <c r="S922" s="56"/>
      <c r="T922" s="55"/>
      <c r="U922" s="78"/>
      <c r="V922" s="76" t="str">
        <f t="shared" si="60"/>
        <v/>
      </c>
      <c r="W922" s="48" t="str">
        <f t="shared" si="60"/>
        <v/>
      </c>
      <c r="X922" s="48" t="str">
        <f t="shared" si="60"/>
        <v/>
      </c>
      <c r="Y922" s="48" t="str">
        <f t="shared" si="60"/>
        <v/>
      </c>
      <c r="Z922" s="49" t="str">
        <f t="shared" si="58"/>
        <v/>
      </c>
      <c r="AA922" s="50" t="str">
        <f t="shared" si="61"/>
        <v/>
      </c>
      <c r="AB922" s="48" t="str">
        <f t="shared" si="61"/>
        <v/>
      </c>
      <c r="AC922" s="48" t="str">
        <f t="shared" si="61"/>
        <v/>
      </c>
      <c r="AD922" s="48" t="str">
        <f t="shared" si="61"/>
        <v/>
      </c>
      <c r="AE922" s="48" t="str">
        <f t="shared" si="59"/>
        <v/>
      </c>
    </row>
    <row r="923" spans="1:31" x14ac:dyDescent="0.25">
      <c r="A923" s="2"/>
      <c r="B923" s="2"/>
      <c r="C923" s="2"/>
      <c r="D923" s="2" t="str">
        <f>IF(ISBLANK(C923),"",VLOOKUP(C923,configuration!$G$7:$H$10,2,FALSE))</f>
        <v/>
      </c>
      <c r="E923" s="2"/>
      <c r="F923" s="2"/>
      <c r="G923" s="2"/>
      <c r="H923" s="2" t="str">
        <f>IF(ISBLANK(G923),"",VLOOKUP(G923,configuration!$J$7:$K$10,2,FALSE))</f>
        <v/>
      </c>
      <c r="I923" s="30"/>
      <c r="J923" s="2"/>
      <c r="K923" s="31"/>
      <c r="L923" s="35"/>
      <c r="M923" s="2" t="str">
        <f>IF(ISBLANK(L923),"",VLOOKUP(L923,configuration!$M$7:$N$10,2,FALSE))</f>
        <v/>
      </c>
      <c r="N923" s="30"/>
      <c r="O923" s="2"/>
      <c r="P923" s="31"/>
      <c r="Q923" s="54"/>
      <c r="R923" s="55" t="str">
        <f>IF(ISBLANK(Q923),"",VLOOKUP(Q923,configuration!$P$7:$Q$10,2,FALSE))</f>
        <v/>
      </c>
      <c r="S923" s="56"/>
      <c r="T923" s="55"/>
      <c r="U923" s="78"/>
      <c r="V923" s="76" t="str">
        <f t="shared" si="60"/>
        <v/>
      </c>
      <c r="W923" s="48" t="str">
        <f t="shared" si="60"/>
        <v/>
      </c>
      <c r="X923" s="48" t="str">
        <f t="shared" si="60"/>
        <v/>
      </c>
      <c r="Y923" s="48" t="str">
        <f t="shared" si="60"/>
        <v/>
      </c>
      <c r="Z923" s="49" t="str">
        <f t="shared" si="58"/>
        <v/>
      </c>
      <c r="AA923" s="50" t="str">
        <f t="shared" si="61"/>
        <v/>
      </c>
      <c r="AB923" s="48" t="str">
        <f t="shared" si="61"/>
        <v/>
      </c>
      <c r="AC923" s="48" t="str">
        <f t="shared" si="61"/>
        <v/>
      </c>
      <c r="AD923" s="48" t="str">
        <f t="shared" si="61"/>
        <v/>
      </c>
      <c r="AE923" s="48" t="str">
        <f t="shared" si="59"/>
        <v/>
      </c>
    </row>
    <row r="924" spans="1:31" x14ac:dyDescent="0.25">
      <c r="A924" s="2"/>
      <c r="B924" s="2"/>
      <c r="C924" s="2"/>
      <c r="D924" s="2" t="str">
        <f>IF(ISBLANK(C924),"",VLOOKUP(C924,configuration!$G$7:$H$10,2,FALSE))</f>
        <v/>
      </c>
      <c r="E924" s="2"/>
      <c r="F924" s="2"/>
      <c r="G924" s="2"/>
      <c r="H924" s="2" t="str">
        <f>IF(ISBLANK(G924),"",VLOOKUP(G924,configuration!$J$7:$K$10,2,FALSE))</f>
        <v/>
      </c>
      <c r="I924" s="30"/>
      <c r="J924" s="2"/>
      <c r="K924" s="31"/>
      <c r="L924" s="35"/>
      <c r="M924" s="2" t="str">
        <f>IF(ISBLANK(L924),"",VLOOKUP(L924,configuration!$M$7:$N$10,2,FALSE))</f>
        <v/>
      </c>
      <c r="N924" s="30"/>
      <c r="O924" s="2"/>
      <c r="P924" s="31"/>
      <c r="Q924" s="54"/>
      <c r="R924" s="55" t="str">
        <f>IF(ISBLANK(Q924),"",VLOOKUP(Q924,configuration!$P$7:$Q$10,2,FALSE))</f>
        <v/>
      </c>
      <c r="S924" s="56"/>
      <c r="T924" s="55"/>
      <c r="U924" s="78"/>
      <c r="V924" s="76" t="str">
        <f t="shared" si="60"/>
        <v/>
      </c>
      <c r="W924" s="48" t="str">
        <f t="shared" si="60"/>
        <v/>
      </c>
      <c r="X924" s="48" t="str">
        <f t="shared" si="60"/>
        <v/>
      </c>
      <c r="Y924" s="48" t="str">
        <f t="shared" si="60"/>
        <v/>
      </c>
      <c r="Z924" s="49" t="str">
        <f t="shared" si="58"/>
        <v/>
      </c>
      <c r="AA924" s="50" t="str">
        <f t="shared" si="61"/>
        <v/>
      </c>
      <c r="AB924" s="48" t="str">
        <f t="shared" si="61"/>
        <v/>
      </c>
      <c r="AC924" s="48" t="str">
        <f t="shared" si="61"/>
        <v/>
      </c>
      <c r="AD924" s="48" t="str">
        <f t="shared" si="61"/>
        <v/>
      </c>
      <c r="AE924" s="48" t="str">
        <f t="shared" si="59"/>
        <v/>
      </c>
    </row>
    <row r="925" spans="1:31" x14ac:dyDescent="0.25">
      <c r="A925" s="2"/>
      <c r="B925" s="2"/>
      <c r="C925" s="2"/>
      <c r="D925" s="2" t="str">
        <f>IF(ISBLANK(C925),"",VLOOKUP(C925,configuration!$G$7:$H$10,2,FALSE))</f>
        <v/>
      </c>
      <c r="E925" s="2"/>
      <c r="F925" s="2"/>
      <c r="G925" s="2"/>
      <c r="H925" s="2" t="str">
        <f>IF(ISBLANK(G925),"",VLOOKUP(G925,configuration!$J$7:$K$10,2,FALSE))</f>
        <v/>
      </c>
      <c r="I925" s="30"/>
      <c r="J925" s="2"/>
      <c r="K925" s="31"/>
      <c r="L925" s="35"/>
      <c r="M925" s="2" t="str">
        <f>IF(ISBLANK(L925),"",VLOOKUP(L925,configuration!$M$7:$N$10,2,FALSE))</f>
        <v/>
      </c>
      <c r="N925" s="30"/>
      <c r="O925" s="2"/>
      <c r="P925" s="31"/>
      <c r="Q925" s="54"/>
      <c r="R925" s="55" t="str">
        <f>IF(ISBLANK(Q925),"",VLOOKUP(Q925,configuration!$P$7:$Q$10,2,FALSE))</f>
        <v/>
      </c>
      <c r="S925" s="56"/>
      <c r="T925" s="55"/>
      <c r="U925" s="78"/>
      <c r="V925" s="76" t="str">
        <f t="shared" si="60"/>
        <v/>
      </c>
      <c r="W925" s="48" t="str">
        <f t="shared" si="60"/>
        <v/>
      </c>
      <c r="X925" s="48" t="str">
        <f t="shared" si="60"/>
        <v/>
      </c>
      <c r="Y925" s="48" t="str">
        <f t="shared" si="60"/>
        <v/>
      </c>
      <c r="Z925" s="49" t="str">
        <f t="shared" si="58"/>
        <v/>
      </c>
      <c r="AA925" s="50" t="str">
        <f t="shared" si="61"/>
        <v/>
      </c>
      <c r="AB925" s="48" t="str">
        <f t="shared" si="61"/>
        <v/>
      </c>
      <c r="AC925" s="48" t="str">
        <f t="shared" si="61"/>
        <v/>
      </c>
      <c r="AD925" s="48" t="str">
        <f t="shared" si="61"/>
        <v/>
      </c>
      <c r="AE925" s="48" t="str">
        <f t="shared" si="59"/>
        <v/>
      </c>
    </row>
    <row r="926" spans="1:31" x14ac:dyDescent="0.25">
      <c r="A926" s="2"/>
      <c r="B926" s="2"/>
      <c r="C926" s="2"/>
      <c r="D926" s="2" t="str">
        <f>IF(ISBLANK(C926),"",VLOOKUP(C926,configuration!$G$7:$H$10,2,FALSE))</f>
        <v/>
      </c>
      <c r="E926" s="2"/>
      <c r="F926" s="2"/>
      <c r="G926" s="2"/>
      <c r="H926" s="2" t="str">
        <f>IF(ISBLANK(G926),"",VLOOKUP(G926,configuration!$J$7:$K$10,2,FALSE))</f>
        <v/>
      </c>
      <c r="I926" s="30"/>
      <c r="J926" s="2"/>
      <c r="K926" s="31"/>
      <c r="L926" s="35"/>
      <c r="M926" s="2" t="str">
        <f>IF(ISBLANK(L926),"",VLOOKUP(L926,configuration!$M$7:$N$10,2,FALSE))</f>
        <v/>
      </c>
      <c r="N926" s="30"/>
      <c r="O926" s="2"/>
      <c r="P926" s="31"/>
      <c r="Q926" s="54"/>
      <c r="R926" s="55" t="str">
        <f>IF(ISBLANK(Q926),"",VLOOKUP(Q926,configuration!$P$7:$Q$10,2,FALSE))</f>
        <v/>
      </c>
      <c r="S926" s="56"/>
      <c r="T926" s="55"/>
      <c r="U926" s="78"/>
      <c r="V926" s="76" t="str">
        <f t="shared" si="60"/>
        <v/>
      </c>
      <c r="W926" s="48" t="str">
        <f t="shared" si="60"/>
        <v/>
      </c>
      <c r="X926" s="48" t="str">
        <f t="shared" si="60"/>
        <v/>
      </c>
      <c r="Y926" s="48" t="str">
        <f t="shared" si="60"/>
        <v/>
      </c>
      <c r="Z926" s="49" t="str">
        <f t="shared" si="58"/>
        <v/>
      </c>
      <c r="AA926" s="50" t="str">
        <f t="shared" si="61"/>
        <v/>
      </c>
      <c r="AB926" s="48" t="str">
        <f t="shared" si="61"/>
        <v/>
      </c>
      <c r="AC926" s="48" t="str">
        <f t="shared" si="61"/>
        <v/>
      </c>
      <c r="AD926" s="48" t="str">
        <f t="shared" si="61"/>
        <v/>
      </c>
      <c r="AE926" s="48" t="str">
        <f t="shared" si="59"/>
        <v/>
      </c>
    </row>
    <row r="927" spans="1:31" x14ac:dyDescent="0.25">
      <c r="A927" s="2"/>
      <c r="B927" s="2"/>
      <c r="C927" s="2"/>
      <c r="D927" s="2" t="str">
        <f>IF(ISBLANK(C927),"",VLOOKUP(C927,configuration!$G$7:$H$10,2,FALSE))</f>
        <v/>
      </c>
      <c r="E927" s="2"/>
      <c r="F927" s="2"/>
      <c r="G927" s="2"/>
      <c r="H927" s="2" t="str">
        <f>IF(ISBLANK(G927),"",VLOOKUP(G927,configuration!$J$7:$K$10,2,FALSE))</f>
        <v/>
      </c>
      <c r="I927" s="30"/>
      <c r="J927" s="2"/>
      <c r="K927" s="31"/>
      <c r="L927" s="35"/>
      <c r="M927" s="2" t="str">
        <f>IF(ISBLANK(L927),"",VLOOKUP(L927,configuration!$M$7:$N$10,2,FALSE))</f>
        <v/>
      </c>
      <c r="N927" s="30"/>
      <c r="O927" s="2"/>
      <c r="P927" s="31"/>
      <c r="Q927" s="54"/>
      <c r="R927" s="55" t="str">
        <f>IF(ISBLANK(Q927),"",VLOOKUP(Q927,configuration!$P$7:$Q$10,2,FALSE))</f>
        <v/>
      </c>
      <c r="S927" s="56"/>
      <c r="T927" s="55"/>
      <c r="U927" s="78"/>
      <c r="V927" s="76" t="str">
        <f t="shared" si="60"/>
        <v/>
      </c>
      <c r="W927" s="48" t="str">
        <f t="shared" si="60"/>
        <v/>
      </c>
      <c r="X927" s="48" t="str">
        <f t="shared" si="60"/>
        <v/>
      </c>
      <c r="Y927" s="48" t="str">
        <f t="shared" si="60"/>
        <v/>
      </c>
      <c r="Z927" s="49" t="str">
        <f t="shared" si="58"/>
        <v/>
      </c>
      <c r="AA927" s="50" t="str">
        <f t="shared" si="61"/>
        <v/>
      </c>
      <c r="AB927" s="48" t="str">
        <f t="shared" si="61"/>
        <v/>
      </c>
      <c r="AC927" s="48" t="str">
        <f t="shared" si="61"/>
        <v/>
      </c>
      <c r="AD927" s="48" t="str">
        <f t="shared" si="61"/>
        <v/>
      </c>
      <c r="AE927" s="48" t="str">
        <f t="shared" si="59"/>
        <v/>
      </c>
    </row>
    <row r="928" spans="1:31" x14ac:dyDescent="0.25">
      <c r="A928" s="2"/>
      <c r="B928" s="2"/>
      <c r="C928" s="2"/>
      <c r="D928" s="2" t="str">
        <f>IF(ISBLANK(C928),"",VLOOKUP(C928,configuration!$G$7:$H$10,2,FALSE))</f>
        <v/>
      </c>
      <c r="E928" s="2"/>
      <c r="F928" s="2"/>
      <c r="G928" s="2"/>
      <c r="H928" s="2" t="str">
        <f>IF(ISBLANK(G928),"",VLOOKUP(G928,configuration!$J$7:$K$10,2,FALSE))</f>
        <v/>
      </c>
      <c r="I928" s="30"/>
      <c r="J928" s="2"/>
      <c r="K928" s="31"/>
      <c r="L928" s="35"/>
      <c r="M928" s="2" t="str">
        <f>IF(ISBLANK(L928),"",VLOOKUP(L928,configuration!$M$7:$N$10,2,FALSE))</f>
        <v/>
      </c>
      <c r="N928" s="30"/>
      <c r="O928" s="2"/>
      <c r="P928" s="31"/>
      <c r="Q928" s="54"/>
      <c r="R928" s="55" t="str">
        <f>IF(ISBLANK(Q928),"",VLOOKUP(Q928,configuration!$P$7:$Q$10,2,FALSE))</f>
        <v/>
      </c>
      <c r="S928" s="56"/>
      <c r="T928" s="55"/>
      <c r="U928" s="78"/>
      <c r="V928" s="76" t="str">
        <f t="shared" si="60"/>
        <v/>
      </c>
      <c r="W928" s="48" t="str">
        <f t="shared" si="60"/>
        <v/>
      </c>
      <c r="X928" s="48" t="str">
        <f t="shared" si="60"/>
        <v/>
      </c>
      <c r="Y928" s="48" t="str">
        <f t="shared" si="60"/>
        <v/>
      </c>
      <c r="Z928" s="49" t="str">
        <f t="shared" si="58"/>
        <v/>
      </c>
      <c r="AA928" s="50" t="str">
        <f t="shared" si="61"/>
        <v/>
      </c>
      <c r="AB928" s="48" t="str">
        <f t="shared" si="61"/>
        <v/>
      </c>
      <c r="AC928" s="48" t="str">
        <f t="shared" si="61"/>
        <v/>
      </c>
      <c r="AD928" s="48" t="str">
        <f t="shared" si="61"/>
        <v/>
      </c>
      <c r="AE928" s="48" t="str">
        <f t="shared" si="59"/>
        <v/>
      </c>
    </row>
    <row r="929" spans="1:31" x14ac:dyDescent="0.25">
      <c r="A929" s="2"/>
      <c r="B929" s="2"/>
      <c r="C929" s="2"/>
      <c r="D929" s="2" t="str">
        <f>IF(ISBLANK(C929),"",VLOOKUP(C929,configuration!$G$7:$H$10,2,FALSE))</f>
        <v/>
      </c>
      <c r="E929" s="2"/>
      <c r="F929" s="2"/>
      <c r="G929" s="2"/>
      <c r="H929" s="2" t="str">
        <f>IF(ISBLANK(G929),"",VLOOKUP(G929,configuration!$J$7:$K$10,2,FALSE))</f>
        <v/>
      </c>
      <c r="I929" s="30"/>
      <c r="J929" s="2"/>
      <c r="K929" s="31"/>
      <c r="L929" s="35"/>
      <c r="M929" s="2" t="str">
        <f>IF(ISBLANK(L929),"",VLOOKUP(L929,configuration!$M$7:$N$10,2,FALSE))</f>
        <v/>
      </c>
      <c r="N929" s="30"/>
      <c r="O929" s="2"/>
      <c r="P929" s="31"/>
      <c r="Q929" s="54"/>
      <c r="R929" s="55" t="str">
        <f>IF(ISBLANK(Q929),"",VLOOKUP(Q929,configuration!$P$7:$Q$10,2,FALSE))</f>
        <v/>
      </c>
      <c r="S929" s="56"/>
      <c r="T929" s="55"/>
      <c r="U929" s="78"/>
      <c r="V929" s="76" t="str">
        <f t="shared" si="60"/>
        <v/>
      </c>
      <c r="W929" s="48" t="str">
        <f t="shared" si="60"/>
        <v/>
      </c>
      <c r="X929" s="48" t="str">
        <f t="shared" si="60"/>
        <v/>
      </c>
      <c r="Y929" s="48" t="str">
        <f t="shared" si="60"/>
        <v/>
      </c>
      <c r="Z929" s="49" t="str">
        <f t="shared" si="58"/>
        <v/>
      </c>
      <c r="AA929" s="50" t="str">
        <f t="shared" si="61"/>
        <v/>
      </c>
      <c r="AB929" s="48" t="str">
        <f t="shared" si="61"/>
        <v/>
      </c>
      <c r="AC929" s="48" t="str">
        <f t="shared" si="61"/>
        <v/>
      </c>
      <c r="AD929" s="48" t="str">
        <f t="shared" si="61"/>
        <v/>
      </c>
      <c r="AE929" s="48" t="str">
        <f t="shared" si="59"/>
        <v/>
      </c>
    </row>
    <row r="930" spans="1:31" x14ac:dyDescent="0.25">
      <c r="A930" s="2"/>
      <c r="B930" s="2"/>
      <c r="C930" s="2"/>
      <c r="D930" s="2" t="str">
        <f>IF(ISBLANK(C930),"",VLOOKUP(C930,configuration!$G$7:$H$10,2,FALSE))</f>
        <v/>
      </c>
      <c r="E930" s="2"/>
      <c r="F930" s="2"/>
      <c r="G930" s="2"/>
      <c r="H930" s="2" t="str">
        <f>IF(ISBLANK(G930),"",VLOOKUP(G930,configuration!$J$7:$K$10,2,FALSE))</f>
        <v/>
      </c>
      <c r="I930" s="30"/>
      <c r="J930" s="2"/>
      <c r="K930" s="31"/>
      <c r="L930" s="35"/>
      <c r="M930" s="2" t="str">
        <f>IF(ISBLANK(L930),"",VLOOKUP(L930,configuration!$M$7:$N$10,2,FALSE))</f>
        <v/>
      </c>
      <c r="N930" s="30"/>
      <c r="O930" s="2"/>
      <c r="P930" s="31"/>
      <c r="Q930" s="54"/>
      <c r="R930" s="55" t="str">
        <f>IF(ISBLANK(Q930),"",VLOOKUP(Q930,configuration!$P$7:$Q$10,2,FALSE))</f>
        <v/>
      </c>
      <c r="S930" s="56"/>
      <c r="T930" s="55"/>
      <c r="U930" s="78"/>
      <c r="V930" s="76" t="str">
        <f t="shared" si="60"/>
        <v/>
      </c>
      <c r="W930" s="48" t="str">
        <f t="shared" si="60"/>
        <v/>
      </c>
      <c r="X930" s="48" t="str">
        <f t="shared" si="60"/>
        <v/>
      </c>
      <c r="Y930" s="48" t="str">
        <f t="shared" si="60"/>
        <v/>
      </c>
      <c r="Z930" s="49" t="str">
        <f t="shared" si="58"/>
        <v/>
      </c>
      <c r="AA930" s="50" t="str">
        <f t="shared" si="61"/>
        <v/>
      </c>
      <c r="AB930" s="48" t="str">
        <f t="shared" si="61"/>
        <v/>
      </c>
      <c r="AC930" s="48" t="str">
        <f t="shared" si="61"/>
        <v/>
      </c>
      <c r="AD930" s="48" t="str">
        <f t="shared" si="61"/>
        <v/>
      </c>
      <c r="AE930" s="48" t="str">
        <f t="shared" si="59"/>
        <v/>
      </c>
    </row>
    <row r="931" spans="1:31" x14ac:dyDescent="0.25">
      <c r="A931" s="2"/>
      <c r="B931" s="2"/>
      <c r="C931" s="2"/>
      <c r="D931" s="2" t="str">
        <f>IF(ISBLANK(C931),"",VLOOKUP(C931,configuration!$G$7:$H$10,2,FALSE))</f>
        <v/>
      </c>
      <c r="E931" s="2"/>
      <c r="F931" s="2"/>
      <c r="G931" s="2"/>
      <c r="H931" s="2" t="str">
        <f>IF(ISBLANK(G931),"",VLOOKUP(G931,configuration!$J$7:$K$10,2,FALSE))</f>
        <v/>
      </c>
      <c r="I931" s="30"/>
      <c r="J931" s="2"/>
      <c r="K931" s="31"/>
      <c r="L931" s="35"/>
      <c r="M931" s="2" t="str">
        <f>IF(ISBLANK(L931),"",VLOOKUP(L931,configuration!$M$7:$N$10,2,FALSE))</f>
        <v/>
      </c>
      <c r="N931" s="30"/>
      <c r="O931" s="2"/>
      <c r="P931" s="31"/>
      <c r="Q931" s="54"/>
      <c r="R931" s="55" t="str">
        <f>IF(ISBLANK(Q931),"",VLOOKUP(Q931,configuration!$P$7:$Q$10,2,FALSE))</f>
        <v/>
      </c>
      <c r="S931" s="56"/>
      <c r="T931" s="55"/>
      <c r="U931" s="78"/>
      <c r="V931" s="76" t="str">
        <f t="shared" si="60"/>
        <v/>
      </c>
      <c r="W931" s="48" t="str">
        <f t="shared" si="60"/>
        <v/>
      </c>
      <c r="X931" s="48" t="str">
        <f t="shared" si="60"/>
        <v/>
      </c>
      <c r="Y931" s="48" t="str">
        <f t="shared" si="60"/>
        <v/>
      </c>
      <c r="Z931" s="49" t="str">
        <f t="shared" si="58"/>
        <v/>
      </c>
      <c r="AA931" s="50" t="str">
        <f t="shared" si="61"/>
        <v/>
      </c>
      <c r="AB931" s="48" t="str">
        <f t="shared" si="61"/>
        <v/>
      </c>
      <c r="AC931" s="48" t="str">
        <f t="shared" si="61"/>
        <v/>
      </c>
      <c r="AD931" s="48" t="str">
        <f t="shared" si="61"/>
        <v/>
      </c>
      <c r="AE931" s="48" t="str">
        <f t="shared" si="59"/>
        <v/>
      </c>
    </row>
    <row r="932" spans="1:31" x14ac:dyDescent="0.25">
      <c r="A932" s="2"/>
      <c r="B932" s="2"/>
      <c r="C932" s="2"/>
      <c r="D932" s="2" t="str">
        <f>IF(ISBLANK(C932),"",VLOOKUP(C932,configuration!$G$7:$H$10,2,FALSE))</f>
        <v/>
      </c>
      <c r="E932" s="2"/>
      <c r="F932" s="2"/>
      <c r="G932" s="2"/>
      <c r="H932" s="2" t="str">
        <f>IF(ISBLANK(G932),"",VLOOKUP(G932,configuration!$J$7:$K$10,2,FALSE))</f>
        <v/>
      </c>
      <c r="I932" s="30"/>
      <c r="J932" s="2"/>
      <c r="K932" s="31"/>
      <c r="L932" s="35"/>
      <c r="M932" s="2" t="str">
        <f>IF(ISBLANK(L932),"",VLOOKUP(L932,configuration!$M$7:$N$10,2,FALSE))</f>
        <v/>
      </c>
      <c r="N932" s="30"/>
      <c r="O932" s="2"/>
      <c r="P932" s="31"/>
      <c r="Q932" s="54"/>
      <c r="R932" s="55" t="str">
        <f>IF(ISBLANK(Q932),"",VLOOKUP(Q932,configuration!$P$7:$Q$10,2,FALSE))</f>
        <v/>
      </c>
      <c r="S932" s="56"/>
      <c r="T932" s="55"/>
      <c r="U932" s="78"/>
      <c r="V932" s="76" t="str">
        <f t="shared" si="60"/>
        <v/>
      </c>
      <c r="W932" s="48" t="str">
        <f t="shared" si="60"/>
        <v/>
      </c>
      <c r="X932" s="48" t="str">
        <f t="shared" si="60"/>
        <v/>
      </c>
      <c r="Y932" s="48" t="str">
        <f t="shared" si="60"/>
        <v/>
      </c>
      <c r="Z932" s="49" t="str">
        <f t="shared" si="58"/>
        <v/>
      </c>
      <c r="AA932" s="50" t="str">
        <f t="shared" si="61"/>
        <v/>
      </c>
      <c r="AB932" s="48" t="str">
        <f t="shared" si="61"/>
        <v/>
      </c>
      <c r="AC932" s="48" t="str">
        <f t="shared" si="61"/>
        <v/>
      </c>
      <c r="AD932" s="48" t="str">
        <f t="shared" si="61"/>
        <v/>
      </c>
      <c r="AE932" s="48" t="str">
        <f t="shared" si="59"/>
        <v/>
      </c>
    </row>
    <row r="933" spans="1:31" x14ac:dyDescent="0.25">
      <c r="A933" s="2"/>
      <c r="B933" s="2"/>
      <c r="C933" s="2"/>
      <c r="D933" s="2" t="str">
        <f>IF(ISBLANK(C933),"",VLOOKUP(C933,configuration!$G$7:$H$10,2,FALSE))</f>
        <v/>
      </c>
      <c r="E933" s="2"/>
      <c r="F933" s="2"/>
      <c r="G933" s="2"/>
      <c r="H933" s="2" t="str">
        <f>IF(ISBLANK(G933),"",VLOOKUP(G933,configuration!$J$7:$K$10,2,FALSE))</f>
        <v/>
      </c>
      <c r="I933" s="30"/>
      <c r="J933" s="2"/>
      <c r="K933" s="31"/>
      <c r="L933" s="35"/>
      <c r="M933" s="2" t="str">
        <f>IF(ISBLANK(L933),"",VLOOKUP(L933,configuration!$M$7:$N$10,2,FALSE))</f>
        <v/>
      </c>
      <c r="N933" s="30"/>
      <c r="O933" s="2"/>
      <c r="P933" s="31"/>
      <c r="Q933" s="54"/>
      <c r="R933" s="55" t="str">
        <f>IF(ISBLANK(Q933),"",VLOOKUP(Q933,configuration!$P$7:$Q$10,2,FALSE))</f>
        <v/>
      </c>
      <c r="S933" s="56"/>
      <c r="T933" s="55"/>
      <c r="U933" s="78"/>
      <c r="V933" s="76" t="str">
        <f t="shared" si="60"/>
        <v/>
      </c>
      <c r="W933" s="48" t="str">
        <f t="shared" si="60"/>
        <v/>
      </c>
      <c r="X933" s="48" t="str">
        <f t="shared" si="60"/>
        <v/>
      </c>
      <c r="Y933" s="48" t="str">
        <f t="shared" si="60"/>
        <v/>
      </c>
      <c r="Z933" s="49" t="str">
        <f t="shared" si="58"/>
        <v/>
      </c>
      <c r="AA933" s="50" t="str">
        <f t="shared" si="61"/>
        <v/>
      </c>
      <c r="AB933" s="48" t="str">
        <f t="shared" si="61"/>
        <v/>
      </c>
      <c r="AC933" s="48" t="str">
        <f t="shared" si="61"/>
        <v/>
      </c>
      <c r="AD933" s="48" t="str">
        <f t="shared" si="61"/>
        <v/>
      </c>
      <c r="AE933" s="48" t="str">
        <f t="shared" si="59"/>
        <v/>
      </c>
    </row>
    <row r="934" spans="1:31" x14ac:dyDescent="0.25">
      <c r="A934" s="2"/>
      <c r="B934" s="2"/>
      <c r="C934" s="2"/>
      <c r="D934" s="2" t="str">
        <f>IF(ISBLANK(C934),"",VLOOKUP(C934,configuration!$G$7:$H$10,2,FALSE))</f>
        <v/>
      </c>
      <c r="E934" s="2"/>
      <c r="F934" s="2"/>
      <c r="G934" s="2"/>
      <c r="H934" s="2" t="str">
        <f>IF(ISBLANK(G934),"",VLOOKUP(G934,configuration!$J$7:$K$10,2,FALSE))</f>
        <v/>
      </c>
      <c r="I934" s="30"/>
      <c r="J934" s="2"/>
      <c r="K934" s="31"/>
      <c r="L934" s="35"/>
      <c r="M934" s="2" t="str">
        <f>IF(ISBLANK(L934),"",VLOOKUP(L934,configuration!$M$7:$N$10,2,FALSE))</f>
        <v/>
      </c>
      <c r="N934" s="30"/>
      <c r="O934" s="2"/>
      <c r="P934" s="31"/>
      <c r="Q934" s="54"/>
      <c r="R934" s="55" t="str">
        <f>IF(ISBLANK(Q934),"",VLOOKUP(Q934,configuration!$P$7:$Q$10,2,FALSE))</f>
        <v/>
      </c>
      <c r="S934" s="56"/>
      <c r="T934" s="55"/>
      <c r="U934" s="78"/>
      <c r="V934" s="76" t="str">
        <f t="shared" si="60"/>
        <v/>
      </c>
      <c r="W934" s="48" t="str">
        <f t="shared" si="60"/>
        <v/>
      </c>
      <c r="X934" s="48" t="str">
        <f t="shared" si="60"/>
        <v/>
      </c>
      <c r="Y934" s="48" t="str">
        <f t="shared" si="60"/>
        <v/>
      </c>
      <c r="Z934" s="49" t="str">
        <f t="shared" si="58"/>
        <v/>
      </c>
      <c r="AA934" s="50" t="str">
        <f t="shared" si="61"/>
        <v/>
      </c>
      <c r="AB934" s="48" t="str">
        <f t="shared" si="61"/>
        <v/>
      </c>
      <c r="AC934" s="48" t="str">
        <f t="shared" si="61"/>
        <v/>
      </c>
      <c r="AD934" s="48" t="str">
        <f t="shared" si="61"/>
        <v/>
      </c>
      <c r="AE934" s="48" t="str">
        <f t="shared" si="59"/>
        <v/>
      </c>
    </row>
    <row r="935" spans="1:31" x14ac:dyDescent="0.25">
      <c r="A935" s="2"/>
      <c r="B935" s="2"/>
      <c r="C935" s="2"/>
      <c r="D935" s="2" t="str">
        <f>IF(ISBLANK(C935),"",VLOOKUP(C935,configuration!$G$7:$H$10,2,FALSE))</f>
        <v/>
      </c>
      <c r="E935" s="2"/>
      <c r="F935" s="2"/>
      <c r="G935" s="2"/>
      <c r="H935" s="2" t="str">
        <f>IF(ISBLANK(G935),"",VLOOKUP(G935,configuration!$J$7:$K$10,2,FALSE))</f>
        <v/>
      </c>
      <c r="I935" s="30"/>
      <c r="J935" s="2"/>
      <c r="K935" s="31"/>
      <c r="L935" s="35"/>
      <c r="M935" s="2" t="str">
        <f>IF(ISBLANK(L935),"",VLOOKUP(L935,configuration!$M$7:$N$10,2,FALSE))</f>
        <v/>
      </c>
      <c r="N935" s="30"/>
      <c r="O935" s="2"/>
      <c r="P935" s="31"/>
      <c r="Q935" s="54"/>
      <c r="R935" s="55" t="str">
        <f>IF(ISBLANK(Q935),"",VLOOKUP(Q935,configuration!$P$7:$Q$10,2,FALSE))</f>
        <v/>
      </c>
      <c r="S935" s="56"/>
      <c r="T935" s="55"/>
      <c r="U935" s="78"/>
      <c r="V935" s="76" t="str">
        <f t="shared" si="60"/>
        <v/>
      </c>
      <c r="W935" s="48" t="str">
        <f t="shared" si="60"/>
        <v/>
      </c>
      <c r="X935" s="48" t="str">
        <f t="shared" si="60"/>
        <v/>
      </c>
      <c r="Y935" s="48" t="str">
        <f t="shared" si="60"/>
        <v/>
      </c>
      <c r="Z935" s="49" t="str">
        <f t="shared" si="58"/>
        <v/>
      </c>
      <c r="AA935" s="50" t="str">
        <f t="shared" si="61"/>
        <v/>
      </c>
      <c r="AB935" s="48" t="str">
        <f t="shared" si="61"/>
        <v/>
      </c>
      <c r="AC935" s="48" t="str">
        <f t="shared" si="61"/>
        <v/>
      </c>
      <c r="AD935" s="48" t="str">
        <f t="shared" si="61"/>
        <v/>
      </c>
      <c r="AE935" s="48" t="str">
        <f t="shared" si="59"/>
        <v/>
      </c>
    </row>
    <row r="936" spans="1:31" x14ac:dyDescent="0.25">
      <c r="A936" s="2"/>
      <c r="B936" s="2"/>
      <c r="C936" s="2"/>
      <c r="D936" s="2" t="str">
        <f>IF(ISBLANK(C936),"",VLOOKUP(C936,configuration!$G$7:$H$10,2,FALSE))</f>
        <v/>
      </c>
      <c r="E936" s="2"/>
      <c r="F936" s="2"/>
      <c r="G936" s="2"/>
      <c r="H936" s="2" t="str">
        <f>IF(ISBLANK(G936),"",VLOOKUP(G936,configuration!$J$7:$K$10,2,FALSE))</f>
        <v/>
      </c>
      <c r="I936" s="30"/>
      <c r="J936" s="2"/>
      <c r="K936" s="31"/>
      <c r="L936" s="35"/>
      <c r="M936" s="2" t="str">
        <f>IF(ISBLANK(L936),"",VLOOKUP(L936,configuration!$M$7:$N$10,2,FALSE))</f>
        <v/>
      </c>
      <c r="N936" s="30"/>
      <c r="O936" s="2"/>
      <c r="P936" s="31"/>
      <c r="Q936" s="54"/>
      <c r="R936" s="55" t="str">
        <f>IF(ISBLANK(Q936),"",VLOOKUP(Q936,configuration!$P$7:$Q$10,2,FALSE))</f>
        <v/>
      </c>
      <c r="S936" s="56"/>
      <c r="T936" s="55"/>
      <c r="U936" s="78"/>
      <c r="V936" s="76" t="str">
        <f t="shared" si="60"/>
        <v/>
      </c>
      <c r="W936" s="48" t="str">
        <f t="shared" si="60"/>
        <v/>
      </c>
      <c r="X936" s="48" t="str">
        <f t="shared" si="60"/>
        <v/>
      </c>
      <c r="Y936" s="48" t="str">
        <f t="shared" si="60"/>
        <v/>
      </c>
      <c r="Z936" s="49" t="str">
        <f t="shared" si="58"/>
        <v/>
      </c>
      <c r="AA936" s="50" t="str">
        <f t="shared" si="61"/>
        <v/>
      </c>
      <c r="AB936" s="48" t="str">
        <f t="shared" si="61"/>
        <v/>
      </c>
      <c r="AC936" s="48" t="str">
        <f t="shared" si="61"/>
        <v/>
      </c>
      <c r="AD936" s="48" t="str">
        <f t="shared" si="61"/>
        <v/>
      </c>
      <c r="AE936" s="48" t="str">
        <f t="shared" si="59"/>
        <v/>
      </c>
    </row>
    <row r="937" spans="1:31" x14ac:dyDescent="0.25">
      <c r="A937" s="2"/>
      <c r="B937" s="2"/>
      <c r="C937" s="2"/>
      <c r="D937" s="2" t="str">
        <f>IF(ISBLANK(C937),"",VLOOKUP(C937,configuration!$G$7:$H$10,2,FALSE))</f>
        <v/>
      </c>
      <c r="E937" s="2"/>
      <c r="F937" s="2"/>
      <c r="G937" s="2"/>
      <c r="H937" s="2" t="str">
        <f>IF(ISBLANK(G937),"",VLOOKUP(G937,configuration!$J$7:$K$10,2,FALSE))</f>
        <v/>
      </c>
      <c r="I937" s="30"/>
      <c r="J937" s="2"/>
      <c r="K937" s="31"/>
      <c r="L937" s="35"/>
      <c r="M937" s="2" t="str">
        <f>IF(ISBLANK(L937),"",VLOOKUP(L937,configuration!$M$7:$N$10,2,FALSE))</f>
        <v/>
      </c>
      <c r="N937" s="30"/>
      <c r="O937" s="2"/>
      <c r="P937" s="31"/>
      <c r="Q937" s="54"/>
      <c r="R937" s="55" t="str">
        <f>IF(ISBLANK(Q937),"",VLOOKUP(Q937,configuration!$P$7:$Q$10,2,FALSE))</f>
        <v/>
      </c>
      <c r="S937" s="56"/>
      <c r="T937" s="55"/>
      <c r="U937" s="78"/>
      <c r="V937" s="76" t="str">
        <f t="shared" si="60"/>
        <v/>
      </c>
      <c r="W937" s="48" t="str">
        <f t="shared" si="60"/>
        <v/>
      </c>
      <c r="X937" s="48" t="str">
        <f t="shared" si="60"/>
        <v/>
      </c>
      <c r="Y937" s="48" t="str">
        <f t="shared" si="60"/>
        <v/>
      </c>
      <c r="Z937" s="49" t="str">
        <f t="shared" si="58"/>
        <v/>
      </c>
      <c r="AA937" s="50" t="str">
        <f t="shared" si="61"/>
        <v/>
      </c>
      <c r="AB937" s="48" t="str">
        <f t="shared" si="61"/>
        <v/>
      </c>
      <c r="AC937" s="48" t="str">
        <f t="shared" si="61"/>
        <v/>
      </c>
      <c r="AD937" s="48" t="str">
        <f t="shared" si="61"/>
        <v/>
      </c>
      <c r="AE937" s="48" t="str">
        <f t="shared" si="59"/>
        <v/>
      </c>
    </row>
    <row r="938" spans="1:31" x14ac:dyDescent="0.25">
      <c r="A938" s="2"/>
      <c r="B938" s="2"/>
      <c r="C938" s="2"/>
      <c r="D938" s="2" t="str">
        <f>IF(ISBLANK(C938),"",VLOOKUP(C938,configuration!$G$7:$H$10,2,FALSE))</f>
        <v/>
      </c>
      <c r="E938" s="2"/>
      <c r="F938" s="2"/>
      <c r="G938" s="2"/>
      <c r="H938" s="2" t="str">
        <f>IF(ISBLANK(G938),"",VLOOKUP(G938,configuration!$J$7:$K$10,2,FALSE))</f>
        <v/>
      </c>
      <c r="I938" s="30"/>
      <c r="J938" s="2"/>
      <c r="K938" s="31"/>
      <c r="L938" s="35"/>
      <c r="M938" s="2" t="str">
        <f>IF(ISBLANK(L938),"",VLOOKUP(L938,configuration!$M$7:$N$10,2,FALSE))</f>
        <v/>
      </c>
      <c r="N938" s="30"/>
      <c r="O938" s="2"/>
      <c r="P938" s="31"/>
      <c r="Q938" s="54"/>
      <c r="R938" s="55" t="str">
        <f>IF(ISBLANK(Q938),"",VLOOKUP(Q938,configuration!$P$7:$Q$10,2,FALSE))</f>
        <v/>
      </c>
      <c r="S938" s="56"/>
      <c r="T938" s="55"/>
      <c r="U938" s="78"/>
      <c r="V938" s="76" t="str">
        <f t="shared" si="60"/>
        <v/>
      </c>
      <c r="W938" s="48" t="str">
        <f t="shared" si="60"/>
        <v/>
      </c>
      <c r="X938" s="48" t="str">
        <f t="shared" si="60"/>
        <v/>
      </c>
      <c r="Y938" s="48" t="str">
        <f t="shared" si="60"/>
        <v/>
      </c>
      <c r="Z938" s="49" t="str">
        <f t="shared" si="58"/>
        <v/>
      </c>
      <c r="AA938" s="50" t="str">
        <f t="shared" si="61"/>
        <v/>
      </c>
      <c r="AB938" s="48" t="str">
        <f t="shared" si="61"/>
        <v/>
      </c>
      <c r="AC938" s="48" t="str">
        <f t="shared" si="61"/>
        <v/>
      </c>
      <c r="AD938" s="48" t="str">
        <f t="shared" si="61"/>
        <v/>
      </c>
      <c r="AE938" s="48" t="str">
        <f t="shared" si="59"/>
        <v/>
      </c>
    </row>
    <row r="939" spans="1:31" x14ac:dyDescent="0.25">
      <c r="A939" s="2"/>
      <c r="B939" s="2"/>
      <c r="C939" s="2"/>
      <c r="D939" s="2" t="str">
        <f>IF(ISBLANK(C939),"",VLOOKUP(C939,configuration!$G$7:$H$10,2,FALSE))</f>
        <v/>
      </c>
      <c r="E939" s="2"/>
      <c r="F939" s="2"/>
      <c r="G939" s="2"/>
      <c r="H939" s="2" t="str">
        <f>IF(ISBLANK(G939),"",VLOOKUP(G939,configuration!$J$7:$K$10,2,FALSE))</f>
        <v/>
      </c>
      <c r="I939" s="30"/>
      <c r="J939" s="2"/>
      <c r="K939" s="31"/>
      <c r="L939" s="35"/>
      <c r="M939" s="2" t="str">
        <f>IF(ISBLANK(L939),"",VLOOKUP(L939,configuration!$M$7:$N$10,2,FALSE))</f>
        <v/>
      </c>
      <c r="N939" s="30"/>
      <c r="O939" s="2"/>
      <c r="P939" s="31"/>
      <c r="Q939" s="54"/>
      <c r="R939" s="55" t="str">
        <f>IF(ISBLANK(Q939),"",VLOOKUP(Q939,configuration!$P$7:$Q$10,2,FALSE))</f>
        <v/>
      </c>
      <c r="S939" s="56"/>
      <c r="T939" s="55"/>
      <c r="U939" s="78"/>
      <c r="V939" s="76" t="str">
        <f t="shared" si="60"/>
        <v/>
      </c>
      <c r="W939" s="48" t="str">
        <f t="shared" si="60"/>
        <v/>
      </c>
      <c r="X939" s="48" t="str">
        <f t="shared" si="60"/>
        <v/>
      </c>
      <c r="Y939" s="48" t="str">
        <f t="shared" si="60"/>
        <v/>
      </c>
      <c r="Z939" s="49" t="str">
        <f t="shared" si="58"/>
        <v/>
      </c>
      <c r="AA939" s="50" t="str">
        <f t="shared" si="61"/>
        <v/>
      </c>
      <c r="AB939" s="48" t="str">
        <f t="shared" si="61"/>
        <v/>
      </c>
      <c r="AC939" s="48" t="str">
        <f t="shared" si="61"/>
        <v/>
      </c>
      <c r="AD939" s="48" t="str">
        <f t="shared" si="61"/>
        <v/>
      </c>
      <c r="AE939" s="48" t="str">
        <f t="shared" si="59"/>
        <v/>
      </c>
    </row>
    <row r="940" spans="1:31" x14ac:dyDescent="0.25">
      <c r="A940" s="2"/>
      <c r="B940" s="2"/>
      <c r="C940" s="2"/>
      <c r="D940" s="2" t="str">
        <f>IF(ISBLANK(C940),"",VLOOKUP(C940,configuration!$G$7:$H$10,2,FALSE))</f>
        <v/>
      </c>
      <c r="E940" s="2"/>
      <c r="F940" s="2"/>
      <c r="G940" s="2"/>
      <c r="H940" s="2" t="str">
        <f>IF(ISBLANK(G940),"",VLOOKUP(G940,configuration!$J$7:$K$10,2,FALSE))</f>
        <v/>
      </c>
      <c r="I940" s="30"/>
      <c r="J940" s="2"/>
      <c r="K940" s="31"/>
      <c r="L940" s="35"/>
      <c r="M940" s="2" t="str">
        <f>IF(ISBLANK(L940),"",VLOOKUP(L940,configuration!$M$7:$N$10,2,FALSE))</f>
        <v/>
      </c>
      <c r="N940" s="30"/>
      <c r="O940" s="2"/>
      <c r="P940" s="31"/>
      <c r="Q940" s="54"/>
      <c r="R940" s="55" t="str">
        <f>IF(ISBLANK(Q940),"",VLOOKUP(Q940,configuration!$P$7:$Q$10,2,FALSE))</f>
        <v/>
      </c>
      <c r="S940" s="56"/>
      <c r="T940" s="55"/>
      <c r="U940" s="78"/>
      <c r="V940" s="76" t="str">
        <f t="shared" si="60"/>
        <v/>
      </c>
      <c r="W940" s="48" t="str">
        <f t="shared" si="60"/>
        <v/>
      </c>
      <c r="X940" s="48" t="str">
        <f t="shared" si="60"/>
        <v/>
      </c>
      <c r="Y940" s="48" t="str">
        <f t="shared" si="60"/>
        <v/>
      </c>
      <c r="Z940" s="49" t="str">
        <f t="shared" si="58"/>
        <v/>
      </c>
      <c r="AA940" s="50" t="str">
        <f t="shared" si="61"/>
        <v/>
      </c>
      <c r="AB940" s="48" t="str">
        <f t="shared" si="61"/>
        <v/>
      </c>
      <c r="AC940" s="48" t="str">
        <f t="shared" si="61"/>
        <v/>
      </c>
      <c r="AD940" s="48" t="str">
        <f t="shared" si="61"/>
        <v/>
      </c>
      <c r="AE940" s="48" t="str">
        <f t="shared" si="59"/>
        <v/>
      </c>
    </row>
    <row r="941" spans="1:31" x14ac:dyDescent="0.25">
      <c r="A941" s="2"/>
      <c r="B941" s="2"/>
      <c r="C941" s="2"/>
      <c r="D941" s="2" t="str">
        <f>IF(ISBLANK(C941),"",VLOOKUP(C941,configuration!$G$7:$H$10,2,FALSE))</f>
        <v/>
      </c>
      <c r="E941" s="2"/>
      <c r="F941" s="2"/>
      <c r="G941" s="2"/>
      <c r="H941" s="2" t="str">
        <f>IF(ISBLANK(G941),"",VLOOKUP(G941,configuration!$J$7:$K$10,2,FALSE))</f>
        <v/>
      </c>
      <c r="I941" s="30"/>
      <c r="J941" s="2"/>
      <c r="K941" s="31"/>
      <c r="L941" s="35"/>
      <c r="M941" s="2" t="str">
        <f>IF(ISBLANK(L941),"",VLOOKUP(L941,configuration!$M$7:$N$10,2,FALSE))</f>
        <v/>
      </c>
      <c r="N941" s="30"/>
      <c r="O941" s="2"/>
      <c r="P941" s="31"/>
      <c r="Q941" s="54"/>
      <c r="R941" s="55" t="str">
        <f>IF(ISBLANK(Q941),"",VLOOKUP(Q941,configuration!$P$7:$Q$10,2,FALSE))</f>
        <v/>
      </c>
      <c r="S941" s="56"/>
      <c r="T941" s="55"/>
      <c r="U941" s="78"/>
      <c r="V941" s="76" t="str">
        <f t="shared" si="60"/>
        <v/>
      </c>
      <c r="W941" s="48" t="str">
        <f t="shared" si="60"/>
        <v/>
      </c>
      <c r="X941" s="48" t="str">
        <f t="shared" si="60"/>
        <v/>
      </c>
      <c r="Y941" s="48" t="str">
        <f t="shared" si="60"/>
        <v/>
      </c>
      <c r="Z941" s="49" t="str">
        <f t="shared" si="58"/>
        <v/>
      </c>
      <c r="AA941" s="50" t="str">
        <f t="shared" si="61"/>
        <v/>
      </c>
      <c r="AB941" s="48" t="str">
        <f t="shared" si="61"/>
        <v/>
      </c>
      <c r="AC941" s="48" t="str">
        <f t="shared" si="61"/>
        <v/>
      </c>
      <c r="AD941" s="48" t="str">
        <f t="shared" si="61"/>
        <v/>
      </c>
      <c r="AE941" s="48" t="str">
        <f t="shared" si="59"/>
        <v/>
      </c>
    </row>
    <row r="942" spans="1:31" x14ac:dyDescent="0.25">
      <c r="A942" s="2"/>
      <c r="B942" s="2"/>
      <c r="C942" s="2"/>
      <c r="D942" s="2" t="str">
        <f>IF(ISBLANK(C942),"",VLOOKUP(C942,configuration!$G$7:$H$10,2,FALSE))</f>
        <v/>
      </c>
      <c r="E942" s="2"/>
      <c r="F942" s="2"/>
      <c r="G942" s="2"/>
      <c r="H942" s="2" t="str">
        <f>IF(ISBLANK(G942),"",VLOOKUP(G942,configuration!$J$7:$K$10,2,FALSE))</f>
        <v/>
      </c>
      <c r="I942" s="30"/>
      <c r="J942" s="2"/>
      <c r="K942" s="31"/>
      <c r="L942" s="35"/>
      <c r="M942" s="2" t="str">
        <f>IF(ISBLANK(L942),"",VLOOKUP(L942,configuration!$M$7:$N$10,2,FALSE))</f>
        <v/>
      </c>
      <c r="N942" s="30"/>
      <c r="O942" s="2"/>
      <c r="P942" s="31"/>
      <c r="Q942" s="54"/>
      <c r="R942" s="55" t="str">
        <f>IF(ISBLANK(Q942),"",VLOOKUP(Q942,configuration!$P$7:$Q$10,2,FALSE))</f>
        <v/>
      </c>
      <c r="S942" s="56"/>
      <c r="T942" s="55"/>
      <c r="U942" s="78"/>
      <c r="V942" s="76" t="str">
        <f t="shared" si="60"/>
        <v/>
      </c>
      <c r="W942" s="48" t="str">
        <f t="shared" si="60"/>
        <v/>
      </c>
      <c r="X942" s="48" t="str">
        <f t="shared" si="60"/>
        <v/>
      </c>
      <c r="Y942" s="48" t="str">
        <f t="shared" si="60"/>
        <v/>
      </c>
      <c r="Z942" s="49" t="str">
        <f t="shared" si="58"/>
        <v/>
      </c>
      <c r="AA942" s="50" t="str">
        <f t="shared" si="61"/>
        <v/>
      </c>
      <c r="AB942" s="48" t="str">
        <f t="shared" si="61"/>
        <v/>
      </c>
      <c r="AC942" s="48" t="str">
        <f t="shared" si="61"/>
        <v/>
      </c>
      <c r="AD942" s="48" t="str">
        <f t="shared" si="61"/>
        <v/>
      </c>
      <c r="AE942" s="48" t="str">
        <f t="shared" si="59"/>
        <v/>
      </c>
    </row>
    <row r="943" spans="1:31" x14ac:dyDescent="0.25">
      <c r="A943" s="2"/>
      <c r="B943" s="2"/>
      <c r="C943" s="2"/>
      <c r="D943" s="2" t="str">
        <f>IF(ISBLANK(C943),"",VLOOKUP(C943,configuration!$G$7:$H$10,2,FALSE))</f>
        <v/>
      </c>
      <c r="E943" s="2"/>
      <c r="F943" s="2"/>
      <c r="G943" s="2"/>
      <c r="H943" s="2" t="str">
        <f>IF(ISBLANK(G943),"",VLOOKUP(G943,configuration!$J$7:$K$10,2,FALSE))</f>
        <v/>
      </c>
      <c r="I943" s="30"/>
      <c r="J943" s="2"/>
      <c r="K943" s="31"/>
      <c r="L943" s="35"/>
      <c r="M943" s="2" t="str">
        <f>IF(ISBLANK(L943),"",VLOOKUP(L943,configuration!$M$7:$N$10,2,FALSE))</f>
        <v/>
      </c>
      <c r="N943" s="30"/>
      <c r="O943" s="2"/>
      <c r="P943" s="31"/>
      <c r="Q943" s="54"/>
      <c r="R943" s="55" t="str">
        <f>IF(ISBLANK(Q943),"",VLOOKUP(Q943,configuration!$P$7:$Q$10,2,FALSE))</f>
        <v/>
      </c>
      <c r="S943" s="56"/>
      <c r="T943" s="55"/>
      <c r="U943" s="78"/>
      <c r="V943" s="76" t="str">
        <f t="shared" si="60"/>
        <v/>
      </c>
      <c r="W943" s="48" t="str">
        <f t="shared" si="60"/>
        <v/>
      </c>
      <c r="X943" s="48" t="str">
        <f t="shared" si="60"/>
        <v/>
      </c>
      <c r="Y943" s="48" t="str">
        <f t="shared" si="60"/>
        <v/>
      </c>
      <c r="Z943" s="49" t="str">
        <f t="shared" si="58"/>
        <v/>
      </c>
      <c r="AA943" s="50" t="str">
        <f t="shared" si="61"/>
        <v/>
      </c>
      <c r="AB943" s="48" t="str">
        <f t="shared" si="61"/>
        <v/>
      </c>
      <c r="AC943" s="48" t="str">
        <f t="shared" si="61"/>
        <v/>
      </c>
      <c r="AD943" s="48" t="str">
        <f t="shared" si="61"/>
        <v/>
      </c>
      <c r="AE943" s="48" t="str">
        <f t="shared" si="59"/>
        <v/>
      </c>
    </row>
    <row r="944" spans="1:31" x14ac:dyDescent="0.25">
      <c r="A944" s="2"/>
      <c r="B944" s="2"/>
      <c r="C944" s="2"/>
      <c r="D944" s="2" t="str">
        <f>IF(ISBLANK(C944),"",VLOOKUP(C944,configuration!$G$7:$H$10,2,FALSE))</f>
        <v/>
      </c>
      <c r="E944" s="2"/>
      <c r="F944" s="2"/>
      <c r="G944" s="2"/>
      <c r="H944" s="2" t="str">
        <f>IF(ISBLANK(G944),"",VLOOKUP(G944,configuration!$J$7:$K$10,2,FALSE))</f>
        <v/>
      </c>
      <c r="I944" s="30"/>
      <c r="J944" s="2"/>
      <c r="K944" s="31"/>
      <c r="L944" s="35"/>
      <c r="M944" s="2" t="str">
        <f>IF(ISBLANK(L944),"",VLOOKUP(L944,configuration!$M$7:$N$10,2,FALSE))</f>
        <v/>
      </c>
      <c r="N944" s="30"/>
      <c r="O944" s="2"/>
      <c r="P944" s="31"/>
      <c r="Q944" s="54"/>
      <c r="R944" s="55" t="str">
        <f>IF(ISBLANK(Q944),"",VLOOKUP(Q944,configuration!$P$7:$Q$10,2,FALSE))</f>
        <v/>
      </c>
      <c r="S944" s="56"/>
      <c r="T944" s="55"/>
      <c r="U944" s="78"/>
      <c r="V944" s="76" t="str">
        <f t="shared" si="60"/>
        <v/>
      </c>
      <c r="W944" s="48" t="str">
        <f t="shared" si="60"/>
        <v/>
      </c>
      <c r="X944" s="48" t="str">
        <f t="shared" si="60"/>
        <v/>
      </c>
      <c r="Y944" s="48" t="str">
        <f t="shared" si="60"/>
        <v/>
      </c>
      <c r="Z944" s="49" t="str">
        <f t="shared" si="58"/>
        <v/>
      </c>
      <c r="AA944" s="50" t="str">
        <f t="shared" si="61"/>
        <v/>
      </c>
      <c r="AB944" s="48" t="str">
        <f t="shared" si="61"/>
        <v/>
      </c>
      <c r="AC944" s="48" t="str">
        <f t="shared" si="61"/>
        <v/>
      </c>
      <c r="AD944" s="48" t="str">
        <f t="shared" si="61"/>
        <v/>
      </c>
      <c r="AE944" s="48" t="str">
        <f t="shared" si="59"/>
        <v/>
      </c>
    </row>
    <row r="945" spans="1:31" x14ac:dyDescent="0.25">
      <c r="A945" s="2"/>
      <c r="B945" s="2"/>
      <c r="C945" s="2"/>
      <c r="D945" s="2" t="str">
        <f>IF(ISBLANK(C945),"",VLOOKUP(C945,configuration!$G$7:$H$10,2,FALSE))</f>
        <v/>
      </c>
      <c r="E945" s="2"/>
      <c r="F945" s="2"/>
      <c r="G945" s="2"/>
      <c r="H945" s="2" t="str">
        <f>IF(ISBLANK(G945),"",VLOOKUP(G945,configuration!$J$7:$K$10,2,FALSE))</f>
        <v/>
      </c>
      <c r="I945" s="30"/>
      <c r="J945" s="2"/>
      <c r="K945" s="31"/>
      <c r="L945" s="35"/>
      <c r="M945" s="2" t="str">
        <f>IF(ISBLANK(L945),"",VLOOKUP(L945,configuration!$M$7:$N$10,2,FALSE))</f>
        <v/>
      </c>
      <c r="N945" s="30"/>
      <c r="O945" s="2"/>
      <c r="P945" s="31"/>
      <c r="Q945" s="54"/>
      <c r="R945" s="55" t="str">
        <f>IF(ISBLANK(Q945),"",VLOOKUP(Q945,configuration!$P$7:$Q$10,2,FALSE))</f>
        <v/>
      </c>
      <c r="S945" s="56"/>
      <c r="T945" s="55"/>
      <c r="U945" s="78"/>
      <c r="V945" s="76" t="str">
        <f t="shared" si="60"/>
        <v/>
      </c>
      <c r="W945" s="48" t="str">
        <f t="shared" si="60"/>
        <v/>
      </c>
      <c r="X945" s="48" t="str">
        <f t="shared" si="60"/>
        <v/>
      </c>
      <c r="Y945" s="48" t="str">
        <f t="shared" si="60"/>
        <v/>
      </c>
      <c r="Z945" s="49" t="str">
        <f t="shared" si="58"/>
        <v/>
      </c>
      <c r="AA945" s="50" t="str">
        <f t="shared" si="61"/>
        <v/>
      </c>
      <c r="AB945" s="48" t="str">
        <f t="shared" si="61"/>
        <v/>
      </c>
      <c r="AC945" s="48" t="str">
        <f t="shared" si="61"/>
        <v/>
      </c>
      <c r="AD945" s="48" t="str">
        <f t="shared" si="61"/>
        <v/>
      </c>
      <c r="AE945" s="48" t="str">
        <f t="shared" si="59"/>
        <v/>
      </c>
    </row>
    <row r="946" spans="1:31" x14ac:dyDescent="0.25">
      <c r="A946" s="2"/>
      <c r="B946" s="2"/>
      <c r="C946" s="2"/>
      <c r="D946" s="2" t="str">
        <f>IF(ISBLANK(C946),"",VLOOKUP(C946,configuration!$G$7:$H$10,2,FALSE))</f>
        <v/>
      </c>
      <c r="E946" s="2"/>
      <c r="F946" s="2"/>
      <c r="G946" s="2"/>
      <c r="H946" s="2" t="str">
        <f>IF(ISBLANK(G946),"",VLOOKUP(G946,configuration!$J$7:$K$10,2,FALSE))</f>
        <v/>
      </c>
      <c r="I946" s="30"/>
      <c r="J946" s="2"/>
      <c r="K946" s="31"/>
      <c r="L946" s="35"/>
      <c r="M946" s="2" t="str">
        <f>IF(ISBLANK(L946),"",VLOOKUP(L946,configuration!$M$7:$N$10,2,FALSE))</f>
        <v/>
      </c>
      <c r="N946" s="30"/>
      <c r="O946" s="2"/>
      <c r="P946" s="31"/>
      <c r="Q946" s="54"/>
      <c r="R946" s="55" t="str">
        <f>IF(ISBLANK(Q946),"",VLOOKUP(Q946,configuration!$P$7:$Q$10,2,FALSE))</f>
        <v/>
      </c>
      <c r="S946" s="56"/>
      <c r="T946" s="55"/>
      <c r="U946" s="78"/>
      <c r="V946" s="76" t="str">
        <f t="shared" si="60"/>
        <v/>
      </c>
      <c r="W946" s="48" t="str">
        <f t="shared" si="60"/>
        <v/>
      </c>
      <c r="X946" s="48" t="str">
        <f t="shared" si="60"/>
        <v/>
      </c>
      <c r="Y946" s="48" t="str">
        <f t="shared" si="60"/>
        <v/>
      </c>
      <c r="Z946" s="49" t="str">
        <f t="shared" si="58"/>
        <v/>
      </c>
      <c r="AA946" s="50" t="str">
        <f t="shared" si="61"/>
        <v/>
      </c>
      <c r="AB946" s="48" t="str">
        <f t="shared" si="61"/>
        <v/>
      </c>
      <c r="AC946" s="48" t="str">
        <f t="shared" si="61"/>
        <v/>
      </c>
      <c r="AD946" s="48" t="str">
        <f t="shared" si="61"/>
        <v/>
      </c>
      <c r="AE946" s="48" t="str">
        <f t="shared" si="59"/>
        <v/>
      </c>
    </row>
    <row r="947" spans="1:31" x14ac:dyDescent="0.25">
      <c r="A947" s="2"/>
      <c r="B947" s="2"/>
      <c r="C947" s="2"/>
      <c r="D947" s="2" t="str">
        <f>IF(ISBLANK(C947),"",VLOOKUP(C947,configuration!$G$7:$H$10,2,FALSE))</f>
        <v/>
      </c>
      <c r="E947" s="2"/>
      <c r="F947" s="2"/>
      <c r="G947" s="2"/>
      <c r="H947" s="2" t="str">
        <f>IF(ISBLANK(G947),"",VLOOKUP(G947,configuration!$J$7:$K$10,2,FALSE))</f>
        <v/>
      </c>
      <c r="I947" s="30"/>
      <c r="J947" s="2"/>
      <c r="K947" s="31"/>
      <c r="L947" s="35"/>
      <c r="M947" s="2" t="str">
        <f>IF(ISBLANK(L947),"",VLOOKUP(L947,configuration!$M$7:$N$10,2,FALSE))</f>
        <v/>
      </c>
      <c r="N947" s="30"/>
      <c r="O947" s="2"/>
      <c r="P947" s="31"/>
      <c r="Q947" s="54"/>
      <c r="R947" s="55" t="str">
        <f>IF(ISBLANK(Q947),"",VLOOKUP(Q947,configuration!$P$7:$Q$10,2,FALSE))</f>
        <v/>
      </c>
      <c r="S947" s="56"/>
      <c r="T947" s="55"/>
      <c r="U947" s="78"/>
      <c r="V947" s="76" t="str">
        <f t="shared" si="60"/>
        <v/>
      </c>
      <c r="W947" s="48" t="str">
        <f t="shared" si="60"/>
        <v/>
      </c>
      <c r="X947" s="48" t="str">
        <f t="shared" si="60"/>
        <v/>
      </c>
      <c r="Y947" s="48" t="str">
        <f t="shared" si="60"/>
        <v/>
      </c>
      <c r="Z947" s="49" t="str">
        <f t="shared" si="58"/>
        <v/>
      </c>
      <c r="AA947" s="50" t="str">
        <f t="shared" si="61"/>
        <v/>
      </c>
      <c r="AB947" s="48" t="str">
        <f t="shared" si="61"/>
        <v/>
      </c>
      <c r="AC947" s="48" t="str">
        <f t="shared" si="61"/>
        <v/>
      </c>
      <c r="AD947" s="48" t="str">
        <f t="shared" si="61"/>
        <v/>
      </c>
      <c r="AE947" s="48" t="str">
        <f t="shared" si="59"/>
        <v/>
      </c>
    </row>
    <row r="948" spans="1:31" x14ac:dyDescent="0.25">
      <c r="A948" s="2"/>
      <c r="B948" s="2"/>
      <c r="C948" s="2"/>
      <c r="D948" s="2" t="str">
        <f>IF(ISBLANK(C948),"",VLOOKUP(C948,configuration!$G$7:$H$10,2,FALSE))</f>
        <v/>
      </c>
      <c r="E948" s="2"/>
      <c r="F948" s="2"/>
      <c r="G948" s="2"/>
      <c r="H948" s="2" t="str">
        <f>IF(ISBLANK(G948),"",VLOOKUP(G948,configuration!$J$7:$K$10,2,FALSE))</f>
        <v/>
      </c>
      <c r="I948" s="30"/>
      <c r="J948" s="2"/>
      <c r="K948" s="31"/>
      <c r="L948" s="35"/>
      <c r="M948" s="2" t="str">
        <f>IF(ISBLANK(L948),"",VLOOKUP(L948,configuration!$M$7:$N$10,2,FALSE))</f>
        <v/>
      </c>
      <c r="N948" s="30"/>
      <c r="O948" s="2"/>
      <c r="P948" s="31"/>
      <c r="Q948" s="54"/>
      <c r="R948" s="55" t="str">
        <f>IF(ISBLANK(Q948),"",VLOOKUP(Q948,configuration!$P$7:$Q$10,2,FALSE))</f>
        <v/>
      </c>
      <c r="S948" s="56"/>
      <c r="T948" s="55"/>
      <c r="U948" s="78"/>
      <c r="V948" s="76" t="str">
        <f t="shared" si="60"/>
        <v/>
      </c>
      <c r="W948" s="48" t="str">
        <f t="shared" si="60"/>
        <v/>
      </c>
      <c r="X948" s="48" t="str">
        <f t="shared" si="60"/>
        <v/>
      </c>
      <c r="Y948" s="48" t="str">
        <f t="shared" si="60"/>
        <v/>
      </c>
      <c r="Z948" s="49" t="str">
        <f t="shared" si="58"/>
        <v/>
      </c>
      <c r="AA948" s="50" t="str">
        <f t="shared" si="61"/>
        <v/>
      </c>
      <c r="AB948" s="48" t="str">
        <f t="shared" si="61"/>
        <v/>
      </c>
      <c r="AC948" s="48" t="str">
        <f t="shared" si="61"/>
        <v/>
      </c>
      <c r="AD948" s="48" t="str">
        <f t="shared" si="61"/>
        <v/>
      </c>
      <c r="AE948" s="48" t="str">
        <f t="shared" si="59"/>
        <v/>
      </c>
    </row>
    <row r="949" spans="1:31" x14ac:dyDescent="0.25">
      <c r="A949" s="2"/>
      <c r="B949" s="2"/>
      <c r="C949" s="2"/>
      <c r="D949" s="2" t="str">
        <f>IF(ISBLANK(C949),"",VLOOKUP(C949,configuration!$G$7:$H$10,2,FALSE))</f>
        <v/>
      </c>
      <c r="E949" s="2"/>
      <c r="F949" s="2"/>
      <c r="G949" s="2"/>
      <c r="H949" s="2" t="str">
        <f>IF(ISBLANK(G949),"",VLOOKUP(G949,configuration!$J$7:$K$10,2,FALSE))</f>
        <v/>
      </c>
      <c r="I949" s="30"/>
      <c r="J949" s="2"/>
      <c r="K949" s="31"/>
      <c r="L949" s="35"/>
      <c r="M949" s="2" t="str">
        <f>IF(ISBLANK(L949),"",VLOOKUP(L949,configuration!$M$7:$N$10,2,FALSE))</f>
        <v/>
      </c>
      <c r="N949" s="30"/>
      <c r="O949" s="2"/>
      <c r="P949" s="31"/>
      <c r="Q949" s="54"/>
      <c r="R949" s="55" t="str">
        <f>IF(ISBLANK(Q949),"",VLOOKUP(Q949,configuration!$P$7:$Q$10,2,FALSE))</f>
        <v/>
      </c>
      <c r="S949" s="56"/>
      <c r="T949" s="55"/>
      <c r="U949" s="78"/>
      <c r="V949" s="76" t="str">
        <f t="shared" si="60"/>
        <v/>
      </c>
      <c r="W949" s="48" t="str">
        <f t="shared" si="60"/>
        <v/>
      </c>
      <c r="X949" s="48" t="str">
        <f t="shared" si="60"/>
        <v/>
      </c>
      <c r="Y949" s="48" t="str">
        <f t="shared" si="60"/>
        <v/>
      </c>
      <c r="Z949" s="49" t="str">
        <f t="shared" si="58"/>
        <v/>
      </c>
      <c r="AA949" s="50" t="str">
        <f t="shared" si="61"/>
        <v/>
      </c>
      <c r="AB949" s="48" t="str">
        <f t="shared" si="61"/>
        <v/>
      </c>
      <c r="AC949" s="48" t="str">
        <f t="shared" si="61"/>
        <v/>
      </c>
      <c r="AD949" s="48" t="str">
        <f t="shared" si="61"/>
        <v/>
      </c>
      <c r="AE949" s="48" t="str">
        <f t="shared" si="59"/>
        <v/>
      </c>
    </row>
    <row r="950" spans="1:31" x14ac:dyDescent="0.25">
      <c r="A950" s="2"/>
      <c r="B950" s="2"/>
      <c r="C950" s="2"/>
      <c r="D950" s="2" t="str">
        <f>IF(ISBLANK(C950),"",VLOOKUP(C950,configuration!$G$7:$H$10,2,FALSE))</f>
        <v/>
      </c>
      <c r="E950" s="2"/>
      <c r="F950" s="2"/>
      <c r="G950" s="2"/>
      <c r="H950" s="2" t="str">
        <f>IF(ISBLANK(G950),"",VLOOKUP(G950,configuration!$J$7:$K$10,2,FALSE))</f>
        <v/>
      </c>
      <c r="I950" s="30"/>
      <c r="J950" s="2"/>
      <c r="K950" s="31"/>
      <c r="L950" s="35"/>
      <c r="M950" s="2" t="str">
        <f>IF(ISBLANK(L950),"",VLOOKUP(L950,configuration!$M$7:$N$10,2,FALSE))</f>
        <v/>
      </c>
      <c r="N950" s="30"/>
      <c r="O950" s="2"/>
      <c r="P950" s="31"/>
      <c r="Q950" s="54"/>
      <c r="R950" s="55" t="str">
        <f>IF(ISBLANK(Q950),"",VLOOKUP(Q950,configuration!$P$7:$Q$10,2,FALSE))</f>
        <v/>
      </c>
      <c r="S950" s="56"/>
      <c r="T950" s="55"/>
      <c r="U950" s="78"/>
      <c r="V950" s="76" t="str">
        <f t="shared" si="60"/>
        <v/>
      </c>
      <c r="W950" s="48" t="str">
        <f t="shared" si="60"/>
        <v/>
      </c>
      <c r="X950" s="48" t="str">
        <f t="shared" si="60"/>
        <v/>
      </c>
      <c r="Y950" s="48" t="str">
        <f t="shared" si="60"/>
        <v/>
      </c>
      <c r="Z950" s="49" t="str">
        <f t="shared" si="58"/>
        <v/>
      </c>
      <c r="AA950" s="50" t="str">
        <f t="shared" si="61"/>
        <v/>
      </c>
      <c r="AB950" s="48" t="str">
        <f t="shared" si="61"/>
        <v/>
      </c>
      <c r="AC950" s="48" t="str">
        <f t="shared" si="61"/>
        <v/>
      </c>
      <c r="AD950" s="48" t="str">
        <f t="shared" si="61"/>
        <v/>
      </c>
      <c r="AE950" s="48" t="str">
        <f t="shared" si="59"/>
        <v/>
      </c>
    </row>
    <row r="951" spans="1:31" x14ac:dyDescent="0.25">
      <c r="A951" s="2"/>
      <c r="B951" s="2"/>
      <c r="C951" s="2"/>
      <c r="D951" s="2" t="str">
        <f>IF(ISBLANK(C951),"",VLOOKUP(C951,configuration!$G$7:$H$10,2,FALSE))</f>
        <v/>
      </c>
      <c r="E951" s="2"/>
      <c r="F951" s="2"/>
      <c r="G951" s="2"/>
      <c r="H951" s="2" t="str">
        <f>IF(ISBLANK(G951),"",VLOOKUP(G951,configuration!$J$7:$K$10,2,FALSE))</f>
        <v/>
      </c>
      <c r="I951" s="30"/>
      <c r="J951" s="2"/>
      <c r="K951" s="31"/>
      <c r="L951" s="35"/>
      <c r="M951" s="2" t="str">
        <f>IF(ISBLANK(L951),"",VLOOKUP(L951,configuration!$M$7:$N$10,2,FALSE))</f>
        <v/>
      </c>
      <c r="N951" s="30"/>
      <c r="O951" s="2"/>
      <c r="P951" s="31"/>
      <c r="Q951" s="54"/>
      <c r="R951" s="55" t="str">
        <f>IF(ISBLANK(Q951),"",VLOOKUP(Q951,configuration!$P$7:$Q$10,2,FALSE))</f>
        <v/>
      </c>
      <c r="S951" s="56"/>
      <c r="T951" s="55"/>
      <c r="U951" s="78"/>
      <c r="V951" s="76" t="str">
        <f t="shared" si="60"/>
        <v/>
      </c>
      <c r="W951" s="48" t="str">
        <f t="shared" si="60"/>
        <v/>
      </c>
      <c r="X951" s="48" t="str">
        <f t="shared" si="60"/>
        <v/>
      </c>
      <c r="Y951" s="48" t="str">
        <f t="shared" si="60"/>
        <v/>
      </c>
      <c r="Z951" s="49" t="str">
        <f t="shared" si="58"/>
        <v/>
      </c>
      <c r="AA951" s="50" t="str">
        <f t="shared" si="61"/>
        <v/>
      </c>
      <c r="AB951" s="48" t="str">
        <f t="shared" si="61"/>
        <v/>
      </c>
      <c r="AC951" s="48" t="str">
        <f t="shared" si="61"/>
        <v/>
      </c>
      <c r="AD951" s="48" t="str">
        <f t="shared" si="61"/>
        <v/>
      </c>
      <c r="AE951" s="48" t="str">
        <f t="shared" si="59"/>
        <v/>
      </c>
    </row>
    <row r="952" spans="1:31" x14ac:dyDescent="0.25">
      <c r="A952" s="2"/>
      <c r="B952" s="2"/>
      <c r="C952" s="2"/>
      <c r="D952" s="2" t="str">
        <f>IF(ISBLANK(C952),"",VLOOKUP(C952,configuration!$G$7:$H$10,2,FALSE))</f>
        <v/>
      </c>
      <c r="E952" s="2"/>
      <c r="F952" s="2"/>
      <c r="G952" s="2"/>
      <c r="H952" s="2" t="str">
        <f>IF(ISBLANK(G952),"",VLOOKUP(G952,configuration!$J$7:$K$10,2,FALSE))</f>
        <v/>
      </c>
      <c r="I952" s="30"/>
      <c r="J952" s="2"/>
      <c r="K952" s="31"/>
      <c r="L952" s="35"/>
      <c r="M952" s="2" t="str">
        <f>IF(ISBLANK(L952),"",VLOOKUP(L952,configuration!$M$7:$N$10,2,FALSE))</f>
        <v/>
      </c>
      <c r="N952" s="30"/>
      <c r="O952" s="2"/>
      <c r="P952" s="31"/>
      <c r="Q952" s="54"/>
      <c r="R952" s="55" t="str">
        <f>IF(ISBLANK(Q952),"",VLOOKUP(Q952,configuration!$P$7:$Q$10,2,FALSE))</f>
        <v/>
      </c>
      <c r="S952" s="56"/>
      <c r="T952" s="55"/>
      <c r="U952" s="78"/>
      <c r="V952" s="76" t="str">
        <f t="shared" si="60"/>
        <v/>
      </c>
      <c r="W952" s="48" t="str">
        <f t="shared" si="60"/>
        <v/>
      </c>
      <c r="X952" s="48" t="str">
        <f t="shared" si="60"/>
        <v/>
      </c>
      <c r="Y952" s="48" t="str">
        <f t="shared" si="60"/>
        <v/>
      </c>
      <c r="Z952" s="49" t="str">
        <f t="shared" si="58"/>
        <v/>
      </c>
      <c r="AA952" s="50" t="str">
        <f t="shared" si="61"/>
        <v/>
      </c>
      <c r="AB952" s="48" t="str">
        <f t="shared" si="61"/>
        <v/>
      </c>
      <c r="AC952" s="48" t="str">
        <f t="shared" si="61"/>
        <v/>
      </c>
      <c r="AD952" s="48" t="str">
        <f t="shared" si="61"/>
        <v/>
      </c>
      <c r="AE952" s="48" t="str">
        <f t="shared" si="59"/>
        <v/>
      </c>
    </row>
    <row r="953" spans="1:31" x14ac:dyDescent="0.25">
      <c r="A953" s="2"/>
      <c r="B953" s="2"/>
      <c r="C953" s="2"/>
      <c r="D953" s="2" t="str">
        <f>IF(ISBLANK(C953),"",VLOOKUP(C953,configuration!$G$7:$H$10,2,FALSE))</f>
        <v/>
      </c>
      <c r="E953" s="2"/>
      <c r="F953" s="2"/>
      <c r="G953" s="2"/>
      <c r="H953" s="2" t="str">
        <f>IF(ISBLANK(G953),"",VLOOKUP(G953,configuration!$J$7:$K$10,2,FALSE))</f>
        <v/>
      </c>
      <c r="I953" s="30"/>
      <c r="J953" s="2"/>
      <c r="K953" s="31"/>
      <c r="L953" s="35"/>
      <c r="M953" s="2" t="str">
        <f>IF(ISBLANK(L953),"",VLOOKUP(L953,configuration!$M$7:$N$10,2,FALSE))</f>
        <v/>
      </c>
      <c r="N953" s="30"/>
      <c r="O953" s="2"/>
      <c r="P953" s="31"/>
      <c r="Q953" s="54"/>
      <c r="R953" s="55" t="str">
        <f>IF(ISBLANK(Q953),"",VLOOKUP(Q953,configuration!$P$7:$Q$10,2,FALSE))</f>
        <v/>
      </c>
      <c r="S953" s="56"/>
      <c r="T953" s="55"/>
      <c r="U953" s="78"/>
      <c r="V953" s="76" t="str">
        <f t="shared" si="60"/>
        <v/>
      </c>
      <c r="W953" s="48" t="str">
        <f t="shared" si="60"/>
        <v/>
      </c>
      <c r="X953" s="48" t="str">
        <f t="shared" si="60"/>
        <v/>
      </c>
      <c r="Y953" s="48" t="str">
        <f t="shared" si="60"/>
        <v/>
      </c>
      <c r="Z953" s="49" t="str">
        <f t="shared" si="58"/>
        <v/>
      </c>
      <c r="AA953" s="50" t="str">
        <f t="shared" si="61"/>
        <v/>
      </c>
      <c r="AB953" s="48" t="str">
        <f t="shared" si="61"/>
        <v/>
      </c>
      <c r="AC953" s="48" t="str">
        <f t="shared" si="61"/>
        <v/>
      </c>
      <c r="AD953" s="48" t="str">
        <f t="shared" si="61"/>
        <v/>
      </c>
      <c r="AE953" s="48" t="str">
        <f t="shared" si="59"/>
        <v/>
      </c>
    </row>
    <row r="954" spans="1:31" x14ac:dyDescent="0.25">
      <c r="A954" s="2"/>
      <c r="B954" s="2"/>
      <c r="C954" s="2"/>
      <c r="D954" s="2" t="str">
        <f>IF(ISBLANK(C954),"",VLOOKUP(C954,configuration!$G$7:$H$10,2,FALSE))</f>
        <v/>
      </c>
      <c r="E954" s="2"/>
      <c r="F954" s="2"/>
      <c r="G954" s="2"/>
      <c r="H954" s="2" t="str">
        <f>IF(ISBLANK(G954),"",VLOOKUP(G954,configuration!$J$7:$K$10,2,FALSE))</f>
        <v/>
      </c>
      <c r="I954" s="30"/>
      <c r="J954" s="2"/>
      <c r="K954" s="31"/>
      <c r="L954" s="35"/>
      <c r="M954" s="2" t="str">
        <f>IF(ISBLANK(L954),"",VLOOKUP(L954,configuration!$M$7:$N$10,2,FALSE))</f>
        <v/>
      </c>
      <c r="N954" s="30"/>
      <c r="O954" s="2"/>
      <c r="P954" s="31"/>
      <c r="Q954" s="54"/>
      <c r="R954" s="55" t="str">
        <f>IF(ISBLANK(Q954),"",VLOOKUP(Q954,configuration!$P$7:$Q$10,2,FALSE))</f>
        <v/>
      </c>
      <c r="S954" s="56"/>
      <c r="T954" s="55"/>
      <c r="U954" s="78"/>
      <c r="V954" s="76" t="str">
        <f t="shared" si="60"/>
        <v/>
      </c>
      <c r="W954" s="48" t="str">
        <f t="shared" si="60"/>
        <v/>
      </c>
      <c r="X954" s="48" t="str">
        <f t="shared" si="60"/>
        <v/>
      </c>
      <c r="Y954" s="48" t="str">
        <f t="shared" si="60"/>
        <v/>
      </c>
      <c r="Z954" s="49" t="str">
        <f t="shared" si="58"/>
        <v/>
      </c>
      <c r="AA954" s="50" t="str">
        <f t="shared" si="61"/>
        <v/>
      </c>
      <c r="AB954" s="48" t="str">
        <f t="shared" si="61"/>
        <v/>
      </c>
      <c r="AC954" s="48" t="str">
        <f t="shared" si="61"/>
        <v/>
      </c>
      <c r="AD954" s="48" t="str">
        <f t="shared" si="61"/>
        <v/>
      </c>
      <c r="AE954" s="48" t="str">
        <f t="shared" si="59"/>
        <v/>
      </c>
    </row>
    <row r="955" spans="1:31" x14ac:dyDescent="0.25">
      <c r="A955" s="2"/>
      <c r="B955" s="2"/>
      <c r="C955" s="2"/>
      <c r="D955" s="2" t="str">
        <f>IF(ISBLANK(C955),"",VLOOKUP(C955,configuration!$G$7:$H$10,2,FALSE))</f>
        <v/>
      </c>
      <c r="E955" s="2"/>
      <c r="F955" s="2"/>
      <c r="G955" s="2"/>
      <c r="H955" s="2" t="str">
        <f>IF(ISBLANK(G955),"",VLOOKUP(G955,configuration!$J$7:$K$10,2,FALSE))</f>
        <v/>
      </c>
      <c r="I955" s="30"/>
      <c r="J955" s="2"/>
      <c r="K955" s="31"/>
      <c r="L955" s="35"/>
      <c r="M955" s="2" t="str">
        <f>IF(ISBLANK(L955),"",VLOOKUP(L955,configuration!$M$7:$N$10,2,FALSE))</f>
        <v/>
      </c>
      <c r="N955" s="30"/>
      <c r="O955" s="2"/>
      <c r="P955" s="31"/>
      <c r="Q955" s="54"/>
      <c r="R955" s="55" t="str">
        <f>IF(ISBLANK(Q955),"",VLOOKUP(Q955,configuration!$P$7:$Q$10,2,FALSE))</f>
        <v/>
      </c>
      <c r="S955" s="56"/>
      <c r="T955" s="55"/>
      <c r="U955" s="78"/>
      <c r="V955" s="76" t="str">
        <f t="shared" si="60"/>
        <v/>
      </c>
      <c r="W955" s="48" t="str">
        <f t="shared" si="60"/>
        <v/>
      </c>
      <c r="X955" s="48" t="str">
        <f t="shared" si="60"/>
        <v/>
      </c>
      <c r="Y955" s="48" t="str">
        <f t="shared" si="60"/>
        <v/>
      </c>
      <c r="Z955" s="49" t="str">
        <f t="shared" si="58"/>
        <v/>
      </c>
      <c r="AA955" s="50" t="str">
        <f t="shared" si="61"/>
        <v/>
      </c>
      <c r="AB955" s="48" t="str">
        <f t="shared" si="61"/>
        <v/>
      </c>
      <c r="AC955" s="48" t="str">
        <f t="shared" si="61"/>
        <v/>
      </c>
      <c r="AD955" s="48" t="str">
        <f t="shared" si="61"/>
        <v/>
      </c>
      <c r="AE955" s="48" t="str">
        <f t="shared" si="59"/>
        <v/>
      </c>
    </row>
    <row r="956" spans="1:31" x14ac:dyDescent="0.25">
      <c r="A956" s="2"/>
      <c r="B956" s="2"/>
      <c r="C956" s="2"/>
      <c r="D956" s="2" t="str">
        <f>IF(ISBLANK(C956),"",VLOOKUP(C956,configuration!$G$7:$H$10,2,FALSE))</f>
        <v/>
      </c>
      <c r="E956" s="2"/>
      <c r="F956" s="2"/>
      <c r="G956" s="2"/>
      <c r="H956" s="2" t="str">
        <f>IF(ISBLANK(G956),"",VLOOKUP(G956,configuration!$J$7:$K$10,2,FALSE))</f>
        <v/>
      </c>
      <c r="I956" s="30"/>
      <c r="J956" s="2"/>
      <c r="K956" s="31"/>
      <c r="L956" s="35"/>
      <c r="M956" s="2" t="str">
        <f>IF(ISBLANK(L956),"",VLOOKUP(L956,configuration!$M$7:$N$10,2,FALSE))</f>
        <v/>
      </c>
      <c r="N956" s="30"/>
      <c r="O956" s="2"/>
      <c r="P956" s="31"/>
      <c r="Q956" s="54"/>
      <c r="R956" s="55" t="str">
        <f>IF(ISBLANK(Q956),"",VLOOKUP(Q956,configuration!$P$7:$Q$10,2,FALSE))</f>
        <v/>
      </c>
      <c r="S956" s="56"/>
      <c r="T956" s="55"/>
      <c r="U956" s="78"/>
      <c r="V956" s="76" t="str">
        <f t="shared" si="60"/>
        <v/>
      </c>
      <c r="W956" s="48" t="str">
        <f t="shared" si="60"/>
        <v/>
      </c>
      <c r="X956" s="48" t="str">
        <f t="shared" si="60"/>
        <v/>
      </c>
      <c r="Y956" s="48" t="str">
        <f t="shared" si="60"/>
        <v/>
      </c>
      <c r="Z956" s="49" t="str">
        <f t="shared" si="58"/>
        <v/>
      </c>
      <c r="AA956" s="50" t="str">
        <f t="shared" si="61"/>
        <v/>
      </c>
      <c r="AB956" s="48" t="str">
        <f t="shared" si="61"/>
        <v/>
      </c>
      <c r="AC956" s="48" t="str">
        <f t="shared" si="61"/>
        <v/>
      </c>
      <c r="AD956" s="48" t="str">
        <f t="shared" si="61"/>
        <v/>
      </c>
      <c r="AE956" s="48" t="str">
        <f t="shared" si="59"/>
        <v/>
      </c>
    </row>
    <row r="957" spans="1:31" x14ac:dyDescent="0.25">
      <c r="A957" s="2"/>
      <c r="B957" s="2"/>
      <c r="C957" s="2"/>
      <c r="D957" s="2" t="str">
        <f>IF(ISBLANK(C957),"",VLOOKUP(C957,configuration!$G$7:$H$10,2,FALSE))</f>
        <v/>
      </c>
      <c r="E957" s="2"/>
      <c r="F957" s="2"/>
      <c r="G957" s="2"/>
      <c r="H957" s="2" t="str">
        <f>IF(ISBLANK(G957),"",VLOOKUP(G957,configuration!$J$7:$K$10,2,FALSE))</f>
        <v/>
      </c>
      <c r="I957" s="30"/>
      <c r="J957" s="2"/>
      <c r="K957" s="31"/>
      <c r="L957" s="35"/>
      <c r="M957" s="2" t="str">
        <f>IF(ISBLANK(L957),"",VLOOKUP(L957,configuration!$M$7:$N$10,2,FALSE))</f>
        <v/>
      </c>
      <c r="N957" s="30"/>
      <c r="O957" s="2"/>
      <c r="P957" s="31"/>
      <c r="Q957" s="54"/>
      <c r="R957" s="55" t="str">
        <f>IF(ISBLANK(Q957),"",VLOOKUP(Q957,configuration!$P$7:$Q$10,2,FALSE))</f>
        <v/>
      </c>
      <c r="S957" s="56"/>
      <c r="T957" s="55"/>
      <c r="U957" s="78"/>
      <c r="V957" s="76" t="str">
        <f t="shared" si="60"/>
        <v/>
      </c>
      <c r="W957" s="48" t="str">
        <f t="shared" si="60"/>
        <v/>
      </c>
      <c r="X957" s="48" t="str">
        <f t="shared" si="60"/>
        <v/>
      </c>
      <c r="Y957" s="48" t="str">
        <f t="shared" si="60"/>
        <v/>
      </c>
      <c r="Z957" s="49" t="str">
        <f t="shared" si="58"/>
        <v/>
      </c>
      <c r="AA957" s="50" t="str">
        <f t="shared" si="61"/>
        <v/>
      </c>
      <c r="AB957" s="48" t="str">
        <f t="shared" si="61"/>
        <v/>
      </c>
      <c r="AC957" s="48" t="str">
        <f t="shared" si="61"/>
        <v/>
      </c>
      <c r="AD957" s="48" t="str">
        <f t="shared" si="61"/>
        <v/>
      </c>
      <c r="AE957" s="48" t="str">
        <f t="shared" si="59"/>
        <v/>
      </c>
    </row>
    <row r="958" spans="1:31" x14ac:dyDescent="0.25">
      <c r="A958" s="2"/>
      <c r="B958" s="2"/>
      <c r="C958" s="2"/>
      <c r="D958" s="2" t="str">
        <f>IF(ISBLANK(C958),"",VLOOKUP(C958,configuration!$G$7:$H$10,2,FALSE))</f>
        <v/>
      </c>
      <c r="E958" s="2"/>
      <c r="F958" s="2"/>
      <c r="G958" s="2"/>
      <c r="H958" s="2" t="str">
        <f>IF(ISBLANK(G958),"",VLOOKUP(G958,configuration!$J$7:$K$10,2,FALSE))</f>
        <v/>
      </c>
      <c r="I958" s="30"/>
      <c r="J958" s="2"/>
      <c r="K958" s="31"/>
      <c r="L958" s="35"/>
      <c r="M958" s="2" t="str">
        <f>IF(ISBLANK(L958),"",VLOOKUP(L958,configuration!$M$7:$N$10,2,FALSE))</f>
        <v/>
      </c>
      <c r="N958" s="30"/>
      <c r="O958" s="2"/>
      <c r="P958" s="31"/>
      <c r="Q958" s="54"/>
      <c r="R958" s="55" t="str">
        <f>IF(ISBLANK(Q958),"",VLOOKUP(Q958,configuration!$P$7:$Q$10,2,FALSE))</f>
        <v/>
      </c>
      <c r="S958" s="56"/>
      <c r="T958" s="55"/>
      <c r="U958" s="78"/>
      <c r="V958" s="76" t="str">
        <f t="shared" si="60"/>
        <v/>
      </c>
      <c r="W958" s="48" t="str">
        <f t="shared" si="60"/>
        <v/>
      </c>
      <c r="X958" s="48" t="str">
        <f t="shared" si="60"/>
        <v/>
      </c>
      <c r="Y958" s="48" t="str">
        <f t="shared" si="60"/>
        <v/>
      </c>
      <c r="Z958" s="49" t="str">
        <f t="shared" si="58"/>
        <v/>
      </c>
      <c r="AA958" s="50" t="str">
        <f t="shared" si="61"/>
        <v/>
      </c>
      <c r="AB958" s="48" t="str">
        <f t="shared" si="61"/>
        <v/>
      </c>
      <c r="AC958" s="48" t="str">
        <f t="shared" si="61"/>
        <v/>
      </c>
      <c r="AD958" s="48" t="str">
        <f t="shared" si="61"/>
        <v/>
      </c>
      <c r="AE958" s="48" t="str">
        <f t="shared" si="59"/>
        <v/>
      </c>
    </row>
    <row r="959" spans="1:31" x14ac:dyDescent="0.25">
      <c r="A959" s="2"/>
      <c r="B959" s="2"/>
      <c r="C959" s="2"/>
      <c r="D959" s="2" t="str">
        <f>IF(ISBLANK(C959),"",VLOOKUP(C959,configuration!$G$7:$H$10,2,FALSE))</f>
        <v/>
      </c>
      <c r="E959" s="2"/>
      <c r="F959" s="2"/>
      <c r="G959" s="2"/>
      <c r="H959" s="2" t="str">
        <f>IF(ISBLANK(G959),"",VLOOKUP(G959,configuration!$J$7:$K$10,2,FALSE))</f>
        <v/>
      </c>
      <c r="I959" s="30"/>
      <c r="J959" s="2"/>
      <c r="K959" s="31"/>
      <c r="L959" s="35"/>
      <c r="M959" s="2" t="str">
        <f>IF(ISBLANK(L959),"",VLOOKUP(L959,configuration!$M$7:$N$10,2,FALSE))</f>
        <v/>
      </c>
      <c r="N959" s="30"/>
      <c r="O959" s="2"/>
      <c r="P959" s="31"/>
      <c r="Q959" s="54"/>
      <c r="R959" s="55" t="str">
        <f>IF(ISBLANK(Q959),"",VLOOKUP(Q959,configuration!$P$7:$Q$10,2,FALSE))</f>
        <v/>
      </c>
      <c r="S959" s="56"/>
      <c r="T959" s="55"/>
      <c r="U959" s="78"/>
      <c r="V959" s="76" t="str">
        <f t="shared" si="60"/>
        <v/>
      </c>
      <c r="W959" s="48" t="str">
        <f t="shared" si="60"/>
        <v/>
      </c>
      <c r="X959" s="48" t="str">
        <f t="shared" si="60"/>
        <v/>
      </c>
      <c r="Y959" s="48" t="str">
        <f t="shared" si="60"/>
        <v/>
      </c>
      <c r="Z959" s="49" t="str">
        <f t="shared" si="58"/>
        <v/>
      </c>
      <c r="AA959" s="50" t="str">
        <f t="shared" si="61"/>
        <v/>
      </c>
      <c r="AB959" s="48" t="str">
        <f t="shared" si="61"/>
        <v/>
      </c>
      <c r="AC959" s="48" t="str">
        <f t="shared" si="61"/>
        <v/>
      </c>
      <c r="AD959" s="48" t="str">
        <f t="shared" si="61"/>
        <v/>
      </c>
      <c r="AE959" s="48" t="str">
        <f t="shared" si="59"/>
        <v/>
      </c>
    </row>
    <row r="960" spans="1:31" x14ac:dyDescent="0.25">
      <c r="A960" s="2"/>
      <c r="B960" s="2"/>
      <c r="C960" s="2"/>
      <c r="D960" s="2" t="str">
        <f>IF(ISBLANK(C960),"",VLOOKUP(C960,configuration!$G$7:$H$10,2,FALSE))</f>
        <v/>
      </c>
      <c r="E960" s="2"/>
      <c r="F960" s="2"/>
      <c r="G960" s="2"/>
      <c r="H960" s="2" t="str">
        <f>IF(ISBLANK(G960),"",VLOOKUP(G960,configuration!$J$7:$K$10,2,FALSE))</f>
        <v/>
      </c>
      <c r="I960" s="30"/>
      <c r="J960" s="2"/>
      <c r="K960" s="31"/>
      <c r="L960" s="35"/>
      <c r="M960" s="2" t="str">
        <f>IF(ISBLANK(L960),"",VLOOKUP(L960,configuration!$M$7:$N$10,2,FALSE))</f>
        <v/>
      </c>
      <c r="N960" s="30"/>
      <c r="O960" s="2"/>
      <c r="P960" s="31"/>
      <c r="Q960" s="54"/>
      <c r="R960" s="55" t="str">
        <f>IF(ISBLANK(Q960),"",VLOOKUP(Q960,configuration!$P$7:$Q$10,2,FALSE))</f>
        <v/>
      </c>
      <c r="S960" s="56"/>
      <c r="T960" s="55"/>
      <c r="U960" s="78"/>
      <c r="V960" s="76" t="str">
        <f t="shared" si="60"/>
        <v/>
      </c>
      <c r="W960" s="48" t="str">
        <f t="shared" si="60"/>
        <v/>
      </c>
      <c r="X960" s="48" t="str">
        <f t="shared" si="60"/>
        <v/>
      </c>
      <c r="Y960" s="48" t="str">
        <f t="shared" si="60"/>
        <v/>
      </c>
      <c r="Z960" s="49" t="str">
        <f t="shared" si="58"/>
        <v/>
      </c>
      <c r="AA960" s="50" t="str">
        <f t="shared" si="61"/>
        <v/>
      </c>
      <c r="AB960" s="48" t="str">
        <f t="shared" si="61"/>
        <v/>
      </c>
      <c r="AC960" s="48" t="str">
        <f t="shared" si="61"/>
        <v/>
      </c>
      <c r="AD960" s="48" t="str">
        <f t="shared" si="61"/>
        <v/>
      </c>
      <c r="AE960" s="48" t="str">
        <f t="shared" si="59"/>
        <v/>
      </c>
    </row>
    <row r="961" spans="1:31" x14ac:dyDescent="0.25">
      <c r="A961" s="2"/>
      <c r="B961" s="2"/>
      <c r="C961" s="2"/>
      <c r="D961" s="2" t="str">
        <f>IF(ISBLANK(C961),"",VLOOKUP(C961,configuration!$G$7:$H$10,2,FALSE))</f>
        <v/>
      </c>
      <c r="E961" s="2"/>
      <c r="F961" s="2"/>
      <c r="G961" s="2"/>
      <c r="H961" s="2" t="str">
        <f>IF(ISBLANK(G961),"",VLOOKUP(G961,configuration!$J$7:$K$10,2,FALSE))</f>
        <v/>
      </c>
      <c r="I961" s="30"/>
      <c r="J961" s="2"/>
      <c r="K961" s="31"/>
      <c r="L961" s="35"/>
      <c r="M961" s="2" t="str">
        <f>IF(ISBLANK(L961),"",VLOOKUP(L961,configuration!$M$7:$N$10,2,FALSE))</f>
        <v/>
      </c>
      <c r="N961" s="30"/>
      <c r="O961" s="2"/>
      <c r="P961" s="31"/>
      <c r="Q961" s="54"/>
      <c r="R961" s="55" t="str">
        <f>IF(ISBLANK(Q961),"",VLOOKUP(Q961,configuration!$P$7:$Q$10,2,FALSE))</f>
        <v/>
      </c>
      <c r="S961" s="56"/>
      <c r="T961" s="55"/>
      <c r="U961" s="78"/>
      <c r="V961" s="76" t="str">
        <f t="shared" si="60"/>
        <v/>
      </c>
      <c r="W961" s="48" t="str">
        <f t="shared" si="60"/>
        <v/>
      </c>
      <c r="X961" s="48" t="str">
        <f t="shared" si="60"/>
        <v/>
      </c>
      <c r="Y961" s="48" t="str">
        <f t="shared" si="60"/>
        <v/>
      </c>
      <c r="Z961" s="49" t="str">
        <f t="shared" si="58"/>
        <v/>
      </c>
      <c r="AA961" s="50" t="str">
        <f t="shared" si="61"/>
        <v/>
      </c>
      <c r="AB961" s="48" t="str">
        <f t="shared" si="61"/>
        <v/>
      </c>
      <c r="AC961" s="48" t="str">
        <f t="shared" si="61"/>
        <v/>
      </c>
      <c r="AD961" s="48" t="str">
        <f t="shared" si="61"/>
        <v/>
      </c>
      <c r="AE961" s="48" t="str">
        <f t="shared" si="59"/>
        <v/>
      </c>
    </row>
    <row r="962" spans="1:31" x14ac:dyDescent="0.25">
      <c r="A962" s="2"/>
      <c r="B962" s="2"/>
      <c r="C962" s="2"/>
      <c r="D962" s="2" t="str">
        <f>IF(ISBLANK(C962),"",VLOOKUP(C962,configuration!$G$7:$H$10,2,FALSE))</f>
        <v/>
      </c>
      <c r="E962" s="2"/>
      <c r="F962" s="2"/>
      <c r="G962" s="2"/>
      <c r="H962" s="2" t="str">
        <f>IF(ISBLANK(G962),"",VLOOKUP(G962,configuration!$J$7:$K$10,2,FALSE))</f>
        <v/>
      </c>
      <c r="I962" s="30"/>
      <c r="J962" s="2"/>
      <c r="K962" s="31"/>
      <c r="L962" s="35"/>
      <c r="M962" s="2" t="str">
        <f>IF(ISBLANK(L962),"",VLOOKUP(L962,configuration!$M$7:$N$10,2,FALSE))</f>
        <v/>
      </c>
      <c r="N962" s="30"/>
      <c r="O962" s="2"/>
      <c r="P962" s="31"/>
      <c r="Q962" s="54"/>
      <c r="R962" s="55" t="str">
        <f>IF(ISBLANK(Q962),"",VLOOKUP(Q962,configuration!$P$7:$Q$10,2,FALSE))</f>
        <v/>
      </c>
      <c r="S962" s="56"/>
      <c r="T962" s="55"/>
      <c r="U962" s="78"/>
      <c r="V962" s="76" t="str">
        <f t="shared" si="60"/>
        <v/>
      </c>
      <c r="W962" s="48" t="str">
        <f t="shared" si="60"/>
        <v/>
      </c>
      <c r="X962" s="48" t="str">
        <f t="shared" si="60"/>
        <v/>
      </c>
      <c r="Y962" s="48" t="str">
        <f t="shared" si="60"/>
        <v/>
      </c>
      <c r="Z962" s="49" t="str">
        <f t="shared" si="58"/>
        <v/>
      </c>
      <c r="AA962" s="50" t="str">
        <f t="shared" si="61"/>
        <v/>
      </c>
      <c r="AB962" s="48" t="str">
        <f t="shared" si="61"/>
        <v/>
      </c>
      <c r="AC962" s="48" t="str">
        <f t="shared" si="61"/>
        <v/>
      </c>
      <c r="AD962" s="48" t="str">
        <f t="shared" si="61"/>
        <v/>
      </c>
      <c r="AE962" s="48" t="str">
        <f t="shared" si="59"/>
        <v/>
      </c>
    </row>
    <row r="963" spans="1:31" x14ac:dyDescent="0.25">
      <c r="A963" s="2"/>
      <c r="B963" s="2"/>
      <c r="C963" s="2"/>
      <c r="D963" s="2" t="str">
        <f>IF(ISBLANK(C963),"",VLOOKUP(C963,configuration!$G$7:$H$10,2,FALSE))</f>
        <v/>
      </c>
      <c r="E963" s="2"/>
      <c r="F963" s="2"/>
      <c r="G963" s="2"/>
      <c r="H963" s="2" t="str">
        <f>IF(ISBLANK(G963),"",VLOOKUP(G963,configuration!$J$7:$K$10,2,FALSE))</f>
        <v/>
      </c>
      <c r="I963" s="30"/>
      <c r="J963" s="2"/>
      <c r="K963" s="31"/>
      <c r="L963" s="35"/>
      <c r="M963" s="2" t="str">
        <f>IF(ISBLANK(L963),"",VLOOKUP(L963,configuration!$M$7:$N$10,2,FALSE))</f>
        <v/>
      </c>
      <c r="N963" s="30"/>
      <c r="O963" s="2"/>
      <c r="P963" s="31"/>
      <c r="Q963" s="54"/>
      <c r="R963" s="55" t="str">
        <f>IF(ISBLANK(Q963),"",VLOOKUP(Q963,configuration!$P$7:$Q$10,2,FALSE))</f>
        <v/>
      </c>
      <c r="S963" s="56"/>
      <c r="T963" s="55"/>
      <c r="U963" s="78"/>
      <c r="V963" s="76" t="str">
        <f t="shared" si="60"/>
        <v/>
      </c>
      <c r="W963" s="48" t="str">
        <f t="shared" si="60"/>
        <v/>
      </c>
      <c r="X963" s="48" t="str">
        <f t="shared" si="60"/>
        <v/>
      </c>
      <c r="Y963" s="48" t="str">
        <f t="shared" si="60"/>
        <v/>
      </c>
      <c r="Z963" s="49" t="str">
        <f t="shared" si="58"/>
        <v/>
      </c>
      <c r="AA963" s="50" t="str">
        <f t="shared" si="61"/>
        <v/>
      </c>
      <c r="AB963" s="48" t="str">
        <f t="shared" si="61"/>
        <v/>
      </c>
      <c r="AC963" s="48" t="str">
        <f t="shared" si="61"/>
        <v/>
      </c>
      <c r="AD963" s="48" t="str">
        <f t="shared" si="61"/>
        <v/>
      </c>
      <c r="AE963" s="48" t="str">
        <f t="shared" si="59"/>
        <v/>
      </c>
    </row>
    <row r="964" spans="1:31" x14ac:dyDescent="0.25">
      <c r="A964" s="2"/>
      <c r="B964" s="2"/>
      <c r="C964" s="2"/>
      <c r="D964" s="2" t="str">
        <f>IF(ISBLANK(C964),"",VLOOKUP(C964,configuration!$G$7:$H$10,2,FALSE))</f>
        <v/>
      </c>
      <c r="E964" s="2"/>
      <c r="F964" s="2"/>
      <c r="G964" s="2"/>
      <c r="H964" s="2" t="str">
        <f>IF(ISBLANK(G964),"",VLOOKUP(G964,configuration!$J$7:$K$10,2,FALSE))</f>
        <v/>
      </c>
      <c r="I964" s="30"/>
      <c r="J964" s="2"/>
      <c r="K964" s="31"/>
      <c r="L964" s="35"/>
      <c r="M964" s="2" t="str">
        <f>IF(ISBLANK(L964),"",VLOOKUP(L964,configuration!$M$7:$N$10,2,FALSE))</f>
        <v/>
      </c>
      <c r="N964" s="30"/>
      <c r="O964" s="2"/>
      <c r="P964" s="31"/>
      <c r="Q964" s="54"/>
      <c r="R964" s="55" t="str">
        <f>IF(ISBLANK(Q964),"",VLOOKUP(Q964,configuration!$P$7:$Q$10,2,FALSE))</f>
        <v/>
      </c>
      <c r="S964" s="56"/>
      <c r="T964" s="55"/>
      <c r="U964" s="78"/>
      <c r="V964" s="76" t="str">
        <f t="shared" si="60"/>
        <v/>
      </c>
      <c r="W964" s="48" t="str">
        <f t="shared" si="60"/>
        <v/>
      </c>
      <c r="X964" s="48" t="str">
        <f t="shared" si="60"/>
        <v/>
      </c>
      <c r="Y964" s="48" t="str">
        <f t="shared" si="60"/>
        <v/>
      </c>
      <c r="Z964" s="49" t="str">
        <f t="shared" si="58"/>
        <v/>
      </c>
      <c r="AA964" s="50" t="str">
        <f t="shared" si="61"/>
        <v/>
      </c>
      <c r="AB964" s="48" t="str">
        <f t="shared" si="61"/>
        <v/>
      </c>
      <c r="AC964" s="48" t="str">
        <f t="shared" si="61"/>
        <v/>
      </c>
      <c r="AD964" s="48" t="str">
        <f t="shared" si="61"/>
        <v/>
      </c>
      <c r="AE964" s="48" t="str">
        <f t="shared" si="59"/>
        <v/>
      </c>
    </row>
    <row r="965" spans="1:31" x14ac:dyDescent="0.25">
      <c r="A965" s="2"/>
      <c r="B965" s="2"/>
      <c r="C965" s="2"/>
      <c r="D965" s="2" t="str">
        <f>IF(ISBLANK(C965),"",VLOOKUP(C965,configuration!$G$7:$H$10,2,FALSE))</f>
        <v/>
      </c>
      <c r="E965" s="2"/>
      <c r="F965" s="2"/>
      <c r="G965" s="2"/>
      <c r="H965" s="2" t="str">
        <f>IF(ISBLANK(G965),"",VLOOKUP(G965,configuration!$J$7:$K$10,2,FALSE))</f>
        <v/>
      </c>
      <c r="I965" s="30"/>
      <c r="J965" s="2"/>
      <c r="K965" s="31"/>
      <c r="L965" s="35"/>
      <c r="M965" s="2" t="str">
        <f>IF(ISBLANK(L965),"",VLOOKUP(L965,configuration!$M$7:$N$10,2,FALSE))</f>
        <v/>
      </c>
      <c r="N965" s="30"/>
      <c r="O965" s="2"/>
      <c r="P965" s="31"/>
      <c r="Q965" s="54"/>
      <c r="R965" s="55" t="str">
        <f>IF(ISBLANK(Q965),"",VLOOKUP(Q965,configuration!$P$7:$Q$10,2,FALSE))</f>
        <v/>
      </c>
      <c r="S965" s="56"/>
      <c r="T965" s="55"/>
      <c r="U965" s="78"/>
      <c r="V965" s="76" t="str">
        <f t="shared" si="60"/>
        <v/>
      </c>
      <c r="W965" s="48" t="str">
        <f t="shared" si="60"/>
        <v/>
      </c>
      <c r="X965" s="48" t="str">
        <f t="shared" si="60"/>
        <v/>
      </c>
      <c r="Y965" s="48" t="str">
        <f t="shared" si="60"/>
        <v/>
      </c>
      <c r="Z965" s="49" t="str">
        <f t="shared" si="58"/>
        <v/>
      </c>
      <c r="AA965" s="50" t="str">
        <f t="shared" si="61"/>
        <v/>
      </c>
      <c r="AB965" s="48" t="str">
        <f t="shared" si="61"/>
        <v/>
      </c>
      <c r="AC965" s="48" t="str">
        <f t="shared" si="61"/>
        <v/>
      </c>
      <c r="AD965" s="48" t="str">
        <f t="shared" si="61"/>
        <v/>
      </c>
      <c r="AE965" s="48" t="str">
        <f t="shared" si="59"/>
        <v/>
      </c>
    </row>
    <row r="966" spans="1:31" x14ac:dyDescent="0.25">
      <c r="A966" s="2"/>
      <c r="B966" s="2"/>
      <c r="C966" s="2"/>
      <c r="D966" s="2" t="str">
        <f>IF(ISBLANK(C966),"",VLOOKUP(C966,configuration!$G$7:$H$10,2,FALSE))</f>
        <v/>
      </c>
      <c r="E966" s="2"/>
      <c r="F966" s="2"/>
      <c r="G966" s="2"/>
      <c r="H966" s="2" t="str">
        <f>IF(ISBLANK(G966),"",VLOOKUP(G966,configuration!$J$7:$K$10,2,FALSE))</f>
        <v/>
      </c>
      <c r="I966" s="30"/>
      <c r="J966" s="2"/>
      <c r="K966" s="31"/>
      <c r="L966" s="35"/>
      <c r="M966" s="2" t="str">
        <f>IF(ISBLANK(L966),"",VLOOKUP(L966,configuration!$M$7:$N$10,2,FALSE))</f>
        <v/>
      </c>
      <c r="N966" s="30"/>
      <c r="O966" s="2"/>
      <c r="P966" s="31"/>
      <c r="Q966" s="54"/>
      <c r="R966" s="55" t="str">
        <f>IF(ISBLANK(Q966),"",VLOOKUP(Q966,configuration!$P$7:$Q$10,2,FALSE))</f>
        <v/>
      </c>
      <c r="S966" s="56"/>
      <c r="T966" s="55"/>
      <c r="U966" s="78"/>
      <c r="V966" s="76" t="str">
        <f t="shared" si="60"/>
        <v/>
      </c>
      <c r="W966" s="48" t="str">
        <f t="shared" si="60"/>
        <v/>
      </c>
      <c r="X966" s="48" t="str">
        <f t="shared" si="60"/>
        <v/>
      </c>
      <c r="Y966" s="48" t="str">
        <f t="shared" si="60"/>
        <v/>
      </c>
      <c r="Z966" s="49" t="str">
        <f t="shared" ref="Z966:Z1001" si="62">IF(AND($G966="",A966&lt;&gt;""),1,"")</f>
        <v/>
      </c>
      <c r="AA966" s="50" t="str">
        <f t="shared" si="61"/>
        <v/>
      </c>
      <c r="AB966" s="48" t="str">
        <f t="shared" si="61"/>
        <v/>
      </c>
      <c r="AC966" s="48" t="str">
        <f t="shared" si="61"/>
        <v/>
      </c>
      <c r="AD966" s="48" t="str">
        <f t="shared" si="61"/>
        <v/>
      </c>
      <c r="AE966" s="48" t="str">
        <f t="shared" ref="AE966:AE1001" si="63">IF(AND($L966="",A966&lt;&gt;""),1,"")</f>
        <v/>
      </c>
    </row>
    <row r="967" spans="1:31" x14ac:dyDescent="0.25">
      <c r="A967" s="2"/>
      <c r="B967" s="2"/>
      <c r="C967" s="2"/>
      <c r="D967" s="2" t="str">
        <f>IF(ISBLANK(C967),"",VLOOKUP(C967,configuration!$G$7:$H$10,2,FALSE))</f>
        <v/>
      </c>
      <c r="E967" s="2"/>
      <c r="F967" s="2"/>
      <c r="G967" s="2"/>
      <c r="H967" s="2" t="str">
        <f>IF(ISBLANK(G967),"",VLOOKUP(G967,configuration!$J$7:$K$10,2,FALSE))</f>
        <v/>
      </c>
      <c r="I967" s="30"/>
      <c r="J967" s="2"/>
      <c r="K967" s="31"/>
      <c r="L967" s="35"/>
      <c r="M967" s="2" t="str">
        <f>IF(ISBLANK(L967),"",VLOOKUP(L967,configuration!$M$7:$N$10,2,FALSE))</f>
        <v/>
      </c>
      <c r="N967" s="30"/>
      <c r="O967" s="2"/>
      <c r="P967" s="31"/>
      <c r="Q967" s="54"/>
      <c r="R967" s="55" t="str">
        <f>IF(ISBLANK(Q967),"",VLOOKUP(Q967,configuration!$P$7:$Q$10,2,FALSE))</f>
        <v/>
      </c>
      <c r="S967" s="56"/>
      <c r="T967" s="55"/>
      <c r="U967" s="78"/>
      <c r="V967" s="76" t="str">
        <f t="shared" si="60"/>
        <v/>
      </c>
      <c r="W967" s="48" t="str">
        <f t="shared" si="60"/>
        <v/>
      </c>
      <c r="X967" s="48" t="str">
        <f t="shared" si="60"/>
        <v/>
      </c>
      <c r="Y967" s="48" t="str">
        <f t="shared" si="60"/>
        <v/>
      </c>
      <c r="Z967" s="49" t="str">
        <f t="shared" si="62"/>
        <v/>
      </c>
      <c r="AA967" s="50" t="str">
        <f t="shared" si="61"/>
        <v/>
      </c>
      <c r="AB967" s="48" t="str">
        <f t="shared" si="61"/>
        <v/>
      </c>
      <c r="AC967" s="48" t="str">
        <f t="shared" si="61"/>
        <v/>
      </c>
      <c r="AD967" s="48" t="str">
        <f t="shared" si="61"/>
        <v/>
      </c>
      <c r="AE967" s="48" t="str">
        <f t="shared" si="63"/>
        <v/>
      </c>
    </row>
    <row r="968" spans="1:31" x14ac:dyDescent="0.25">
      <c r="A968" s="2"/>
      <c r="B968" s="2"/>
      <c r="C968" s="2"/>
      <c r="D968" s="2" t="str">
        <f>IF(ISBLANK(C968),"",VLOOKUP(C968,configuration!$G$7:$H$10,2,FALSE))</f>
        <v/>
      </c>
      <c r="E968" s="2"/>
      <c r="F968" s="2"/>
      <c r="G968" s="2"/>
      <c r="H968" s="2" t="str">
        <f>IF(ISBLANK(G968),"",VLOOKUP(G968,configuration!$J$7:$K$10,2,FALSE))</f>
        <v/>
      </c>
      <c r="I968" s="30"/>
      <c r="J968" s="2"/>
      <c r="K968" s="31"/>
      <c r="L968" s="35"/>
      <c r="M968" s="2" t="str">
        <f>IF(ISBLANK(L968),"",VLOOKUP(L968,configuration!$M$7:$N$10,2,FALSE))</f>
        <v/>
      </c>
      <c r="N968" s="30"/>
      <c r="O968" s="2"/>
      <c r="P968" s="31"/>
      <c r="Q968" s="54"/>
      <c r="R968" s="55" t="str">
        <f>IF(ISBLANK(Q968),"",VLOOKUP(Q968,configuration!$P$7:$Q$10,2,FALSE))</f>
        <v/>
      </c>
      <c r="S968" s="56"/>
      <c r="T968" s="55"/>
      <c r="U968" s="78"/>
      <c r="V968" s="76" t="str">
        <f t="shared" si="60"/>
        <v/>
      </c>
      <c r="W968" s="48" t="str">
        <f t="shared" si="60"/>
        <v/>
      </c>
      <c r="X968" s="48" t="str">
        <f t="shared" si="60"/>
        <v/>
      </c>
      <c r="Y968" s="48" t="str">
        <f t="shared" si="60"/>
        <v/>
      </c>
      <c r="Z968" s="49" t="str">
        <f t="shared" si="62"/>
        <v/>
      </c>
      <c r="AA968" s="50" t="str">
        <f t="shared" si="61"/>
        <v/>
      </c>
      <c r="AB968" s="48" t="str">
        <f t="shared" si="61"/>
        <v/>
      </c>
      <c r="AC968" s="48" t="str">
        <f t="shared" si="61"/>
        <v/>
      </c>
      <c r="AD968" s="48" t="str">
        <f t="shared" si="61"/>
        <v/>
      </c>
      <c r="AE968" s="48" t="str">
        <f t="shared" si="63"/>
        <v/>
      </c>
    </row>
    <row r="969" spans="1:31" x14ac:dyDescent="0.25">
      <c r="A969" s="2"/>
      <c r="B969" s="2"/>
      <c r="C969" s="2"/>
      <c r="D969" s="2" t="str">
        <f>IF(ISBLANK(C969),"",VLOOKUP(C969,configuration!$G$7:$H$10,2,FALSE))</f>
        <v/>
      </c>
      <c r="E969" s="2"/>
      <c r="F969" s="2"/>
      <c r="G969" s="2"/>
      <c r="H969" s="2" t="str">
        <f>IF(ISBLANK(G969),"",VLOOKUP(G969,configuration!$J$7:$K$10,2,FALSE))</f>
        <v/>
      </c>
      <c r="I969" s="30"/>
      <c r="J969" s="2"/>
      <c r="K969" s="31"/>
      <c r="L969" s="35"/>
      <c r="M969" s="2" t="str">
        <f>IF(ISBLANK(L969),"",VLOOKUP(L969,configuration!$M$7:$N$10,2,FALSE))</f>
        <v/>
      </c>
      <c r="N969" s="30"/>
      <c r="O969" s="2"/>
      <c r="P969" s="31"/>
      <c r="Q969" s="54"/>
      <c r="R969" s="55" t="str">
        <f>IF(ISBLANK(Q969),"",VLOOKUP(Q969,configuration!$P$7:$Q$10,2,FALSE))</f>
        <v/>
      </c>
      <c r="S969" s="56"/>
      <c r="T969" s="55"/>
      <c r="U969" s="78"/>
      <c r="V969" s="76" t="str">
        <f t="shared" si="60"/>
        <v/>
      </c>
      <c r="W969" s="48" t="str">
        <f t="shared" si="60"/>
        <v/>
      </c>
      <c r="X969" s="48" t="str">
        <f t="shared" si="60"/>
        <v/>
      </c>
      <c r="Y969" s="48" t="str">
        <f t="shared" si="60"/>
        <v/>
      </c>
      <c r="Z969" s="49" t="str">
        <f t="shared" si="62"/>
        <v/>
      </c>
      <c r="AA969" s="50" t="str">
        <f t="shared" si="61"/>
        <v/>
      </c>
      <c r="AB969" s="48" t="str">
        <f t="shared" si="61"/>
        <v/>
      </c>
      <c r="AC969" s="48" t="str">
        <f t="shared" si="61"/>
        <v/>
      </c>
      <c r="AD969" s="48" t="str">
        <f t="shared" si="61"/>
        <v/>
      </c>
      <c r="AE969" s="48" t="str">
        <f t="shared" si="63"/>
        <v/>
      </c>
    </row>
    <row r="970" spans="1:31" x14ac:dyDescent="0.25">
      <c r="A970" s="2"/>
      <c r="B970" s="2"/>
      <c r="C970" s="2"/>
      <c r="D970" s="2" t="str">
        <f>IF(ISBLANK(C970),"",VLOOKUP(C970,configuration!$G$7:$H$10,2,FALSE))</f>
        <v/>
      </c>
      <c r="E970" s="2"/>
      <c r="F970" s="2"/>
      <c r="G970" s="2"/>
      <c r="H970" s="2" t="str">
        <f>IF(ISBLANK(G970),"",VLOOKUP(G970,configuration!$J$7:$K$10,2,FALSE))</f>
        <v/>
      </c>
      <c r="I970" s="30"/>
      <c r="J970" s="2"/>
      <c r="K970" s="31"/>
      <c r="L970" s="35"/>
      <c r="M970" s="2" t="str">
        <f>IF(ISBLANK(L970),"",VLOOKUP(L970,configuration!$M$7:$N$10,2,FALSE))</f>
        <v/>
      </c>
      <c r="N970" s="30"/>
      <c r="O970" s="2"/>
      <c r="P970" s="31"/>
      <c r="Q970" s="54"/>
      <c r="R970" s="55" t="str">
        <f>IF(ISBLANK(Q970),"",VLOOKUP(Q970,configuration!$P$7:$Q$10,2,FALSE))</f>
        <v/>
      </c>
      <c r="S970" s="56"/>
      <c r="T970" s="55"/>
      <c r="U970" s="78"/>
      <c r="V970" s="76" t="str">
        <f t="shared" si="60"/>
        <v/>
      </c>
      <c r="W970" s="48" t="str">
        <f t="shared" si="60"/>
        <v/>
      </c>
      <c r="X970" s="48" t="str">
        <f t="shared" si="60"/>
        <v/>
      </c>
      <c r="Y970" s="48" t="str">
        <f t="shared" si="60"/>
        <v/>
      </c>
      <c r="Z970" s="49" t="str">
        <f t="shared" si="62"/>
        <v/>
      </c>
      <c r="AA970" s="50" t="str">
        <f t="shared" si="61"/>
        <v/>
      </c>
      <c r="AB970" s="48" t="str">
        <f t="shared" si="61"/>
        <v/>
      </c>
      <c r="AC970" s="48" t="str">
        <f t="shared" si="61"/>
        <v/>
      </c>
      <c r="AD970" s="48" t="str">
        <f t="shared" si="61"/>
        <v/>
      </c>
      <c r="AE970" s="48" t="str">
        <f t="shared" si="63"/>
        <v/>
      </c>
    </row>
    <row r="971" spans="1:31" x14ac:dyDescent="0.25">
      <c r="A971" s="2"/>
      <c r="B971" s="2"/>
      <c r="C971" s="2"/>
      <c r="D971" s="2" t="str">
        <f>IF(ISBLANK(C971),"",VLOOKUP(C971,configuration!$G$7:$H$10,2,FALSE))</f>
        <v/>
      </c>
      <c r="E971" s="2"/>
      <c r="F971" s="2"/>
      <c r="G971" s="2"/>
      <c r="H971" s="2" t="str">
        <f>IF(ISBLANK(G971),"",VLOOKUP(G971,configuration!$J$7:$K$10,2,FALSE))</f>
        <v/>
      </c>
      <c r="I971" s="30"/>
      <c r="J971" s="2"/>
      <c r="K971" s="31"/>
      <c r="L971" s="35"/>
      <c r="M971" s="2" t="str">
        <f>IF(ISBLANK(L971),"",VLOOKUP(L971,configuration!$M$7:$N$10,2,FALSE))</f>
        <v/>
      </c>
      <c r="N971" s="30"/>
      <c r="O971" s="2"/>
      <c r="P971" s="31"/>
      <c r="Q971" s="54"/>
      <c r="R971" s="55" t="str">
        <f>IF(ISBLANK(Q971),"",VLOOKUP(Q971,configuration!$P$7:$Q$10,2,FALSE))</f>
        <v/>
      </c>
      <c r="S971" s="56"/>
      <c r="T971" s="55"/>
      <c r="U971" s="78"/>
      <c r="V971" s="76" t="str">
        <f t="shared" si="60"/>
        <v/>
      </c>
      <c r="W971" s="48" t="str">
        <f t="shared" si="60"/>
        <v/>
      </c>
      <c r="X971" s="48" t="str">
        <f t="shared" si="60"/>
        <v/>
      </c>
      <c r="Y971" s="48" t="str">
        <f t="shared" si="60"/>
        <v/>
      </c>
      <c r="Z971" s="49" t="str">
        <f t="shared" si="62"/>
        <v/>
      </c>
      <c r="AA971" s="50" t="str">
        <f t="shared" si="61"/>
        <v/>
      </c>
      <c r="AB971" s="48" t="str">
        <f t="shared" si="61"/>
        <v/>
      </c>
      <c r="AC971" s="48" t="str">
        <f t="shared" si="61"/>
        <v/>
      </c>
      <c r="AD971" s="48" t="str">
        <f t="shared" si="61"/>
        <v/>
      </c>
      <c r="AE971" s="48" t="str">
        <f t="shared" si="63"/>
        <v/>
      </c>
    </row>
    <row r="972" spans="1:31" x14ac:dyDescent="0.25">
      <c r="A972" s="2"/>
      <c r="B972" s="2"/>
      <c r="C972" s="2"/>
      <c r="D972" s="2" t="str">
        <f>IF(ISBLANK(C972),"",VLOOKUP(C972,configuration!$G$7:$H$10,2,FALSE))</f>
        <v/>
      </c>
      <c r="E972" s="2"/>
      <c r="F972" s="2"/>
      <c r="G972" s="2"/>
      <c r="H972" s="2" t="str">
        <f>IF(ISBLANK(G972),"",VLOOKUP(G972,configuration!$J$7:$K$10,2,FALSE))</f>
        <v/>
      </c>
      <c r="I972" s="30"/>
      <c r="J972" s="2"/>
      <c r="K972" s="31"/>
      <c r="L972" s="35"/>
      <c r="M972" s="2" t="str">
        <f>IF(ISBLANK(L972),"",VLOOKUP(L972,configuration!$M$7:$N$10,2,FALSE))</f>
        <v/>
      </c>
      <c r="N972" s="30"/>
      <c r="O972" s="2"/>
      <c r="P972" s="31"/>
      <c r="Q972" s="54"/>
      <c r="R972" s="55" t="str">
        <f>IF(ISBLANK(Q972),"",VLOOKUP(Q972,configuration!$P$7:$Q$10,2,FALSE))</f>
        <v/>
      </c>
      <c r="S972" s="56"/>
      <c r="T972" s="55"/>
      <c r="U972" s="78"/>
      <c r="V972" s="76" t="str">
        <f t="shared" si="60"/>
        <v/>
      </c>
      <c r="W972" s="48" t="str">
        <f t="shared" si="60"/>
        <v/>
      </c>
      <c r="X972" s="48" t="str">
        <f t="shared" si="60"/>
        <v/>
      </c>
      <c r="Y972" s="48" t="str">
        <f t="shared" si="60"/>
        <v/>
      </c>
      <c r="Z972" s="49" t="str">
        <f t="shared" si="62"/>
        <v/>
      </c>
      <c r="AA972" s="50" t="str">
        <f t="shared" si="61"/>
        <v/>
      </c>
      <c r="AB972" s="48" t="str">
        <f t="shared" si="61"/>
        <v/>
      </c>
      <c r="AC972" s="48" t="str">
        <f t="shared" si="61"/>
        <v/>
      </c>
      <c r="AD972" s="48" t="str">
        <f t="shared" si="61"/>
        <v/>
      </c>
      <c r="AE972" s="48" t="str">
        <f t="shared" si="63"/>
        <v/>
      </c>
    </row>
    <row r="973" spans="1:31" x14ac:dyDescent="0.25">
      <c r="A973" s="2"/>
      <c r="B973" s="2"/>
      <c r="C973" s="2"/>
      <c r="D973" s="2" t="str">
        <f>IF(ISBLANK(C973),"",VLOOKUP(C973,configuration!$G$7:$H$10,2,FALSE))</f>
        <v/>
      </c>
      <c r="E973" s="2"/>
      <c r="F973" s="2"/>
      <c r="G973" s="2"/>
      <c r="H973" s="2" t="str">
        <f>IF(ISBLANK(G973),"",VLOOKUP(G973,configuration!$J$7:$K$10,2,FALSE))</f>
        <v/>
      </c>
      <c r="I973" s="30"/>
      <c r="J973" s="2"/>
      <c r="K973" s="31"/>
      <c r="L973" s="35"/>
      <c r="M973" s="2" t="str">
        <f>IF(ISBLANK(L973),"",VLOOKUP(L973,configuration!$M$7:$N$10,2,FALSE))</f>
        <v/>
      </c>
      <c r="N973" s="30"/>
      <c r="O973" s="2"/>
      <c r="P973" s="31"/>
      <c r="Q973" s="54"/>
      <c r="R973" s="55" t="str">
        <f>IF(ISBLANK(Q973),"",VLOOKUP(Q973,configuration!$P$7:$Q$10,2,FALSE))</f>
        <v/>
      </c>
      <c r="S973" s="56"/>
      <c r="T973" s="55"/>
      <c r="U973" s="78"/>
      <c r="V973" s="76" t="str">
        <f t="shared" si="60"/>
        <v/>
      </c>
      <c r="W973" s="48" t="str">
        <f t="shared" si="60"/>
        <v/>
      </c>
      <c r="X973" s="48" t="str">
        <f t="shared" si="60"/>
        <v/>
      </c>
      <c r="Y973" s="48" t="str">
        <f t="shared" si="60"/>
        <v/>
      </c>
      <c r="Z973" s="49" t="str">
        <f t="shared" si="62"/>
        <v/>
      </c>
      <c r="AA973" s="50" t="str">
        <f t="shared" si="61"/>
        <v/>
      </c>
      <c r="AB973" s="48" t="str">
        <f t="shared" si="61"/>
        <v/>
      </c>
      <c r="AC973" s="48" t="str">
        <f t="shared" si="61"/>
        <v/>
      </c>
      <c r="AD973" s="48" t="str">
        <f t="shared" si="61"/>
        <v/>
      </c>
      <c r="AE973" s="48" t="str">
        <f t="shared" si="63"/>
        <v/>
      </c>
    </row>
    <row r="974" spans="1:31" x14ac:dyDescent="0.25">
      <c r="A974" s="2"/>
      <c r="B974" s="2"/>
      <c r="C974" s="2"/>
      <c r="D974" s="2" t="str">
        <f>IF(ISBLANK(C974),"",VLOOKUP(C974,configuration!$G$7:$H$10,2,FALSE))</f>
        <v/>
      </c>
      <c r="E974" s="2"/>
      <c r="F974" s="2"/>
      <c r="G974" s="2"/>
      <c r="H974" s="2" t="str">
        <f>IF(ISBLANK(G974),"",VLOOKUP(G974,configuration!$J$7:$K$10,2,FALSE))</f>
        <v/>
      </c>
      <c r="I974" s="30"/>
      <c r="J974" s="2"/>
      <c r="K974" s="31"/>
      <c r="L974" s="35"/>
      <c r="M974" s="2" t="str">
        <f>IF(ISBLANK(L974),"",VLOOKUP(L974,configuration!$M$7:$N$10,2,FALSE))</f>
        <v/>
      </c>
      <c r="N974" s="30"/>
      <c r="O974" s="2"/>
      <c r="P974" s="31"/>
      <c r="Q974" s="54"/>
      <c r="R974" s="55" t="str">
        <f>IF(ISBLANK(Q974),"",VLOOKUP(Q974,configuration!$P$7:$Q$10,2,FALSE))</f>
        <v/>
      </c>
      <c r="S974" s="56"/>
      <c r="T974" s="55"/>
      <c r="U974" s="78"/>
      <c r="V974" s="76" t="str">
        <f t="shared" si="60"/>
        <v/>
      </c>
      <c r="W974" s="48" t="str">
        <f t="shared" si="60"/>
        <v/>
      </c>
      <c r="X974" s="48" t="str">
        <f t="shared" si="60"/>
        <v/>
      </c>
      <c r="Y974" s="48" t="str">
        <f t="shared" si="60"/>
        <v/>
      </c>
      <c r="Z974" s="49" t="str">
        <f t="shared" si="62"/>
        <v/>
      </c>
      <c r="AA974" s="50" t="str">
        <f t="shared" si="61"/>
        <v/>
      </c>
      <c r="AB974" s="48" t="str">
        <f t="shared" si="61"/>
        <v/>
      </c>
      <c r="AC974" s="48" t="str">
        <f t="shared" si="61"/>
        <v/>
      </c>
      <c r="AD974" s="48" t="str">
        <f t="shared" si="61"/>
        <v/>
      </c>
      <c r="AE974" s="48" t="str">
        <f t="shared" si="63"/>
        <v/>
      </c>
    </row>
    <row r="975" spans="1:31" x14ac:dyDescent="0.25">
      <c r="A975" s="2"/>
      <c r="B975" s="2"/>
      <c r="C975" s="2"/>
      <c r="D975" s="2" t="str">
        <f>IF(ISBLANK(C975),"",VLOOKUP(C975,configuration!$G$7:$H$10,2,FALSE))</f>
        <v/>
      </c>
      <c r="E975" s="2"/>
      <c r="F975" s="2"/>
      <c r="G975" s="2"/>
      <c r="H975" s="2" t="str">
        <f>IF(ISBLANK(G975),"",VLOOKUP(G975,configuration!$J$7:$K$10,2,FALSE))</f>
        <v/>
      </c>
      <c r="I975" s="30"/>
      <c r="J975" s="2"/>
      <c r="K975" s="31"/>
      <c r="L975" s="35"/>
      <c r="M975" s="2" t="str">
        <f>IF(ISBLANK(L975),"",VLOOKUP(L975,configuration!$M$7:$N$10,2,FALSE))</f>
        <v/>
      </c>
      <c r="N975" s="30"/>
      <c r="O975" s="2"/>
      <c r="P975" s="31"/>
      <c r="Q975" s="54"/>
      <c r="R975" s="55" t="str">
        <f>IF(ISBLANK(Q975),"",VLOOKUP(Q975,configuration!$P$7:$Q$10,2,FALSE))</f>
        <v/>
      </c>
      <c r="S975" s="56"/>
      <c r="T975" s="55"/>
      <c r="U975" s="78"/>
      <c r="V975" s="76" t="str">
        <f t="shared" ref="V975:Y1001" si="64">IF($G975=V$4,1,"")</f>
        <v/>
      </c>
      <c r="W975" s="48" t="str">
        <f t="shared" si="64"/>
        <v/>
      </c>
      <c r="X975" s="48" t="str">
        <f t="shared" si="64"/>
        <v/>
      </c>
      <c r="Y975" s="48" t="str">
        <f t="shared" si="64"/>
        <v/>
      </c>
      <c r="Z975" s="49" t="str">
        <f t="shared" si="62"/>
        <v/>
      </c>
      <c r="AA975" s="50" t="str">
        <f t="shared" ref="AA975:AD1001" si="65">IF($L975=AA$4,1,"")</f>
        <v/>
      </c>
      <c r="AB975" s="48" t="str">
        <f t="shared" si="65"/>
        <v/>
      </c>
      <c r="AC975" s="48" t="str">
        <f t="shared" si="65"/>
        <v/>
      </c>
      <c r="AD975" s="48" t="str">
        <f t="shared" si="65"/>
        <v/>
      </c>
      <c r="AE975" s="48" t="str">
        <f t="shared" si="63"/>
        <v/>
      </c>
    </row>
    <row r="976" spans="1:31" x14ac:dyDescent="0.25">
      <c r="A976" s="2"/>
      <c r="B976" s="2"/>
      <c r="C976" s="2"/>
      <c r="D976" s="2" t="str">
        <f>IF(ISBLANK(C976),"",VLOOKUP(C976,configuration!$G$7:$H$10,2,FALSE))</f>
        <v/>
      </c>
      <c r="E976" s="2"/>
      <c r="F976" s="2"/>
      <c r="G976" s="2"/>
      <c r="H976" s="2" t="str">
        <f>IF(ISBLANK(G976),"",VLOOKUP(G976,configuration!$J$7:$K$10,2,FALSE))</f>
        <v/>
      </c>
      <c r="I976" s="30"/>
      <c r="J976" s="2"/>
      <c r="K976" s="31"/>
      <c r="L976" s="35"/>
      <c r="M976" s="2" t="str">
        <f>IF(ISBLANK(L976),"",VLOOKUP(L976,configuration!$M$7:$N$10,2,FALSE))</f>
        <v/>
      </c>
      <c r="N976" s="30"/>
      <c r="O976" s="2"/>
      <c r="P976" s="31"/>
      <c r="Q976" s="54"/>
      <c r="R976" s="55" t="str">
        <f>IF(ISBLANK(Q976),"",VLOOKUP(Q976,configuration!$P$7:$Q$10,2,FALSE))</f>
        <v/>
      </c>
      <c r="S976" s="56"/>
      <c r="T976" s="55"/>
      <c r="U976" s="78"/>
      <c r="V976" s="76" t="str">
        <f t="shared" si="64"/>
        <v/>
      </c>
      <c r="W976" s="48" t="str">
        <f t="shared" si="64"/>
        <v/>
      </c>
      <c r="X976" s="48" t="str">
        <f t="shared" si="64"/>
        <v/>
      </c>
      <c r="Y976" s="48" t="str">
        <f t="shared" si="64"/>
        <v/>
      </c>
      <c r="Z976" s="49" t="str">
        <f t="shared" si="62"/>
        <v/>
      </c>
      <c r="AA976" s="50" t="str">
        <f t="shared" si="65"/>
        <v/>
      </c>
      <c r="AB976" s="48" t="str">
        <f t="shared" si="65"/>
        <v/>
      </c>
      <c r="AC976" s="48" t="str">
        <f t="shared" si="65"/>
        <v/>
      </c>
      <c r="AD976" s="48" t="str">
        <f t="shared" si="65"/>
        <v/>
      </c>
      <c r="AE976" s="48" t="str">
        <f t="shared" si="63"/>
        <v/>
      </c>
    </row>
    <row r="977" spans="1:31" x14ac:dyDescent="0.25">
      <c r="A977" s="2"/>
      <c r="B977" s="2"/>
      <c r="C977" s="2"/>
      <c r="D977" s="2" t="str">
        <f>IF(ISBLANK(C977),"",VLOOKUP(C977,configuration!$G$7:$H$10,2,FALSE))</f>
        <v/>
      </c>
      <c r="E977" s="2"/>
      <c r="F977" s="2"/>
      <c r="G977" s="2"/>
      <c r="H977" s="2" t="str">
        <f>IF(ISBLANK(G977),"",VLOOKUP(G977,configuration!$J$7:$K$10,2,FALSE))</f>
        <v/>
      </c>
      <c r="I977" s="30"/>
      <c r="J977" s="2"/>
      <c r="K977" s="31"/>
      <c r="L977" s="35"/>
      <c r="M977" s="2" t="str">
        <f>IF(ISBLANK(L977),"",VLOOKUP(L977,configuration!$M$7:$N$10,2,FALSE))</f>
        <v/>
      </c>
      <c r="N977" s="30"/>
      <c r="O977" s="2"/>
      <c r="P977" s="31"/>
      <c r="Q977" s="54"/>
      <c r="R977" s="55" t="str">
        <f>IF(ISBLANK(Q977),"",VLOOKUP(Q977,configuration!$P$7:$Q$10,2,FALSE))</f>
        <v/>
      </c>
      <c r="S977" s="56"/>
      <c r="T977" s="55"/>
      <c r="U977" s="78"/>
      <c r="V977" s="76" t="str">
        <f t="shared" si="64"/>
        <v/>
      </c>
      <c r="W977" s="48" t="str">
        <f t="shared" si="64"/>
        <v/>
      </c>
      <c r="X977" s="48" t="str">
        <f t="shared" si="64"/>
        <v/>
      </c>
      <c r="Y977" s="48" t="str">
        <f t="shared" si="64"/>
        <v/>
      </c>
      <c r="Z977" s="49" t="str">
        <f t="shared" si="62"/>
        <v/>
      </c>
      <c r="AA977" s="50" t="str">
        <f t="shared" si="65"/>
        <v/>
      </c>
      <c r="AB977" s="48" t="str">
        <f t="shared" si="65"/>
        <v/>
      </c>
      <c r="AC977" s="48" t="str">
        <f t="shared" si="65"/>
        <v/>
      </c>
      <c r="AD977" s="48" t="str">
        <f t="shared" si="65"/>
        <v/>
      </c>
      <c r="AE977" s="48" t="str">
        <f t="shared" si="63"/>
        <v/>
      </c>
    </row>
    <row r="978" spans="1:31" x14ac:dyDescent="0.25">
      <c r="A978" s="2"/>
      <c r="B978" s="2"/>
      <c r="C978" s="2"/>
      <c r="D978" s="2" t="str">
        <f>IF(ISBLANK(C978),"",VLOOKUP(C978,configuration!$G$7:$H$10,2,FALSE))</f>
        <v/>
      </c>
      <c r="E978" s="2"/>
      <c r="F978" s="2"/>
      <c r="G978" s="2"/>
      <c r="H978" s="2" t="str">
        <f>IF(ISBLANK(G978),"",VLOOKUP(G978,configuration!$J$7:$K$10,2,FALSE))</f>
        <v/>
      </c>
      <c r="I978" s="30"/>
      <c r="J978" s="2"/>
      <c r="K978" s="31"/>
      <c r="L978" s="35"/>
      <c r="M978" s="2" t="str">
        <f>IF(ISBLANK(L978),"",VLOOKUP(L978,configuration!$M$7:$N$10,2,FALSE))</f>
        <v/>
      </c>
      <c r="N978" s="30"/>
      <c r="O978" s="2"/>
      <c r="P978" s="31"/>
      <c r="Q978" s="54"/>
      <c r="R978" s="55" t="str">
        <f>IF(ISBLANK(Q978),"",VLOOKUP(Q978,configuration!$P$7:$Q$10,2,FALSE))</f>
        <v/>
      </c>
      <c r="S978" s="56"/>
      <c r="T978" s="55"/>
      <c r="U978" s="78"/>
      <c r="V978" s="76" t="str">
        <f t="shared" si="64"/>
        <v/>
      </c>
      <c r="W978" s="48" t="str">
        <f t="shared" si="64"/>
        <v/>
      </c>
      <c r="X978" s="48" t="str">
        <f t="shared" si="64"/>
        <v/>
      </c>
      <c r="Y978" s="48" t="str">
        <f t="shared" si="64"/>
        <v/>
      </c>
      <c r="Z978" s="49" t="str">
        <f t="shared" si="62"/>
        <v/>
      </c>
      <c r="AA978" s="50" t="str">
        <f t="shared" si="65"/>
        <v/>
      </c>
      <c r="AB978" s="48" t="str">
        <f t="shared" si="65"/>
        <v/>
      </c>
      <c r="AC978" s="48" t="str">
        <f t="shared" si="65"/>
        <v/>
      </c>
      <c r="AD978" s="48" t="str">
        <f t="shared" si="65"/>
        <v/>
      </c>
      <c r="AE978" s="48" t="str">
        <f t="shared" si="63"/>
        <v/>
      </c>
    </row>
    <row r="979" spans="1:31" x14ac:dyDescent="0.25">
      <c r="A979" s="2"/>
      <c r="B979" s="2"/>
      <c r="C979" s="2"/>
      <c r="D979" s="2" t="str">
        <f>IF(ISBLANK(C979),"",VLOOKUP(C979,configuration!$G$7:$H$10,2,FALSE))</f>
        <v/>
      </c>
      <c r="E979" s="2"/>
      <c r="F979" s="2"/>
      <c r="G979" s="2"/>
      <c r="H979" s="2" t="str">
        <f>IF(ISBLANK(G979),"",VLOOKUP(G979,configuration!$J$7:$K$10,2,FALSE))</f>
        <v/>
      </c>
      <c r="I979" s="30"/>
      <c r="J979" s="2"/>
      <c r="K979" s="31"/>
      <c r="L979" s="35"/>
      <c r="M979" s="2" t="str">
        <f>IF(ISBLANK(L979),"",VLOOKUP(L979,configuration!$M$7:$N$10,2,FALSE))</f>
        <v/>
      </c>
      <c r="N979" s="30"/>
      <c r="O979" s="2"/>
      <c r="P979" s="31"/>
      <c r="Q979" s="54"/>
      <c r="R979" s="55" t="str">
        <f>IF(ISBLANK(Q979),"",VLOOKUP(Q979,configuration!$P$7:$Q$10,2,FALSE))</f>
        <v/>
      </c>
      <c r="S979" s="56"/>
      <c r="T979" s="55"/>
      <c r="U979" s="78"/>
      <c r="V979" s="76" t="str">
        <f t="shared" si="64"/>
        <v/>
      </c>
      <c r="W979" s="48" t="str">
        <f t="shared" si="64"/>
        <v/>
      </c>
      <c r="X979" s="48" t="str">
        <f t="shared" si="64"/>
        <v/>
      </c>
      <c r="Y979" s="48" t="str">
        <f t="shared" si="64"/>
        <v/>
      </c>
      <c r="Z979" s="49" t="str">
        <f t="shared" si="62"/>
        <v/>
      </c>
      <c r="AA979" s="50" t="str">
        <f t="shared" si="65"/>
        <v/>
      </c>
      <c r="AB979" s="48" t="str">
        <f t="shared" si="65"/>
        <v/>
      </c>
      <c r="AC979" s="48" t="str">
        <f t="shared" si="65"/>
        <v/>
      </c>
      <c r="AD979" s="48" t="str">
        <f t="shared" si="65"/>
        <v/>
      </c>
      <c r="AE979" s="48" t="str">
        <f t="shared" si="63"/>
        <v/>
      </c>
    </row>
    <row r="980" spans="1:31" x14ac:dyDescent="0.25">
      <c r="A980" s="2"/>
      <c r="B980" s="2"/>
      <c r="C980" s="2"/>
      <c r="D980" s="2" t="str">
        <f>IF(ISBLANK(C980),"",VLOOKUP(C980,configuration!$G$7:$H$10,2,FALSE))</f>
        <v/>
      </c>
      <c r="E980" s="2"/>
      <c r="F980" s="2"/>
      <c r="G980" s="2"/>
      <c r="H980" s="2" t="str">
        <f>IF(ISBLANK(G980),"",VLOOKUP(G980,configuration!$J$7:$K$10,2,FALSE))</f>
        <v/>
      </c>
      <c r="I980" s="30"/>
      <c r="J980" s="2"/>
      <c r="K980" s="31"/>
      <c r="L980" s="35"/>
      <c r="M980" s="2" t="str">
        <f>IF(ISBLANK(L980),"",VLOOKUP(L980,configuration!$M$7:$N$10,2,FALSE))</f>
        <v/>
      </c>
      <c r="N980" s="30"/>
      <c r="O980" s="2"/>
      <c r="P980" s="31"/>
      <c r="Q980" s="54"/>
      <c r="R980" s="55" t="str">
        <f>IF(ISBLANK(Q980),"",VLOOKUP(Q980,configuration!$P$7:$Q$10,2,FALSE))</f>
        <v/>
      </c>
      <c r="S980" s="56"/>
      <c r="T980" s="55"/>
      <c r="U980" s="78"/>
      <c r="V980" s="76" t="str">
        <f t="shared" si="64"/>
        <v/>
      </c>
      <c r="W980" s="48" t="str">
        <f t="shared" si="64"/>
        <v/>
      </c>
      <c r="X980" s="48" t="str">
        <f t="shared" si="64"/>
        <v/>
      </c>
      <c r="Y980" s="48" t="str">
        <f t="shared" si="64"/>
        <v/>
      </c>
      <c r="Z980" s="49" t="str">
        <f t="shared" si="62"/>
        <v/>
      </c>
      <c r="AA980" s="50" t="str">
        <f t="shared" si="65"/>
        <v/>
      </c>
      <c r="AB980" s="48" t="str">
        <f t="shared" si="65"/>
        <v/>
      </c>
      <c r="AC980" s="48" t="str">
        <f t="shared" si="65"/>
        <v/>
      </c>
      <c r="AD980" s="48" t="str">
        <f t="shared" si="65"/>
        <v/>
      </c>
      <c r="AE980" s="48" t="str">
        <f t="shared" si="63"/>
        <v/>
      </c>
    </row>
    <row r="981" spans="1:31" x14ac:dyDescent="0.25">
      <c r="A981" s="2"/>
      <c r="B981" s="2"/>
      <c r="C981" s="2"/>
      <c r="D981" s="2" t="str">
        <f>IF(ISBLANK(C981),"",VLOOKUP(C981,configuration!$G$7:$H$10,2,FALSE))</f>
        <v/>
      </c>
      <c r="E981" s="2"/>
      <c r="F981" s="2"/>
      <c r="G981" s="2"/>
      <c r="H981" s="2" t="str">
        <f>IF(ISBLANK(G981),"",VLOOKUP(G981,configuration!$J$7:$K$10,2,FALSE))</f>
        <v/>
      </c>
      <c r="I981" s="30"/>
      <c r="J981" s="2"/>
      <c r="K981" s="31"/>
      <c r="L981" s="35"/>
      <c r="M981" s="2" t="str">
        <f>IF(ISBLANK(L981),"",VLOOKUP(L981,configuration!$M$7:$N$10,2,FALSE))</f>
        <v/>
      </c>
      <c r="N981" s="30"/>
      <c r="O981" s="2"/>
      <c r="P981" s="31"/>
      <c r="Q981" s="54"/>
      <c r="R981" s="55" t="str">
        <f>IF(ISBLANK(Q981),"",VLOOKUP(Q981,configuration!$P$7:$Q$10,2,FALSE))</f>
        <v/>
      </c>
      <c r="S981" s="56"/>
      <c r="T981" s="55"/>
      <c r="U981" s="78"/>
      <c r="V981" s="76" t="str">
        <f t="shared" si="64"/>
        <v/>
      </c>
      <c r="W981" s="48" t="str">
        <f t="shared" si="64"/>
        <v/>
      </c>
      <c r="X981" s="48" t="str">
        <f t="shared" si="64"/>
        <v/>
      </c>
      <c r="Y981" s="48" t="str">
        <f t="shared" si="64"/>
        <v/>
      </c>
      <c r="Z981" s="49" t="str">
        <f t="shared" si="62"/>
        <v/>
      </c>
      <c r="AA981" s="50" t="str">
        <f t="shared" si="65"/>
        <v/>
      </c>
      <c r="AB981" s="48" t="str">
        <f t="shared" si="65"/>
        <v/>
      </c>
      <c r="AC981" s="48" t="str">
        <f t="shared" si="65"/>
        <v/>
      </c>
      <c r="AD981" s="48" t="str">
        <f t="shared" si="65"/>
        <v/>
      </c>
      <c r="AE981" s="48" t="str">
        <f t="shared" si="63"/>
        <v/>
      </c>
    </row>
    <row r="982" spans="1:31" x14ac:dyDescent="0.25">
      <c r="A982" s="2"/>
      <c r="B982" s="2"/>
      <c r="C982" s="2"/>
      <c r="D982" s="2" t="str">
        <f>IF(ISBLANK(C982),"",VLOOKUP(C982,configuration!$G$7:$H$10,2,FALSE))</f>
        <v/>
      </c>
      <c r="E982" s="2"/>
      <c r="F982" s="2"/>
      <c r="G982" s="2"/>
      <c r="H982" s="2" t="str">
        <f>IF(ISBLANK(G982),"",VLOOKUP(G982,configuration!$J$7:$K$10,2,FALSE))</f>
        <v/>
      </c>
      <c r="I982" s="30"/>
      <c r="J982" s="2"/>
      <c r="K982" s="31"/>
      <c r="L982" s="35"/>
      <c r="M982" s="2" t="str">
        <f>IF(ISBLANK(L982),"",VLOOKUP(L982,configuration!$M$7:$N$10,2,FALSE))</f>
        <v/>
      </c>
      <c r="N982" s="30"/>
      <c r="O982" s="2"/>
      <c r="P982" s="31"/>
      <c r="Q982" s="54"/>
      <c r="R982" s="55" t="str">
        <f>IF(ISBLANK(Q982),"",VLOOKUP(Q982,configuration!$P$7:$Q$10,2,FALSE))</f>
        <v/>
      </c>
      <c r="S982" s="56"/>
      <c r="T982" s="55"/>
      <c r="U982" s="78"/>
      <c r="V982" s="76" t="str">
        <f t="shared" si="64"/>
        <v/>
      </c>
      <c r="W982" s="48" t="str">
        <f t="shared" si="64"/>
        <v/>
      </c>
      <c r="X982" s="48" t="str">
        <f t="shared" si="64"/>
        <v/>
      </c>
      <c r="Y982" s="48" t="str">
        <f t="shared" si="64"/>
        <v/>
      </c>
      <c r="Z982" s="49" t="str">
        <f t="shared" si="62"/>
        <v/>
      </c>
      <c r="AA982" s="50" t="str">
        <f t="shared" si="65"/>
        <v/>
      </c>
      <c r="AB982" s="48" t="str">
        <f t="shared" si="65"/>
        <v/>
      </c>
      <c r="AC982" s="48" t="str">
        <f t="shared" si="65"/>
        <v/>
      </c>
      <c r="AD982" s="48" t="str">
        <f t="shared" si="65"/>
        <v/>
      </c>
      <c r="AE982" s="48" t="str">
        <f t="shared" si="63"/>
        <v/>
      </c>
    </row>
    <row r="983" spans="1:31" x14ac:dyDescent="0.25">
      <c r="A983" s="2"/>
      <c r="B983" s="2"/>
      <c r="C983" s="2"/>
      <c r="D983" s="2" t="str">
        <f>IF(ISBLANK(C983),"",VLOOKUP(C983,configuration!$G$7:$H$10,2,FALSE))</f>
        <v/>
      </c>
      <c r="E983" s="2"/>
      <c r="F983" s="2"/>
      <c r="G983" s="2"/>
      <c r="H983" s="2" t="str">
        <f>IF(ISBLANK(G983),"",VLOOKUP(G983,configuration!$J$7:$K$10,2,FALSE))</f>
        <v/>
      </c>
      <c r="I983" s="30"/>
      <c r="J983" s="2"/>
      <c r="K983" s="31"/>
      <c r="L983" s="35"/>
      <c r="M983" s="2" t="str">
        <f>IF(ISBLANK(L983),"",VLOOKUP(L983,configuration!$M$7:$N$10,2,FALSE))</f>
        <v/>
      </c>
      <c r="N983" s="30"/>
      <c r="O983" s="2"/>
      <c r="P983" s="31"/>
      <c r="Q983" s="54"/>
      <c r="R983" s="55" t="str">
        <f>IF(ISBLANK(Q983),"",VLOOKUP(Q983,configuration!$P$7:$Q$10,2,FALSE))</f>
        <v/>
      </c>
      <c r="S983" s="56"/>
      <c r="T983" s="55"/>
      <c r="U983" s="78"/>
      <c r="V983" s="76" t="str">
        <f t="shared" si="64"/>
        <v/>
      </c>
      <c r="W983" s="48" t="str">
        <f t="shared" si="64"/>
        <v/>
      </c>
      <c r="X983" s="48" t="str">
        <f t="shared" si="64"/>
        <v/>
      </c>
      <c r="Y983" s="48" t="str">
        <f t="shared" si="64"/>
        <v/>
      </c>
      <c r="Z983" s="49" t="str">
        <f t="shared" si="62"/>
        <v/>
      </c>
      <c r="AA983" s="50" t="str">
        <f t="shared" si="65"/>
        <v/>
      </c>
      <c r="AB983" s="48" t="str">
        <f t="shared" si="65"/>
        <v/>
      </c>
      <c r="AC983" s="48" t="str">
        <f t="shared" si="65"/>
        <v/>
      </c>
      <c r="AD983" s="48" t="str">
        <f t="shared" si="65"/>
        <v/>
      </c>
      <c r="AE983" s="48" t="str">
        <f t="shared" si="63"/>
        <v/>
      </c>
    </row>
    <row r="984" spans="1:31" x14ac:dyDescent="0.25">
      <c r="A984" s="2"/>
      <c r="B984" s="2"/>
      <c r="C984" s="2"/>
      <c r="D984" s="2" t="str">
        <f>IF(ISBLANK(C984),"",VLOOKUP(C984,configuration!$G$7:$H$10,2,FALSE))</f>
        <v/>
      </c>
      <c r="E984" s="2"/>
      <c r="F984" s="2"/>
      <c r="G984" s="2"/>
      <c r="H984" s="2" t="str">
        <f>IF(ISBLANK(G984),"",VLOOKUP(G984,configuration!$J$7:$K$10,2,FALSE))</f>
        <v/>
      </c>
      <c r="I984" s="30"/>
      <c r="J984" s="2"/>
      <c r="K984" s="31"/>
      <c r="L984" s="35"/>
      <c r="M984" s="2" t="str">
        <f>IF(ISBLANK(L984),"",VLOOKUP(L984,configuration!$M$7:$N$10,2,FALSE))</f>
        <v/>
      </c>
      <c r="N984" s="30"/>
      <c r="O984" s="2"/>
      <c r="P984" s="31"/>
      <c r="Q984" s="54"/>
      <c r="R984" s="55" t="str">
        <f>IF(ISBLANK(Q984),"",VLOOKUP(Q984,configuration!$P$7:$Q$10,2,FALSE))</f>
        <v/>
      </c>
      <c r="S984" s="56"/>
      <c r="T984" s="55"/>
      <c r="U984" s="78"/>
      <c r="V984" s="76" t="str">
        <f t="shared" si="64"/>
        <v/>
      </c>
      <c r="W984" s="48" t="str">
        <f t="shared" si="64"/>
        <v/>
      </c>
      <c r="X984" s="48" t="str">
        <f t="shared" si="64"/>
        <v/>
      </c>
      <c r="Y984" s="48" t="str">
        <f t="shared" si="64"/>
        <v/>
      </c>
      <c r="Z984" s="49" t="str">
        <f t="shared" si="62"/>
        <v/>
      </c>
      <c r="AA984" s="50" t="str">
        <f t="shared" si="65"/>
        <v/>
      </c>
      <c r="AB984" s="48" t="str">
        <f t="shared" si="65"/>
        <v/>
      </c>
      <c r="AC984" s="48" t="str">
        <f t="shared" si="65"/>
        <v/>
      </c>
      <c r="AD984" s="48" t="str">
        <f t="shared" si="65"/>
        <v/>
      </c>
      <c r="AE984" s="48" t="str">
        <f t="shared" si="63"/>
        <v/>
      </c>
    </row>
    <row r="985" spans="1:31" x14ac:dyDescent="0.25">
      <c r="A985" s="2"/>
      <c r="B985" s="2"/>
      <c r="C985" s="2"/>
      <c r="D985" s="2" t="str">
        <f>IF(ISBLANK(C985),"",VLOOKUP(C985,configuration!$G$7:$H$10,2,FALSE))</f>
        <v/>
      </c>
      <c r="E985" s="2"/>
      <c r="F985" s="2"/>
      <c r="G985" s="2"/>
      <c r="H985" s="2" t="str">
        <f>IF(ISBLANK(G985),"",VLOOKUP(G985,configuration!$J$7:$K$10,2,FALSE))</f>
        <v/>
      </c>
      <c r="I985" s="30"/>
      <c r="J985" s="2"/>
      <c r="K985" s="31"/>
      <c r="L985" s="35"/>
      <c r="M985" s="2" t="str">
        <f>IF(ISBLANK(L985),"",VLOOKUP(L985,configuration!$M$7:$N$10,2,FALSE))</f>
        <v/>
      </c>
      <c r="N985" s="30"/>
      <c r="O985" s="2"/>
      <c r="P985" s="31"/>
      <c r="Q985" s="54"/>
      <c r="R985" s="55" t="str">
        <f>IF(ISBLANK(Q985),"",VLOOKUP(Q985,configuration!$P$7:$Q$10,2,FALSE))</f>
        <v/>
      </c>
      <c r="S985" s="56"/>
      <c r="T985" s="55"/>
      <c r="U985" s="78"/>
      <c r="V985" s="76" t="str">
        <f t="shared" si="64"/>
        <v/>
      </c>
      <c r="W985" s="48" t="str">
        <f t="shared" si="64"/>
        <v/>
      </c>
      <c r="X985" s="48" t="str">
        <f t="shared" si="64"/>
        <v/>
      </c>
      <c r="Y985" s="48" t="str">
        <f t="shared" si="64"/>
        <v/>
      </c>
      <c r="Z985" s="49" t="str">
        <f t="shared" si="62"/>
        <v/>
      </c>
      <c r="AA985" s="50" t="str">
        <f t="shared" si="65"/>
        <v/>
      </c>
      <c r="AB985" s="48" t="str">
        <f t="shared" si="65"/>
        <v/>
      </c>
      <c r="AC985" s="48" t="str">
        <f t="shared" si="65"/>
        <v/>
      </c>
      <c r="AD985" s="48" t="str">
        <f t="shared" si="65"/>
        <v/>
      </c>
      <c r="AE985" s="48" t="str">
        <f t="shared" si="63"/>
        <v/>
      </c>
    </row>
    <row r="986" spans="1:31" x14ac:dyDescent="0.25">
      <c r="A986" s="2"/>
      <c r="B986" s="2"/>
      <c r="C986" s="2"/>
      <c r="D986" s="2" t="str">
        <f>IF(ISBLANK(C986),"",VLOOKUP(C986,configuration!$G$7:$H$10,2,FALSE))</f>
        <v/>
      </c>
      <c r="E986" s="2"/>
      <c r="F986" s="2"/>
      <c r="G986" s="2"/>
      <c r="H986" s="2" t="str">
        <f>IF(ISBLANK(G986),"",VLOOKUP(G986,configuration!$J$7:$K$10,2,FALSE))</f>
        <v/>
      </c>
      <c r="I986" s="30"/>
      <c r="J986" s="2"/>
      <c r="K986" s="31"/>
      <c r="L986" s="35"/>
      <c r="M986" s="2" t="str">
        <f>IF(ISBLANK(L986),"",VLOOKUP(L986,configuration!$M$7:$N$10,2,FALSE))</f>
        <v/>
      </c>
      <c r="N986" s="30"/>
      <c r="O986" s="2"/>
      <c r="P986" s="31"/>
      <c r="Q986" s="54"/>
      <c r="R986" s="55" t="str">
        <f>IF(ISBLANK(Q986),"",VLOOKUP(Q986,configuration!$P$7:$Q$10,2,FALSE))</f>
        <v/>
      </c>
      <c r="S986" s="56"/>
      <c r="T986" s="55"/>
      <c r="U986" s="78"/>
      <c r="V986" s="76" t="str">
        <f t="shared" si="64"/>
        <v/>
      </c>
      <c r="W986" s="48" t="str">
        <f t="shared" si="64"/>
        <v/>
      </c>
      <c r="X986" s="48" t="str">
        <f t="shared" si="64"/>
        <v/>
      </c>
      <c r="Y986" s="48" t="str">
        <f t="shared" si="64"/>
        <v/>
      </c>
      <c r="Z986" s="49" t="str">
        <f t="shared" si="62"/>
        <v/>
      </c>
      <c r="AA986" s="50" t="str">
        <f t="shared" si="65"/>
        <v/>
      </c>
      <c r="AB986" s="48" t="str">
        <f t="shared" si="65"/>
        <v/>
      </c>
      <c r="AC986" s="48" t="str">
        <f t="shared" si="65"/>
        <v/>
      </c>
      <c r="AD986" s="48" t="str">
        <f t="shared" si="65"/>
        <v/>
      </c>
      <c r="AE986" s="48" t="str">
        <f t="shared" si="63"/>
        <v/>
      </c>
    </row>
    <row r="987" spans="1:31" x14ac:dyDescent="0.25">
      <c r="A987" s="2"/>
      <c r="B987" s="2"/>
      <c r="C987" s="2"/>
      <c r="D987" s="2" t="str">
        <f>IF(ISBLANK(C987),"",VLOOKUP(C987,configuration!$G$7:$H$10,2,FALSE))</f>
        <v/>
      </c>
      <c r="E987" s="2"/>
      <c r="F987" s="2"/>
      <c r="G987" s="2"/>
      <c r="H987" s="2" t="str">
        <f>IF(ISBLANK(G987),"",VLOOKUP(G987,configuration!$J$7:$K$10,2,FALSE))</f>
        <v/>
      </c>
      <c r="I987" s="30"/>
      <c r="J987" s="2"/>
      <c r="K987" s="31"/>
      <c r="L987" s="35"/>
      <c r="M987" s="2" t="str">
        <f>IF(ISBLANK(L987),"",VLOOKUP(L987,configuration!$M$7:$N$10,2,FALSE))</f>
        <v/>
      </c>
      <c r="N987" s="30"/>
      <c r="O987" s="2"/>
      <c r="P987" s="31"/>
      <c r="Q987" s="54"/>
      <c r="R987" s="55" t="str">
        <f>IF(ISBLANK(Q987),"",VLOOKUP(Q987,configuration!$P$7:$Q$10,2,FALSE))</f>
        <v/>
      </c>
      <c r="S987" s="56"/>
      <c r="T987" s="55"/>
      <c r="U987" s="78"/>
      <c r="V987" s="76" t="str">
        <f t="shared" si="64"/>
        <v/>
      </c>
      <c r="W987" s="48" t="str">
        <f t="shared" si="64"/>
        <v/>
      </c>
      <c r="X987" s="48" t="str">
        <f t="shared" si="64"/>
        <v/>
      </c>
      <c r="Y987" s="48" t="str">
        <f t="shared" si="64"/>
        <v/>
      </c>
      <c r="Z987" s="49" t="str">
        <f t="shared" si="62"/>
        <v/>
      </c>
      <c r="AA987" s="50" t="str">
        <f t="shared" si="65"/>
        <v/>
      </c>
      <c r="AB987" s="48" t="str">
        <f t="shared" si="65"/>
        <v/>
      </c>
      <c r="AC987" s="48" t="str">
        <f t="shared" si="65"/>
        <v/>
      </c>
      <c r="AD987" s="48" t="str">
        <f t="shared" si="65"/>
        <v/>
      </c>
      <c r="AE987" s="48" t="str">
        <f t="shared" si="63"/>
        <v/>
      </c>
    </row>
    <row r="988" spans="1:31" x14ac:dyDescent="0.25">
      <c r="A988" s="2"/>
      <c r="B988" s="2"/>
      <c r="C988" s="2"/>
      <c r="D988" s="2" t="str">
        <f>IF(ISBLANK(C988),"",VLOOKUP(C988,configuration!$G$7:$H$10,2,FALSE))</f>
        <v/>
      </c>
      <c r="E988" s="2"/>
      <c r="F988" s="2"/>
      <c r="G988" s="2"/>
      <c r="H988" s="2" t="str">
        <f>IF(ISBLANK(G988),"",VLOOKUP(G988,configuration!$J$7:$K$10,2,FALSE))</f>
        <v/>
      </c>
      <c r="I988" s="30"/>
      <c r="J988" s="2"/>
      <c r="K988" s="31"/>
      <c r="L988" s="35"/>
      <c r="M988" s="2" t="str">
        <f>IF(ISBLANK(L988),"",VLOOKUP(L988,configuration!$M$7:$N$10,2,FALSE))</f>
        <v/>
      </c>
      <c r="N988" s="30"/>
      <c r="O988" s="2"/>
      <c r="P988" s="31"/>
      <c r="Q988" s="54"/>
      <c r="R988" s="55" t="str">
        <f>IF(ISBLANK(Q988),"",VLOOKUP(Q988,configuration!$P$7:$Q$10,2,FALSE))</f>
        <v/>
      </c>
      <c r="S988" s="56"/>
      <c r="T988" s="55"/>
      <c r="U988" s="78"/>
      <c r="V988" s="76" t="str">
        <f t="shared" si="64"/>
        <v/>
      </c>
      <c r="W988" s="48" t="str">
        <f t="shared" si="64"/>
        <v/>
      </c>
      <c r="X988" s="48" t="str">
        <f t="shared" si="64"/>
        <v/>
      </c>
      <c r="Y988" s="48" t="str">
        <f t="shared" si="64"/>
        <v/>
      </c>
      <c r="Z988" s="49" t="str">
        <f t="shared" si="62"/>
        <v/>
      </c>
      <c r="AA988" s="50" t="str">
        <f t="shared" si="65"/>
        <v/>
      </c>
      <c r="AB988" s="48" t="str">
        <f t="shared" si="65"/>
        <v/>
      </c>
      <c r="AC988" s="48" t="str">
        <f t="shared" si="65"/>
        <v/>
      </c>
      <c r="AD988" s="48" t="str">
        <f t="shared" si="65"/>
        <v/>
      </c>
      <c r="AE988" s="48" t="str">
        <f t="shared" si="63"/>
        <v/>
      </c>
    </row>
    <row r="989" spans="1:31" x14ac:dyDescent="0.25">
      <c r="A989" s="2"/>
      <c r="B989" s="2"/>
      <c r="C989" s="2"/>
      <c r="D989" s="2" t="str">
        <f>IF(ISBLANK(C989),"",VLOOKUP(C989,configuration!$G$7:$H$10,2,FALSE))</f>
        <v/>
      </c>
      <c r="E989" s="2"/>
      <c r="F989" s="2"/>
      <c r="G989" s="2"/>
      <c r="H989" s="2" t="str">
        <f>IF(ISBLANK(G989),"",VLOOKUP(G989,configuration!$J$7:$K$10,2,FALSE))</f>
        <v/>
      </c>
      <c r="I989" s="30"/>
      <c r="J989" s="2"/>
      <c r="K989" s="31"/>
      <c r="L989" s="35"/>
      <c r="M989" s="2" t="str">
        <f>IF(ISBLANK(L989),"",VLOOKUP(L989,configuration!$M$7:$N$10,2,FALSE))</f>
        <v/>
      </c>
      <c r="N989" s="30"/>
      <c r="O989" s="2"/>
      <c r="P989" s="31"/>
      <c r="Q989" s="54"/>
      <c r="R989" s="55" t="str">
        <f>IF(ISBLANK(Q989),"",VLOOKUP(Q989,configuration!$P$7:$Q$10,2,FALSE))</f>
        <v/>
      </c>
      <c r="S989" s="56"/>
      <c r="T989" s="55"/>
      <c r="U989" s="78"/>
      <c r="V989" s="76" t="str">
        <f t="shared" si="64"/>
        <v/>
      </c>
      <c r="W989" s="48" t="str">
        <f t="shared" si="64"/>
        <v/>
      </c>
      <c r="X989" s="48" t="str">
        <f t="shared" si="64"/>
        <v/>
      </c>
      <c r="Y989" s="48" t="str">
        <f t="shared" si="64"/>
        <v/>
      </c>
      <c r="Z989" s="49" t="str">
        <f t="shared" si="62"/>
        <v/>
      </c>
      <c r="AA989" s="50" t="str">
        <f t="shared" si="65"/>
        <v/>
      </c>
      <c r="AB989" s="48" t="str">
        <f t="shared" si="65"/>
        <v/>
      </c>
      <c r="AC989" s="48" t="str">
        <f t="shared" si="65"/>
        <v/>
      </c>
      <c r="AD989" s="48" t="str">
        <f t="shared" si="65"/>
        <v/>
      </c>
      <c r="AE989" s="48" t="str">
        <f t="shared" si="63"/>
        <v/>
      </c>
    </row>
    <row r="990" spans="1:31" x14ac:dyDescent="0.25">
      <c r="A990" s="2"/>
      <c r="B990" s="2"/>
      <c r="C990" s="2"/>
      <c r="D990" s="2" t="str">
        <f>IF(ISBLANK(C990),"",VLOOKUP(C990,configuration!$G$7:$H$10,2,FALSE))</f>
        <v/>
      </c>
      <c r="E990" s="2"/>
      <c r="F990" s="2"/>
      <c r="G990" s="2"/>
      <c r="H990" s="2" t="str">
        <f>IF(ISBLANK(G990),"",VLOOKUP(G990,configuration!$J$7:$K$10,2,FALSE))</f>
        <v/>
      </c>
      <c r="I990" s="30"/>
      <c r="J990" s="2"/>
      <c r="K990" s="31"/>
      <c r="L990" s="35"/>
      <c r="M990" s="2" t="str">
        <f>IF(ISBLANK(L990),"",VLOOKUP(L990,configuration!$M$7:$N$10,2,FALSE))</f>
        <v/>
      </c>
      <c r="N990" s="30"/>
      <c r="O990" s="2"/>
      <c r="P990" s="31"/>
      <c r="Q990" s="54"/>
      <c r="R990" s="55" t="str">
        <f>IF(ISBLANK(Q990),"",VLOOKUP(Q990,configuration!$P$7:$Q$10,2,FALSE))</f>
        <v/>
      </c>
      <c r="S990" s="56"/>
      <c r="T990" s="55"/>
      <c r="U990" s="78"/>
      <c r="V990" s="76" t="str">
        <f t="shared" si="64"/>
        <v/>
      </c>
      <c r="W990" s="48" t="str">
        <f t="shared" si="64"/>
        <v/>
      </c>
      <c r="X990" s="48" t="str">
        <f t="shared" si="64"/>
        <v/>
      </c>
      <c r="Y990" s="48" t="str">
        <f t="shared" si="64"/>
        <v/>
      </c>
      <c r="Z990" s="49" t="str">
        <f t="shared" si="62"/>
        <v/>
      </c>
      <c r="AA990" s="50" t="str">
        <f t="shared" si="65"/>
        <v/>
      </c>
      <c r="AB990" s="48" t="str">
        <f t="shared" si="65"/>
        <v/>
      </c>
      <c r="AC990" s="48" t="str">
        <f t="shared" si="65"/>
        <v/>
      </c>
      <c r="AD990" s="48" t="str">
        <f t="shared" si="65"/>
        <v/>
      </c>
      <c r="AE990" s="48" t="str">
        <f t="shared" si="63"/>
        <v/>
      </c>
    </row>
    <row r="991" spans="1:31" x14ac:dyDescent="0.25">
      <c r="A991" s="2"/>
      <c r="B991" s="2"/>
      <c r="C991" s="2"/>
      <c r="D991" s="2" t="str">
        <f>IF(ISBLANK(C991),"",VLOOKUP(C991,configuration!$G$7:$H$10,2,FALSE))</f>
        <v/>
      </c>
      <c r="E991" s="2"/>
      <c r="F991" s="2"/>
      <c r="G991" s="2"/>
      <c r="H991" s="2" t="str">
        <f>IF(ISBLANK(G991),"",VLOOKUP(G991,configuration!$J$7:$K$10,2,FALSE))</f>
        <v/>
      </c>
      <c r="I991" s="30"/>
      <c r="J991" s="2"/>
      <c r="K991" s="31"/>
      <c r="L991" s="35"/>
      <c r="M991" s="2" t="str">
        <f>IF(ISBLANK(L991),"",VLOOKUP(L991,configuration!$M$7:$N$10,2,FALSE))</f>
        <v/>
      </c>
      <c r="N991" s="30"/>
      <c r="O991" s="2"/>
      <c r="P991" s="31"/>
      <c r="Q991" s="54"/>
      <c r="R991" s="55" t="str">
        <f>IF(ISBLANK(Q991),"",VLOOKUP(Q991,configuration!$P$7:$Q$10,2,FALSE))</f>
        <v/>
      </c>
      <c r="S991" s="56"/>
      <c r="T991" s="55"/>
      <c r="U991" s="78"/>
      <c r="V991" s="76" t="str">
        <f t="shared" si="64"/>
        <v/>
      </c>
      <c r="W991" s="48" t="str">
        <f t="shared" si="64"/>
        <v/>
      </c>
      <c r="X991" s="48" t="str">
        <f t="shared" si="64"/>
        <v/>
      </c>
      <c r="Y991" s="48" t="str">
        <f t="shared" si="64"/>
        <v/>
      </c>
      <c r="Z991" s="49" t="str">
        <f t="shared" si="62"/>
        <v/>
      </c>
      <c r="AA991" s="50" t="str">
        <f t="shared" si="65"/>
        <v/>
      </c>
      <c r="AB991" s="48" t="str">
        <f t="shared" si="65"/>
        <v/>
      </c>
      <c r="AC991" s="48" t="str">
        <f t="shared" si="65"/>
        <v/>
      </c>
      <c r="AD991" s="48" t="str">
        <f t="shared" si="65"/>
        <v/>
      </c>
      <c r="AE991" s="48" t="str">
        <f t="shared" si="63"/>
        <v/>
      </c>
    </row>
    <row r="992" spans="1:31" x14ac:dyDescent="0.25">
      <c r="A992" s="2"/>
      <c r="B992" s="2"/>
      <c r="C992" s="2"/>
      <c r="D992" s="2" t="str">
        <f>IF(ISBLANK(C992),"",VLOOKUP(C992,configuration!$G$7:$H$10,2,FALSE))</f>
        <v/>
      </c>
      <c r="E992" s="2"/>
      <c r="F992" s="2"/>
      <c r="G992" s="2"/>
      <c r="H992" s="2" t="str">
        <f>IF(ISBLANK(G992),"",VLOOKUP(G992,configuration!$J$7:$K$10,2,FALSE))</f>
        <v/>
      </c>
      <c r="I992" s="30"/>
      <c r="J992" s="2"/>
      <c r="K992" s="31"/>
      <c r="L992" s="35"/>
      <c r="M992" s="2" t="str">
        <f>IF(ISBLANK(L992),"",VLOOKUP(L992,configuration!$M$7:$N$10,2,FALSE))</f>
        <v/>
      </c>
      <c r="N992" s="30"/>
      <c r="O992" s="2"/>
      <c r="P992" s="31"/>
      <c r="Q992" s="54"/>
      <c r="R992" s="55" t="str">
        <f>IF(ISBLANK(Q992),"",VLOOKUP(Q992,configuration!$P$7:$Q$10,2,FALSE))</f>
        <v/>
      </c>
      <c r="S992" s="56"/>
      <c r="T992" s="55"/>
      <c r="U992" s="78"/>
      <c r="V992" s="76" t="str">
        <f t="shared" si="64"/>
        <v/>
      </c>
      <c r="W992" s="48" t="str">
        <f t="shared" si="64"/>
        <v/>
      </c>
      <c r="X992" s="48" t="str">
        <f t="shared" si="64"/>
        <v/>
      </c>
      <c r="Y992" s="48" t="str">
        <f t="shared" si="64"/>
        <v/>
      </c>
      <c r="Z992" s="49" t="str">
        <f t="shared" si="62"/>
        <v/>
      </c>
      <c r="AA992" s="50" t="str">
        <f t="shared" si="65"/>
        <v/>
      </c>
      <c r="AB992" s="48" t="str">
        <f t="shared" si="65"/>
        <v/>
      </c>
      <c r="AC992" s="48" t="str">
        <f t="shared" si="65"/>
        <v/>
      </c>
      <c r="AD992" s="48" t="str">
        <f t="shared" si="65"/>
        <v/>
      </c>
      <c r="AE992" s="48" t="str">
        <f t="shared" si="63"/>
        <v/>
      </c>
    </row>
    <row r="993" spans="1:31" x14ac:dyDescent="0.25">
      <c r="A993" s="2"/>
      <c r="B993" s="2"/>
      <c r="C993" s="2"/>
      <c r="D993" s="2" t="str">
        <f>IF(ISBLANK(C993),"",VLOOKUP(C993,configuration!$G$7:$H$10,2,FALSE))</f>
        <v/>
      </c>
      <c r="E993" s="2"/>
      <c r="F993" s="2"/>
      <c r="G993" s="2"/>
      <c r="H993" s="2" t="str">
        <f>IF(ISBLANK(G993),"",VLOOKUP(G993,configuration!$J$7:$K$10,2,FALSE))</f>
        <v/>
      </c>
      <c r="I993" s="30"/>
      <c r="J993" s="2"/>
      <c r="K993" s="31"/>
      <c r="L993" s="35"/>
      <c r="M993" s="2" t="str">
        <f>IF(ISBLANK(L993),"",VLOOKUP(L993,configuration!$M$7:$N$10,2,FALSE))</f>
        <v/>
      </c>
      <c r="N993" s="30"/>
      <c r="O993" s="2"/>
      <c r="P993" s="31"/>
      <c r="Q993" s="54"/>
      <c r="R993" s="55" t="str">
        <f>IF(ISBLANK(Q993),"",VLOOKUP(Q993,configuration!$P$7:$Q$10,2,FALSE))</f>
        <v/>
      </c>
      <c r="S993" s="56"/>
      <c r="T993" s="55"/>
      <c r="U993" s="78"/>
      <c r="V993" s="76" t="str">
        <f t="shared" si="64"/>
        <v/>
      </c>
      <c r="W993" s="48" t="str">
        <f t="shared" si="64"/>
        <v/>
      </c>
      <c r="X993" s="48" t="str">
        <f t="shared" si="64"/>
        <v/>
      </c>
      <c r="Y993" s="48" t="str">
        <f t="shared" si="64"/>
        <v/>
      </c>
      <c r="Z993" s="49" t="str">
        <f t="shared" si="62"/>
        <v/>
      </c>
      <c r="AA993" s="50" t="str">
        <f t="shared" si="65"/>
        <v/>
      </c>
      <c r="AB993" s="48" t="str">
        <f t="shared" si="65"/>
        <v/>
      </c>
      <c r="AC993" s="48" t="str">
        <f t="shared" si="65"/>
        <v/>
      </c>
      <c r="AD993" s="48" t="str">
        <f t="shared" si="65"/>
        <v/>
      </c>
      <c r="AE993" s="48" t="str">
        <f t="shared" si="63"/>
        <v/>
      </c>
    </row>
    <row r="994" spans="1:31" x14ac:dyDescent="0.25">
      <c r="A994" s="2"/>
      <c r="B994" s="2"/>
      <c r="C994" s="2"/>
      <c r="D994" s="2" t="str">
        <f>IF(ISBLANK(C994),"",VLOOKUP(C994,configuration!$G$7:$H$10,2,FALSE))</f>
        <v/>
      </c>
      <c r="E994" s="2"/>
      <c r="F994" s="2"/>
      <c r="G994" s="2"/>
      <c r="H994" s="2" t="str">
        <f>IF(ISBLANK(G994),"",VLOOKUP(G994,configuration!$J$7:$K$10,2,FALSE))</f>
        <v/>
      </c>
      <c r="I994" s="30"/>
      <c r="J994" s="2"/>
      <c r="K994" s="31"/>
      <c r="L994" s="35"/>
      <c r="M994" s="2" t="str">
        <f>IF(ISBLANK(L994),"",VLOOKUP(L994,configuration!$M$7:$N$10,2,FALSE))</f>
        <v/>
      </c>
      <c r="N994" s="30"/>
      <c r="O994" s="2"/>
      <c r="P994" s="31"/>
      <c r="Q994" s="54"/>
      <c r="R994" s="55" t="str">
        <f>IF(ISBLANK(Q994),"",VLOOKUP(Q994,configuration!$P$7:$Q$10,2,FALSE))</f>
        <v/>
      </c>
      <c r="S994" s="56"/>
      <c r="T994" s="55"/>
      <c r="U994" s="78"/>
      <c r="V994" s="76" t="str">
        <f t="shared" si="64"/>
        <v/>
      </c>
      <c r="W994" s="48" t="str">
        <f t="shared" si="64"/>
        <v/>
      </c>
      <c r="X994" s="48" t="str">
        <f t="shared" si="64"/>
        <v/>
      </c>
      <c r="Y994" s="48" t="str">
        <f t="shared" si="64"/>
        <v/>
      </c>
      <c r="Z994" s="49" t="str">
        <f t="shared" si="62"/>
        <v/>
      </c>
      <c r="AA994" s="50" t="str">
        <f t="shared" si="65"/>
        <v/>
      </c>
      <c r="AB994" s="48" t="str">
        <f t="shared" si="65"/>
        <v/>
      </c>
      <c r="AC994" s="48" t="str">
        <f t="shared" si="65"/>
        <v/>
      </c>
      <c r="AD994" s="48" t="str">
        <f t="shared" si="65"/>
        <v/>
      </c>
      <c r="AE994" s="48" t="str">
        <f t="shared" si="63"/>
        <v/>
      </c>
    </row>
    <row r="995" spans="1:31" x14ac:dyDescent="0.25">
      <c r="A995" s="2"/>
      <c r="B995" s="2"/>
      <c r="C995" s="2"/>
      <c r="D995" s="2" t="str">
        <f>IF(ISBLANK(C995),"",VLOOKUP(C995,configuration!$G$7:$H$10,2,FALSE))</f>
        <v/>
      </c>
      <c r="E995" s="2"/>
      <c r="F995" s="2"/>
      <c r="G995" s="2"/>
      <c r="H995" s="2" t="str">
        <f>IF(ISBLANK(G995),"",VLOOKUP(G995,configuration!$J$7:$K$10,2,FALSE))</f>
        <v/>
      </c>
      <c r="I995" s="30"/>
      <c r="J995" s="2"/>
      <c r="K995" s="31"/>
      <c r="L995" s="35"/>
      <c r="M995" s="2" t="str">
        <f>IF(ISBLANK(L995),"",VLOOKUP(L995,configuration!$M$7:$N$10,2,FALSE))</f>
        <v/>
      </c>
      <c r="N995" s="30"/>
      <c r="O995" s="2"/>
      <c r="P995" s="31"/>
      <c r="Q995" s="54"/>
      <c r="R995" s="55" t="str">
        <f>IF(ISBLANK(Q995),"",VLOOKUP(Q995,configuration!$P$7:$Q$10,2,FALSE))</f>
        <v/>
      </c>
      <c r="S995" s="56"/>
      <c r="T995" s="55"/>
      <c r="U995" s="78"/>
      <c r="V995" s="76" t="str">
        <f t="shared" si="64"/>
        <v/>
      </c>
      <c r="W995" s="48" t="str">
        <f t="shared" si="64"/>
        <v/>
      </c>
      <c r="X995" s="48" t="str">
        <f t="shared" si="64"/>
        <v/>
      </c>
      <c r="Y995" s="48" t="str">
        <f t="shared" si="64"/>
        <v/>
      </c>
      <c r="Z995" s="49" t="str">
        <f t="shared" si="62"/>
        <v/>
      </c>
      <c r="AA995" s="50" t="str">
        <f t="shared" si="65"/>
        <v/>
      </c>
      <c r="AB995" s="48" t="str">
        <f t="shared" si="65"/>
        <v/>
      </c>
      <c r="AC995" s="48" t="str">
        <f t="shared" si="65"/>
        <v/>
      </c>
      <c r="AD995" s="48" t="str">
        <f t="shared" si="65"/>
        <v/>
      </c>
      <c r="AE995" s="48" t="str">
        <f t="shared" si="63"/>
        <v/>
      </c>
    </row>
    <row r="996" spans="1:31" x14ac:dyDescent="0.25">
      <c r="A996" s="2"/>
      <c r="B996" s="2"/>
      <c r="C996" s="2"/>
      <c r="D996" s="2" t="str">
        <f>IF(ISBLANK(C996),"",VLOOKUP(C996,configuration!$G$7:$H$10,2,FALSE))</f>
        <v/>
      </c>
      <c r="E996" s="2"/>
      <c r="F996" s="2"/>
      <c r="G996" s="2"/>
      <c r="H996" s="2" t="str">
        <f>IF(ISBLANK(G996),"",VLOOKUP(G996,configuration!$J$7:$K$10,2,FALSE))</f>
        <v/>
      </c>
      <c r="I996" s="30"/>
      <c r="J996" s="2"/>
      <c r="K996" s="31"/>
      <c r="L996" s="35"/>
      <c r="M996" s="2" t="str">
        <f>IF(ISBLANK(L996),"",VLOOKUP(L996,configuration!$M$7:$N$10,2,FALSE))</f>
        <v/>
      </c>
      <c r="N996" s="30"/>
      <c r="O996" s="2"/>
      <c r="P996" s="31"/>
      <c r="Q996" s="54"/>
      <c r="R996" s="55" t="str">
        <f>IF(ISBLANK(Q996),"",VLOOKUP(Q996,configuration!$P$7:$Q$10,2,FALSE))</f>
        <v/>
      </c>
      <c r="S996" s="56"/>
      <c r="T996" s="55"/>
      <c r="U996" s="78"/>
      <c r="V996" s="76" t="str">
        <f t="shared" si="64"/>
        <v/>
      </c>
      <c r="W996" s="48" t="str">
        <f t="shared" si="64"/>
        <v/>
      </c>
      <c r="X996" s="48" t="str">
        <f t="shared" si="64"/>
        <v/>
      </c>
      <c r="Y996" s="48" t="str">
        <f t="shared" si="64"/>
        <v/>
      </c>
      <c r="Z996" s="49" t="str">
        <f t="shared" si="62"/>
        <v/>
      </c>
      <c r="AA996" s="50" t="str">
        <f t="shared" si="65"/>
        <v/>
      </c>
      <c r="AB996" s="48" t="str">
        <f t="shared" si="65"/>
        <v/>
      </c>
      <c r="AC996" s="48" t="str">
        <f t="shared" si="65"/>
        <v/>
      </c>
      <c r="AD996" s="48" t="str">
        <f t="shared" si="65"/>
        <v/>
      </c>
      <c r="AE996" s="48" t="str">
        <f t="shared" si="63"/>
        <v/>
      </c>
    </row>
    <row r="997" spans="1:31" x14ac:dyDescent="0.25">
      <c r="A997" s="2"/>
      <c r="B997" s="2"/>
      <c r="C997" s="2"/>
      <c r="D997" s="2" t="str">
        <f>IF(ISBLANK(C997),"",VLOOKUP(C997,configuration!$G$7:$H$10,2,FALSE))</f>
        <v/>
      </c>
      <c r="E997" s="2"/>
      <c r="F997" s="2"/>
      <c r="G997" s="2"/>
      <c r="H997" s="2" t="str">
        <f>IF(ISBLANK(G997),"",VLOOKUP(G997,configuration!$J$7:$K$10,2,FALSE))</f>
        <v/>
      </c>
      <c r="I997" s="30"/>
      <c r="J997" s="2"/>
      <c r="K997" s="31"/>
      <c r="L997" s="35"/>
      <c r="M997" s="2" t="str">
        <f>IF(ISBLANK(L997),"",VLOOKUP(L997,configuration!$M$7:$N$10,2,FALSE))</f>
        <v/>
      </c>
      <c r="N997" s="30"/>
      <c r="O997" s="2"/>
      <c r="P997" s="31"/>
      <c r="Q997" s="54"/>
      <c r="R997" s="55" t="str">
        <f>IF(ISBLANK(Q997),"",VLOOKUP(Q997,configuration!$P$7:$Q$10,2,FALSE))</f>
        <v/>
      </c>
      <c r="S997" s="56"/>
      <c r="T997" s="55"/>
      <c r="U997" s="78"/>
      <c r="V997" s="76" t="str">
        <f t="shared" si="64"/>
        <v/>
      </c>
      <c r="W997" s="48" t="str">
        <f t="shared" si="64"/>
        <v/>
      </c>
      <c r="X997" s="48" t="str">
        <f t="shared" si="64"/>
        <v/>
      </c>
      <c r="Y997" s="48" t="str">
        <f t="shared" si="64"/>
        <v/>
      </c>
      <c r="Z997" s="49" t="str">
        <f t="shared" si="62"/>
        <v/>
      </c>
      <c r="AA997" s="50" t="str">
        <f t="shared" si="65"/>
        <v/>
      </c>
      <c r="AB997" s="48" t="str">
        <f t="shared" si="65"/>
        <v/>
      </c>
      <c r="AC997" s="48" t="str">
        <f t="shared" si="65"/>
        <v/>
      </c>
      <c r="AD997" s="48" t="str">
        <f t="shared" si="65"/>
        <v/>
      </c>
      <c r="AE997" s="48" t="str">
        <f t="shared" si="63"/>
        <v/>
      </c>
    </row>
    <row r="998" spans="1:31" x14ac:dyDescent="0.25">
      <c r="A998" s="2"/>
      <c r="B998" s="2"/>
      <c r="C998" s="2"/>
      <c r="D998" s="2" t="str">
        <f>IF(ISBLANK(C998),"",VLOOKUP(C998,configuration!$G$7:$H$10,2,FALSE))</f>
        <v/>
      </c>
      <c r="E998" s="2"/>
      <c r="F998" s="2"/>
      <c r="G998" s="2"/>
      <c r="H998" s="2" t="str">
        <f>IF(ISBLANK(G998),"",VLOOKUP(G998,configuration!$J$7:$K$10,2,FALSE))</f>
        <v/>
      </c>
      <c r="I998" s="30"/>
      <c r="J998" s="2"/>
      <c r="K998" s="31"/>
      <c r="L998" s="35"/>
      <c r="M998" s="2" t="str">
        <f>IF(ISBLANK(L998),"",VLOOKUP(L998,configuration!$M$7:$N$10,2,FALSE))</f>
        <v/>
      </c>
      <c r="N998" s="30"/>
      <c r="O998" s="2"/>
      <c r="P998" s="31"/>
      <c r="Q998" s="54"/>
      <c r="R998" s="55" t="str">
        <f>IF(ISBLANK(Q998),"",VLOOKUP(Q998,configuration!$P$7:$Q$10,2,FALSE))</f>
        <v/>
      </c>
      <c r="S998" s="56"/>
      <c r="T998" s="55"/>
      <c r="U998" s="78"/>
      <c r="V998" s="76" t="str">
        <f t="shared" si="64"/>
        <v/>
      </c>
      <c r="W998" s="48" t="str">
        <f t="shared" si="64"/>
        <v/>
      </c>
      <c r="X998" s="48" t="str">
        <f t="shared" si="64"/>
        <v/>
      </c>
      <c r="Y998" s="48" t="str">
        <f t="shared" si="64"/>
        <v/>
      </c>
      <c r="Z998" s="49" t="str">
        <f t="shared" si="62"/>
        <v/>
      </c>
      <c r="AA998" s="50" t="str">
        <f t="shared" si="65"/>
        <v/>
      </c>
      <c r="AB998" s="48" t="str">
        <f t="shared" si="65"/>
        <v/>
      </c>
      <c r="AC998" s="48" t="str">
        <f t="shared" si="65"/>
        <v/>
      </c>
      <c r="AD998" s="48" t="str">
        <f t="shared" si="65"/>
        <v/>
      </c>
      <c r="AE998" s="48" t="str">
        <f t="shared" si="63"/>
        <v/>
      </c>
    </row>
    <row r="999" spans="1:31" x14ac:dyDescent="0.25">
      <c r="A999" s="2"/>
      <c r="B999" s="2"/>
      <c r="C999" s="2"/>
      <c r="D999" s="2" t="str">
        <f>IF(ISBLANK(C999),"",VLOOKUP(C999,configuration!$G$7:$H$10,2,FALSE))</f>
        <v/>
      </c>
      <c r="E999" s="2"/>
      <c r="F999" s="2"/>
      <c r="G999" s="2"/>
      <c r="H999" s="2" t="str">
        <f>IF(ISBLANK(G999),"",VLOOKUP(G999,configuration!$J$7:$K$10,2,FALSE))</f>
        <v/>
      </c>
      <c r="I999" s="30"/>
      <c r="J999" s="2"/>
      <c r="K999" s="31"/>
      <c r="L999" s="35"/>
      <c r="M999" s="2" t="str">
        <f>IF(ISBLANK(L999),"",VLOOKUP(L999,configuration!$M$7:$N$10,2,FALSE))</f>
        <v/>
      </c>
      <c r="N999" s="30"/>
      <c r="O999" s="2"/>
      <c r="P999" s="31"/>
      <c r="Q999" s="54"/>
      <c r="R999" s="55" t="str">
        <f>IF(ISBLANK(Q999),"",VLOOKUP(Q999,configuration!$P$7:$Q$10,2,FALSE))</f>
        <v/>
      </c>
      <c r="S999" s="56"/>
      <c r="T999" s="55"/>
      <c r="U999" s="78"/>
      <c r="V999" s="76" t="str">
        <f t="shared" si="64"/>
        <v/>
      </c>
      <c r="W999" s="48" t="str">
        <f t="shared" si="64"/>
        <v/>
      </c>
      <c r="X999" s="48" t="str">
        <f t="shared" si="64"/>
        <v/>
      </c>
      <c r="Y999" s="48" t="str">
        <f t="shared" si="64"/>
        <v/>
      </c>
      <c r="Z999" s="49" t="str">
        <f t="shared" si="62"/>
        <v/>
      </c>
      <c r="AA999" s="50" t="str">
        <f t="shared" si="65"/>
        <v/>
      </c>
      <c r="AB999" s="48" t="str">
        <f t="shared" si="65"/>
        <v/>
      </c>
      <c r="AC999" s="48" t="str">
        <f t="shared" si="65"/>
        <v/>
      </c>
      <c r="AD999" s="48" t="str">
        <f t="shared" si="65"/>
        <v/>
      </c>
      <c r="AE999" s="48" t="str">
        <f t="shared" si="63"/>
        <v/>
      </c>
    </row>
    <row r="1000" spans="1:31" x14ac:dyDescent="0.25">
      <c r="A1000" s="2"/>
      <c r="B1000" s="2"/>
      <c r="C1000" s="2"/>
      <c r="D1000" s="2" t="str">
        <f>IF(ISBLANK(C1000),"",VLOOKUP(C1000,configuration!$G$7:$H$10,2,FALSE))</f>
        <v/>
      </c>
      <c r="E1000" s="2"/>
      <c r="F1000" s="2"/>
      <c r="G1000" s="2"/>
      <c r="H1000" s="2" t="str">
        <f>IF(ISBLANK(G1000),"",VLOOKUP(G1000,configuration!$J$7:$K$10,2,FALSE))</f>
        <v/>
      </c>
      <c r="I1000" s="30"/>
      <c r="J1000" s="2"/>
      <c r="K1000" s="31"/>
      <c r="L1000" s="35"/>
      <c r="M1000" s="2" t="str">
        <f>IF(ISBLANK(L1000),"",VLOOKUP(L1000,configuration!$M$7:$N$10,2,FALSE))</f>
        <v/>
      </c>
      <c r="N1000" s="30"/>
      <c r="O1000" s="2"/>
      <c r="P1000" s="31"/>
      <c r="Q1000" s="54"/>
      <c r="R1000" s="55" t="str">
        <f>IF(ISBLANK(Q1000),"",VLOOKUP(Q1000,configuration!$P$7:$Q$10,2,FALSE))</f>
        <v/>
      </c>
      <c r="S1000" s="56"/>
      <c r="T1000" s="55"/>
      <c r="U1000" s="78"/>
      <c r="V1000" s="76" t="str">
        <f t="shared" si="64"/>
        <v/>
      </c>
      <c r="W1000" s="48" t="str">
        <f t="shared" si="64"/>
        <v/>
      </c>
      <c r="X1000" s="48" t="str">
        <f t="shared" si="64"/>
        <v/>
      </c>
      <c r="Y1000" s="48" t="str">
        <f t="shared" si="64"/>
        <v/>
      </c>
      <c r="Z1000" s="49" t="str">
        <f t="shared" si="62"/>
        <v/>
      </c>
      <c r="AA1000" s="50" t="str">
        <f t="shared" si="65"/>
        <v/>
      </c>
      <c r="AB1000" s="48" t="str">
        <f t="shared" si="65"/>
        <v/>
      </c>
      <c r="AC1000" s="48" t="str">
        <f t="shared" si="65"/>
        <v/>
      </c>
      <c r="AD1000" s="48" t="str">
        <f t="shared" si="65"/>
        <v/>
      </c>
      <c r="AE1000" s="48" t="str">
        <f t="shared" si="63"/>
        <v/>
      </c>
    </row>
    <row r="1001" spans="1:31" x14ac:dyDescent="0.25">
      <c r="A1001" s="2"/>
      <c r="B1001" s="2"/>
      <c r="C1001" s="2"/>
      <c r="D1001" s="2" t="str">
        <f>IF(ISBLANK(C1001),"",VLOOKUP(C1001,configuration!$G$7:$H$10,2,FALSE))</f>
        <v/>
      </c>
      <c r="E1001" s="2"/>
      <c r="F1001" s="2"/>
      <c r="G1001" s="2"/>
      <c r="H1001" s="2" t="str">
        <f>IF(ISBLANK(G1001),"",VLOOKUP(G1001,configuration!$J$7:$K$10,2,FALSE))</f>
        <v/>
      </c>
      <c r="I1001" s="30"/>
      <c r="J1001" s="2"/>
      <c r="K1001" s="31"/>
      <c r="L1001" s="35"/>
      <c r="M1001" s="2" t="str">
        <f>IF(ISBLANK(L1001),"",VLOOKUP(L1001,configuration!$M$7:$N$10,2,FALSE))</f>
        <v/>
      </c>
      <c r="N1001" s="30"/>
      <c r="O1001" s="2"/>
      <c r="P1001" s="31"/>
      <c r="Q1001" s="54"/>
      <c r="R1001" s="55" t="str">
        <f>IF(ISBLANK(Q1001),"",VLOOKUP(Q1001,configuration!$P$7:$Q$10,2,FALSE))</f>
        <v/>
      </c>
      <c r="S1001" s="56"/>
      <c r="T1001" s="55"/>
      <c r="U1001" s="78"/>
      <c r="V1001" s="76" t="str">
        <f t="shared" si="64"/>
        <v/>
      </c>
      <c r="W1001" s="48" t="str">
        <f t="shared" si="64"/>
        <v/>
      </c>
      <c r="X1001" s="48" t="str">
        <f t="shared" si="64"/>
        <v/>
      </c>
      <c r="Y1001" s="48" t="str">
        <f t="shared" si="64"/>
        <v/>
      </c>
      <c r="Z1001" s="49" t="str">
        <f t="shared" si="62"/>
        <v/>
      </c>
      <c r="AA1001" s="50" t="str">
        <f t="shared" si="65"/>
        <v/>
      </c>
      <c r="AB1001" s="48" t="str">
        <f t="shared" si="65"/>
        <v/>
      </c>
      <c r="AC1001" s="48" t="str">
        <f t="shared" si="65"/>
        <v/>
      </c>
      <c r="AD1001" s="48" t="str">
        <f t="shared" si="65"/>
        <v/>
      </c>
      <c r="AE1001" s="48" t="str">
        <f t="shared" si="63"/>
        <v/>
      </c>
    </row>
  </sheetData>
  <protectedRanges>
    <protectedRange sqref="A5:U1001" name="Bereich1"/>
  </protectedRanges>
  <autoFilter ref="A4:U1001" xr:uid="{AC800FFF-539D-4B17-9DC2-5C91DEF2F207}"/>
  <mergeCells count="12">
    <mergeCell ref="AA1:AE1"/>
    <mergeCell ref="A1:E1"/>
    <mergeCell ref="F1:K1"/>
    <mergeCell ref="L1:P1"/>
    <mergeCell ref="Q1:U1"/>
    <mergeCell ref="V1:Z1"/>
    <mergeCell ref="L3:P3"/>
    <mergeCell ref="F3:K3"/>
    <mergeCell ref="Q3:U3"/>
    <mergeCell ref="A3:E3"/>
    <mergeCell ref="AA3:AE3"/>
    <mergeCell ref="V3:Z3"/>
  </mergeCells>
  <phoneticPr fontId="4" type="noConversion"/>
  <conditionalFormatting sqref="C5:C1001">
    <cfRule type="expression" dxfId="39" priority="36">
      <formula>IF(D5=5,1,0)</formula>
    </cfRule>
    <cfRule type="expression" dxfId="38" priority="37">
      <formula>IF(D5=4,1,0)</formula>
    </cfRule>
    <cfRule type="expression" dxfId="37" priority="38">
      <formula>IF(D5=3,1,0)</formula>
    </cfRule>
    <cfRule type="expression" dxfId="36" priority="39">
      <formula>IF(D5=2,1,0)</formula>
    </cfRule>
    <cfRule type="expression" dxfId="35" priority="40">
      <formula>IF(D5=1,1,0)</formula>
    </cfRule>
  </conditionalFormatting>
  <conditionalFormatting sqref="G5:G1001">
    <cfRule type="expression" dxfId="34" priority="31">
      <formula>IF(H5=5,1,0)</formula>
    </cfRule>
    <cfRule type="expression" dxfId="33" priority="32">
      <formula>IF(H5=4,1,0)</formula>
    </cfRule>
    <cfRule type="expression" dxfId="32" priority="33">
      <formula>IF(H5=3,1,0)</formula>
    </cfRule>
    <cfRule type="expression" dxfId="31" priority="34">
      <formula>IF(H5=2,1,0)</formula>
    </cfRule>
    <cfRule type="expression" dxfId="30" priority="35">
      <formula>IF(H5=1,1,0)</formula>
    </cfRule>
  </conditionalFormatting>
  <conditionalFormatting sqref="L5:L1001">
    <cfRule type="expression" dxfId="29" priority="26">
      <formula>IF(M5=5,1,0)</formula>
    </cfRule>
    <cfRule type="expression" dxfId="28" priority="27">
      <formula>IF(M5=4,1,0)</formula>
    </cfRule>
    <cfRule type="expression" dxfId="27" priority="28">
      <formula>IF(M5=3,1,0)</formula>
    </cfRule>
    <cfRule type="expression" dxfId="26" priority="29">
      <formula>IF(M5=2,1,0)</formula>
    </cfRule>
    <cfRule type="expression" dxfId="25" priority="30">
      <formula>IF(M5=1,1,0)</formula>
    </cfRule>
  </conditionalFormatting>
  <conditionalFormatting sqref="Q5:Q1001">
    <cfRule type="expression" dxfId="24" priority="21">
      <formula>IF(R5=5,1,0)</formula>
    </cfRule>
    <cfRule type="expression" dxfId="23" priority="22">
      <formula>IF(R5=4,1,0)</formula>
    </cfRule>
    <cfRule type="expression" dxfId="22" priority="23">
      <formula>IF(R5=3,1,0)</formula>
    </cfRule>
    <cfRule type="expression" dxfId="21" priority="24">
      <formula>IF(R5=2,1,0)</formula>
    </cfRule>
    <cfRule type="expression" dxfId="20" priority="25">
      <formula>IF(R5=1,1,0)</formula>
    </cfRule>
  </conditionalFormatting>
  <conditionalFormatting sqref="V4">
    <cfRule type="expression" dxfId="19" priority="16">
      <formula>IF(V2=5,1,0)</formula>
    </cfRule>
    <cfRule type="expression" dxfId="18" priority="17">
      <formula>IF(V2=4,1,0)</formula>
    </cfRule>
    <cfRule type="expression" dxfId="17" priority="18">
      <formula>IF(V2=3,1,0)</formula>
    </cfRule>
    <cfRule type="expression" dxfId="16" priority="19">
      <formula>IF(V2=2,1,0)</formula>
    </cfRule>
    <cfRule type="expression" dxfId="15" priority="20">
      <formula>IF(V2=1,1,0)</formula>
    </cfRule>
  </conditionalFormatting>
  <conditionalFormatting sqref="W4:Z4">
    <cfRule type="expression" dxfId="14" priority="11">
      <formula>IF(W2=5,1,0)</formula>
    </cfRule>
    <cfRule type="expression" dxfId="13" priority="12">
      <formula>IF(W2=4,1,0)</formula>
    </cfRule>
    <cfRule type="expression" dxfId="12" priority="13">
      <formula>IF(W2=3,1,0)</formula>
    </cfRule>
    <cfRule type="expression" dxfId="11" priority="14">
      <formula>IF(W2=2,1,0)</formula>
    </cfRule>
    <cfRule type="expression" dxfId="10" priority="15">
      <formula>IF(W2=1,1,0)</formula>
    </cfRule>
  </conditionalFormatting>
  <conditionalFormatting sqref="AA4">
    <cfRule type="expression" dxfId="9" priority="6">
      <formula>IF(AA2=5,1,0)</formula>
    </cfRule>
    <cfRule type="expression" dxfId="8" priority="7">
      <formula>IF(AA2=4,1,0)</formula>
    </cfRule>
    <cfRule type="expression" dxfId="7" priority="8">
      <formula>IF(AA2=3,1,0)</formula>
    </cfRule>
    <cfRule type="expression" dxfId="6" priority="9">
      <formula>IF(AA2=2,1,0)</formula>
    </cfRule>
    <cfRule type="expression" dxfId="5" priority="10">
      <formula>IF(AA2=1,1,0)</formula>
    </cfRule>
  </conditionalFormatting>
  <conditionalFormatting sqref="AB4:AD4">
    <cfRule type="expression" dxfId="4" priority="1">
      <formula>IF(AB2=5,1,0)</formula>
    </cfRule>
    <cfRule type="expression" dxfId="3" priority="2">
      <formula>IF(AB2=4,1,0)</formula>
    </cfRule>
    <cfRule type="expression" dxfId="2" priority="3">
      <formula>IF(AB2=3,1,0)</formula>
    </cfRule>
    <cfRule type="expression" dxfId="1" priority="4">
      <formula>IF(AB2=2,1,0)</formula>
    </cfRule>
    <cfRule type="expression" dxfId="0" priority="5">
      <formula>IF(AB2=1,1,0)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ComboBoxOrderIdentifierList">
          <controlPr defaultSize="0" autoLine="0" altText="please select an order identifier" r:id="rId5">
            <anchor moveWithCells="1">
              <from>
                <xdr:col>0</xdr:col>
                <xdr:colOff>66675</xdr:colOff>
                <xdr:row>0</xdr:row>
                <xdr:rowOff>76200</xdr:rowOff>
              </from>
              <to>
                <xdr:col>1</xdr:col>
                <xdr:colOff>1104900</xdr:colOff>
                <xdr:row>0</xdr:row>
                <xdr:rowOff>438150</xdr:rowOff>
              </to>
            </anchor>
          </controlPr>
        </control>
      </mc:Choice>
      <mc:Fallback>
        <control shapeId="1050" r:id="rId4" name="ComboBoxOrderIdentifierList"/>
      </mc:Fallback>
    </mc:AlternateContent>
    <mc:AlternateContent xmlns:mc="http://schemas.openxmlformats.org/markup-compatibility/2006">
      <mc:Choice Requires="x14">
        <control shapeId="1048" r:id="rId6" name="Button 24">
          <controlPr defaultSize="0" print="0" autoFill="0" autoPict="0" macro="[0]!ButtonEmailGenerator_click" altText="Generate Email">
            <anchor moveWithCells="1" sizeWithCells="1">
              <from>
                <xdr:col>1</xdr:col>
                <xdr:colOff>1200150</xdr:colOff>
                <xdr:row>0</xdr:row>
                <xdr:rowOff>76200</xdr:rowOff>
              </from>
              <to>
                <xdr:col>4</xdr:col>
                <xdr:colOff>647700</xdr:colOff>
                <xdr:row>0</xdr:row>
                <xdr:rowOff>438150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033724D-138C-4A89-B2F8-A06D139442A2}">
          <x14:formula1>
            <xm:f>Clients!$A$2:$A$30</xm:f>
          </x14:formula1>
          <xm:sqref>B5:B1001</xm:sqref>
        </x14:dataValidation>
        <x14:dataValidation type="list" allowBlank="1" showInputMessage="1" showErrorMessage="1" xr:uid="{7D9D8A27-4B9B-4561-9E38-5813C120DF8F}">
          <x14:formula1>
            <xm:f>configuration!$J$7:$J$10</xm:f>
          </x14:formula1>
          <xm:sqref>G5:G1001</xm:sqref>
        </x14:dataValidation>
        <x14:dataValidation type="list" allowBlank="1" showInputMessage="1" showErrorMessage="1" xr:uid="{DCDF78EF-5980-4311-8CAA-16354AD762B2}">
          <x14:formula1>
            <xm:f>configuration!$M$7:$M$10</xm:f>
          </x14:formula1>
          <xm:sqref>L5:L1001</xm:sqref>
        </x14:dataValidation>
        <x14:dataValidation type="list" allowBlank="1" showInputMessage="1" showErrorMessage="1" xr:uid="{47C64FDC-DB56-429C-94E6-CBD8967DF461}">
          <x14:formula1>
            <xm:f>configuration!$P$7:$P$10</xm:f>
          </x14:formula1>
          <xm:sqref>Q5:Q1001</xm:sqref>
        </x14:dataValidation>
        <x14:dataValidation type="list" allowBlank="1" showInputMessage="1" showErrorMessage="1" xr:uid="{8F70ED03-6F57-4AA5-BE8A-D3D360ED4746}">
          <x14:formula1>
            <xm:f>configuration!$T$7:$T$237</xm:f>
          </x14:formula1>
          <xm:sqref>E5:E14 N5:N1001 S5:S1001 I5:I1001</xm:sqref>
        </x14:dataValidation>
        <x14:dataValidation type="list" allowBlank="1" showInputMessage="1" showErrorMessage="1" xr:uid="{16F0C7A4-98BA-44A1-A720-F010ABC88D21}">
          <x14:formula1>
            <xm:f>configuration!$B$7:$B$18</xm:f>
          </x14:formula1>
          <xm:sqref>O5:O1001 T5:T1001 J5:J1001</xm:sqref>
        </x14:dataValidation>
        <x14:dataValidation type="list" allowBlank="1" showInputMessage="1" showErrorMessage="1" xr:uid="{71D9DFD5-B0EC-458A-8C47-1DE7B5F0BC57}">
          <x14:formula1>
            <xm:f>configuration!$G$7:$G$10</xm:f>
          </x14:formula1>
          <xm:sqref>C5:C1001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B569-ECFB-46DB-AF19-920E84B22A70}">
  <sheetPr codeName="Tabelle4"/>
  <dimension ref="A1:N13"/>
  <sheetViews>
    <sheetView showGridLines="0" workbookViewId="0">
      <selection sqref="A1:F1"/>
    </sheetView>
  </sheetViews>
  <sheetFormatPr baseColWidth="10" defaultRowHeight="15" x14ac:dyDescent="0.25"/>
  <cols>
    <col min="1" max="1" width="16.5703125" bestFit="1" customWidth="1"/>
    <col min="2" max="5" width="14" customWidth="1"/>
    <col min="6" max="6" width="15.7109375" customWidth="1"/>
    <col min="7" max="8" width="13.5703125" customWidth="1"/>
    <col min="9" max="9" width="22.42578125" bestFit="1" customWidth="1"/>
    <col min="10" max="10" width="23.7109375" bestFit="1" customWidth="1"/>
    <col min="11" max="11" width="25.5703125" bestFit="1" customWidth="1"/>
    <col min="12" max="12" width="6.28515625" bestFit="1" customWidth="1"/>
    <col min="13" max="13" width="17.85546875" bestFit="1" customWidth="1"/>
    <col min="14" max="14" width="15.5703125" bestFit="1" customWidth="1"/>
    <col min="15" max="15" width="17.5703125" bestFit="1" customWidth="1"/>
    <col min="16" max="16" width="16.5703125" bestFit="1" customWidth="1"/>
    <col min="17" max="17" width="17.5703125" bestFit="1" customWidth="1"/>
    <col min="18" max="18" width="24.5703125" bestFit="1" customWidth="1"/>
    <col min="19" max="19" width="25.5703125" bestFit="1" customWidth="1"/>
    <col min="20" max="20" width="8.140625" bestFit="1" customWidth="1"/>
    <col min="21" max="21" width="14.28515625" bestFit="1" customWidth="1"/>
    <col min="22" max="22" width="15.5703125" bestFit="1" customWidth="1"/>
  </cols>
  <sheetData>
    <row r="1" spans="1:14" ht="42.75" customHeight="1" x14ac:dyDescent="0.25">
      <c r="A1" s="67" t="s">
        <v>147</v>
      </c>
      <c r="B1" s="68"/>
      <c r="C1" s="68"/>
      <c r="D1" s="68"/>
      <c r="E1" s="68"/>
      <c r="F1" s="69"/>
      <c r="I1" s="43"/>
      <c r="J1" s="43"/>
      <c r="K1" s="43"/>
      <c r="L1" s="43"/>
      <c r="M1" s="43"/>
      <c r="N1" s="43"/>
    </row>
    <row r="2" spans="1:14" x14ac:dyDescent="0.25">
      <c r="A2" s="42" t="s">
        <v>141</v>
      </c>
    </row>
    <row r="3" spans="1:14" x14ac:dyDescent="0.25">
      <c r="A3" s="32" t="s">
        <v>124</v>
      </c>
      <c r="B3" s="32" t="s">
        <v>125</v>
      </c>
      <c r="I3" s="32" t="s">
        <v>127</v>
      </c>
      <c r="J3" s="32" t="s">
        <v>125</v>
      </c>
    </row>
    <row r="4" spans="1:14" x14ac:dyDescent="0.25">
      <c r="A4" s="32" t="s">
        <v>121</v>
      </c>
      <c r="B4" s="36" t="s">
        <v>80</v>
      </c>
      <c r="C4" s="36" t="s">
        <v>79</v>
      </c>
      <c r="D4" s="36" t="s">
        <v>128</v>
      </c>
      <c r="E4" t="s">
        <v>122</v>
      </c>
      <c r="F4" s="36" t="s">
        <v>130</v>
      </c>
      <c r="G4" s="36" t="s">
        <v>123</v>
      </c>
      <c r="H4" s="36"/>
      <c r="I4" s="32" t="s">
        <v>121</v>
      </c>
      <c r="J4" s="36" t="s">
        <v>81</v>
      </c>
      <c r="K4" s="36" t="s">
        <v>82</v>
      </c>
      <c r="L4" s="36" t="s">
        <v>122</v>
      </c>
      <c r="M4" s="36" t="s">
        <v>131</v>
      </c>
      <c r="N4" t="s">
        <v>123</v>
      </c>
    </row>
    <row r="5" spans="1:14" x14ac:dyDescent="0.25">
      <c r="A5" s="33" t="s">
        <v>115</v>
      </c>
      <c r="B5" s="34">
        <v>1</v>
      </c>
      <c r="C5" s="34">
        <v>2</v>
      </c>
      <c r="D5" s="34"/>
      <c r="E5" s="34"/>
      <c r="F5" s="34"/>
      <c r="G5" s="34">
        <v>3</v>
      </c>
      <c r="H5" s="34"/>
      <c r="I5" s="33" t="s">
        <v>115</v>
      </c>
      <c r="J5" s="34"/>
      <c r="K5" s="34"/>
      <c r="L5" s="34"/>
      <c r="M5" s="34">
        <v>1</v>
      </c>
      <c r="N5" s="34">
        <v>1</v>
      </c>
    </row>
    <row r="6" spans="1:14" x14ac:dyDescent="0.25">
      <c r="A6" s="33" t="s">
        <v>116</v>
      </c>
      <c r="B6" s="34">
        <v>1</v>
      </c>
      <c r="C6" s="34"/>
      <c r="D6" s="34"/>
      <c r="E6" s="34"/>
      <c r="F6" s="34">
        <v>3</v>
      </c>
      <c r="G6" s="34">
        <v>4</v>
      </c>
      <c r="H6" s="34"/>
      <c r="I6" s="33" t="s">
        <v>116</v>
      </c>
      <c r="J6" s="34">
        <v>1</v>
      </c>
      <c r="K6" s="34">
        <v>1</v>
      </c>
      <c r="L6" s="34"/>
      <c r="M6" s="34">
        <v>1</v>
      </c>
      <c r="N6" s="34">
        <v>3</v>
      </c>
    </row>
    <row r="7" spans="1:14" x14ac:dyDescent="0.25">
      <c r="A7" s="33" t="s">
        <v>117</v>
      </c>
      <c r="B7" s="34">
        <v>1</v>
      </c>
      <c r="C7" s="34"/>
      <c r="D7" s="34">
        <v>2</v>
      </c>
      <c r="E7" s="34"/>
      <c r="F7" s="34"/>
      <c r="G7" s="34">
        <v>3</v>
      </c>
      <c r="H7" s="34"/>
      <c r="I7" s="33" t="s">
        <v>117</v>
      </c>
      <c r="J7" s="34"/>
      <c r="K7" s="34"/>
      <c r="L7" s="34"/>
      <c r="M7" s="34"/>
      <c r="N7" s="34"/>
    </row>
    <row r="8" spans="1:14" x14ac:dyDescent="0.25">
      <c r="A8" s="33" t="s">
        <v>122</v>
      </c>
      <c r="B8" s="34"/>
      <c r="C8" s="34"/>
      <c r="D8" s="34"/>
      <c r="E8" s="34"/>
      <c r="F8" s="34"/>
      <c r="G8" s="34"/>
      <c r="H8" s="34"/>
      <c r="I8" s="33" t="s">
        <v>122</v>
      </c>
      <c r="J8" s="34"/>
      <c r="K8" s="34"/>
      <c r="L8" s="34"/>
      <c r="M8" s="34"/>
      <c r="N8" s="34"/>
    </row>
    <row r="9" spans="1:14" x14ac:dyDescent="0.25">
      <c r="A9" s="33" t="s">
        <v>118</v>
      </c>
      <c r="B9" s="34"/>
      <c r="C9" s="34">
        <v>1</v>
      </c>
      <c r="D9" s="34"/>
      <c r="E9" s="34"/>
      <c r="F9" s="34">
        <v>2</v>
      </c>
      <c r="G9" s="34">
        <v>3</v>
      </c>
      <c r="H9" s="34"/>
      <c r="I9" s="33" t="s">
        <v>118</v>
      </c>
      <c r="J9" s="34">
        <v>1</v>
      </c>
      <c r="K9" s="34"/>
      <c r="L9" s="34"/>
      <c r="M9" s="34">
        <v>1</v>
      </c>
      <c r="N9" s="34">
        <v>2</v>
      </c>
    </row>
    <row r="10" spans="1:14" x14ac:dyDescent="0.25">
      <c r="A10" s="33" t="s">
        <v>119</v>
      </c>
      <c r="B10" s="34"/>
      <c r="C10" s="34"/>
      <c r="D10" s="34"/>
      <c r="E10" s="34"/>
      <c r="F10" s="34">
        <v>1</v>
      </c>
      <c r="G10" s="34">
        <v>1</v>
      </c>
      <c r="H10" s="34"/>
      <c r="I10" s="33" t="s">
        <v>119</v>
      </c>
      <c r="J10" s="34"/>
      <c r="K10" s="34"/>
      <c r="L10" s="34"/>
      <c r="M10" s="34">
        <v>1</v>
      </c>
      <c r="N10" s="34">
        <v>1</v>
      </c>
    </row>
    <row r="11" spans="1:14" x14ac:dyDescent="0.25">
      <c r="A11" s="33" t="s">
        <v>120</v>
      </c>
      <c r="B11" s="34"/>
      <c r="C11" s="34"/>
      <c r="D11" s="34"/>
      <c r="E11" s="34"/>
      <c r="F11" s="34">
        <v>2</v>
      </c>
      <c r="G11" s="34">
        <v>2</v>
      </c>
      <c r="H11" s="34"/>
      <c r="I11" s="33" t="s">
        <v>120</v>
      </c>
      <c r="J11" s="34">
        <v>1</v>
      </c>
      <c r="K11" s="34"/>
      <c r="L11" s="34"/>
      <c r="M11" s="34">
        <v>1</v>
      </c>
      <c r="N11" s="34">
        <v>2</v>
      </c>
    </row>
    <row r="12" spans="1:14" x14ac:dyDescent="0.25">
      <c r="A12" s="33" t="s">
        <v>146</v>
      </c>
      <c r="B12" s="34"/>
      <c r="C12" s="34"/>
      <c r="D12" s="34">
        <v>1</v>
      </c>
      <c r="E12" s="34"/>
      <c r="F12" s="34"/>
      <c r="G12" s="34">
        <v>1</v>
      </c>
      <c r="H12" s="34"/>
      <c r="I12" s="33" t="s">
        <v>146</v>
      </c>
      <c r="J12" s="34"/>
      <c r="K12" s="34"/>
      <c r="L12" s="34"/>
      <c r="M12" s="34"/>
      <c r="N12" s="34"/>
    </row>
    <row r="13" spans="1:14" x14ac:dyDescent="0.25">
      <c r="A13" s="33" t="s">
        <v>123</v>
      </c>
      <c r="B13" s="34">
        <v>3</v>
      </c>
      <c r="C13" s="34">
        <v>3</v>
      </c>
      <c r="D13" s="34">
        <v>3</v>
      </c>
      <c r="E13" s="34"/>
      <c r="F13" s="34">
        <v>8</v>
      </c>
      <c r="G13" s="34">
        <v>17</v>
      </c>
      <c r="H13" s="34"/>
      <c r="I13" s="33" t="s">
        <v>123</v>
      </c>
      <c r="J13" s="34">
        <v>3</v>
      </c>
      <c r="K13" s="34">
        <v>1</v>
      </c>
      <c r="L13" s="34"/>
      <c r="M13" s="34">
        <v>5</v>
      </c>
      <c r="N13" s="34">
        <v>9</v>
      </c>
    </row>
  </sheetData>
  <mergeCells count="1">
    <mergeCell ref="A1:F1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606F-7322-4584-A784-3F8686182DCE}">
  <sheetPr codeName="Tabelle5">
    <tabColor rgb="FF0070C0"/>
  </sheetPr>
  <dimension ref="A1:F10"/>
  <sheetViews>
    <sheetView workbookViewId="0">
      <selection sqref="A1:F1"/>
    </sheetView>
  </sheetViews>
  <sheetFormatPr baseColWidth="10" defaultRowHeight="15" x14ac:dyDescent="0.25"/>
  <cols>
    <col min="1" max="1" width="22.42578125" bestFit="1" customWidth="1"/>
    <col min="2" max="2" width="23.7109375" bestFit="1" customWidth="1"/>
    <col min="3" max="3" width="6.28515625" bestFit="1" customWidth="1"/>
    <col min="4" max="4" width="4.85546875" bestFit="1" customWidth="1"/>
    <col min="5" max="5" width="15.5703125" bestFit="1" customWidth="1"/>
    <col min="6" max="6" width="24.5703125" bestFit="1" customWidth="1"/>
    <col min="7" max="7" width="27.85546875" bestFit="1" customWidth="1"/>
  </cols>
  <sheetData>
    <row r="1" spans="1:6" ht="42.75" customHeight="1" x14ac:dyDescent="0.25">
      <c r="A1" s="67" t="s">
        <v>143</v>
      </c>
      <c r="B1" s="68"/>
      <c r="C1" s="68"/>
      <c r="D1" s="68"/>
      <c r="E1" s="68"/>
      <c r="F1" s="69"/>
    </row>
    <row r="2" spans="1:6" x14ac:dyDescent="0.25">
      <c r="A2" s="42" t="s">
        <v>141</v>
      </c>
    </row>
    <row r="3" spans="1:6" x14ac:dyDescent="0.25">
      <c r="A3" s="32" t="s">
        <v>4</v>
      </c>
      <c r="B3" t="s">
        <v>132</v>
      </c>
    </row>
    <row r="5" spans="1:6" x14ac:dyDescent="0.25">
      <c r="A5" s="32" t="s">
        <v>133</v>
      </c>
      <c r="B5" s="32" t="s">
        <v>125</v>
      </c>
    </row>
    <row r="6" spans="1:6" x14ac:dyDescent="0.25">
      <c r="A6" s="32" t="s">
        <v>121</v>
      </c>
      <c r="B6" t="s">
        <v>88</v>
      </c>
      <c r="C6" t="s">
        <v>122</v>
      </c>
      <c r="D6" t="s">
        <v>89</v>
      </c>
      <c r="E6" t="s">
        <v>123</v>
      </c>
    </row>
    <row r="7" spans="1:6" x14ac:dyDescent="0.25">
      <c r="A7" s="33" t="s">
        <v>122</v>
      </c>
      <c r="B7" s="34"/>
      <c r="C7" s="34"/>
      <c r="D7" s="34"/>
      <c r="E7" s="34"/>
    </row>
    <row r="8" spans="1:6" x14ac:dyDescent="0.25">
      <c r="A8" s="33" t="s">
        <v>117</v>
      </c>
      <c r="B8" s="34">
        <v>2</v>
      </c>
      <c r="C8" s="34"/>
      <c r="D8" s="34"/>
      <c r="E8" s="34">
        <v>2</v>
      </c>
    </row>
    <row r="9" spans="1:6" x14ac:dyDescent="0.25">
      <c r="A9" s="33" t="s">
        <v>146</v>
      </c>
      <c r="B9" s="34"/>
      <c r="C9" s="34"/>
      <c r="D9" s="34">
        <v>1</v>
      </c>
      <c r="E9" s="34">
        <v>1</v>
      </c>
    </row>
    <row r="10" spans="1:6" x14ac:dyDescent="0.25">
      <c r="A10" s="33" t="s">
        <v>123</v>
      </c>
      <c r="B10" s="34">
        <v>2</v>
      </c>
      <c r="C10" s="34"/>
      <c r="D10" s="34">
        <v>1</v>
      </c>
      <c r="E10" s="34">
        <v>3</v>
      </c>
    </row>
  </sheetData>
  <mergeCells count="1">
    <mergeCell ref="A1:F1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ADE16-24A7-4A49-9C31-C05164E95BDB}">
  <sheetPr codeName="Tabelle6">
    <tabColor rgb="FF002060"/>
  </sheetPr>
  <dimension ref="A1:F10"/>
  <sheetViews>
    <sheetView workbookViewId="0">
      <selection sqref="A1:F1"/>
    </sheetView>
  </sheetViews>
  <sheetFormatPr baseColWidth="10" defaultRowHeight="15" x14ac:dyDescent="0.25"/>
  <cols>
    <col min="1" max="1" width="22.42578125" bestFit="1" customWidth="1"/>
    <col min="2" max="2" width="23.7109375" bestFit="1" customWidth="1"/>
    <col min="3" max="4" width="15.5703125" bestFit="1" customWidth="1"/>
    <col min="5" max="5" width="17" bestFit="1" customWidth="1"/>
    <col min="6" max="6" width="15.5703125" bestFit="1" customWidth="1"/>
  </cols>
  <sheetData>
    <row r="1" spans="1:6" ht="42.75" customHeight="1" x14ac:dyDescent="0.25">
      <c r="A1" s="67" t="s">
        <v>144</v>
      </c>
      <c r="B1" s="68"/>
      <c r="C1" s="68"/>
      <c r="D1" s="68"/>
      <c r="E1" s="68"/>
      <c r="F1" s="69"/>
    </row>
    <row r="2" spans="1:6" x14ac:dyDescent="0.25">
      <c r="A2" s="42" t="s">
        <v>141</v>
      </c>
    </row>
    <row r="3" spans="1:6" x14ac:dyDescent="0.25">
      <c r="A3" s="32" t="s">
        <v>126</v>
      </c>
      <c r="B3" t="s">
        <v>81</v>
      </c>
    </row>
    <row r="5" spans="1:6" x14ac:dyDescent="0.25">
      <c r="A5" s="32" t="s">
        <v>127</v>
      </c>
      <c r="B5" s="32" t="s">
        <v>125</v>
      </c>
    </row>
    <row r="6" spans="1:6" x14ac:dyDescent="0.25">
      <c r="A6" s="32" t="s">
        <v>121</v>
      </c>
      <c r="B6" t="s">
        <v>92</v>
      </c>
      <c r="C6" t="s">
        <v>123</v>
      </c>
    </row>
    <row r="7" spans="1:6" x14ac:dyDescent="0.25">
      <c r="A7" s="33" t="s">
        <v>116</v>
      </c>
      <c r="B7" s="34">
        <v>1</v>
      </c>
      <c r="C7" s="34">
        <v>1</v>
      </c>
    </row>
    <row r="8" spans="1:6" x14ac:dyDescent="0.25">
      <c r="A8" s="33" t="s">
        <v>118</v>
      </c>
      <c r="B8" s="34">
        <v>1</v>
      </c>
      <c r="C8" s="34">
        <v>1</v>
      </c>
    </row>
    <row r="9" spans="1:6" x14ac:dyDescent="0.25">
      <c r="A9" s="33" t="s">
        <v>120</v>
      </c>
      <c r="B9" s="34">
        <v>1</v>
      </c>
      <c r="C9" s="34">
        <v>1</v>
      </c>
    </row>
    <row r="10" spans="1:6" x14ac:dyDescent="0.25">
      <c r="A10" s="33" t="s">
        <v>123</v>
      </c>
      <c r="B10" s="34">
        <v>3</v>
      </c>
      <c r="C10" s="34">
        <v>3</v>
      </c>
    </row>
  </sheetData>
  <mergeCells count="1">
    <mergeCell ref="A1:F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76B97-0D12-4F59-83CB-A4B0CC168936}">
  <sheetPr codeName="Tabelle7">
    <tabColor rgb="FF92D050"/>
  </sheetPr>
  <dimension ref="A1:G13"/>
  <sheetViews>
    <sheetView workbookViewId="0">
      <selection activeCell="E19" sqref="E19"/>
    </sheetView>
  </sheetViews>
  <sheetFormatPr baseColWidth="10" defaultRowHeight="15" x14ac:dyDescent="0.25"/>
  <cols>
    <col min="1" max="1" width="22.42578125" bestFit="1" customWidth="1"/>
    <col min="2" max="2" width="23.7109375" bestFit="1" customWidth="1"/>
    <col min="3" max="3" width="19.85546875" bestFit="1" customWidth="1"/>
    <col min="4" max="4" width="18.140625" bestFit="1" customWidth="1"/>
    <col min="5" max="5" width="19.7109375" bestFit="1" customWidth="1"/>
    <col min="6" max="6" width="17.7109375" bestFit="1" customWidth="1"/>
    <col min="7" max="7" width="15.5703125" bestFit="1" customWidth="1"/>
  </cols>
  <sheetData>
    <row r="1" spans="1:7" ht="42.75" customHeight="1" x14ac:dyDescent="0.25">
      <c r="A1" s="67" t="s">
        <v>145</v>
      </c>
      <c r="B1" s="68"/>
      <c r="C1" s="68"/>
      <c r="D1" s="68"/>
      <c r="E1" s="68"/>
      <c r="F1" s="69"/>
    </row>
    <row r="2" spans="1:7" x14ac:dyDescent="0.25">
      <c r="A2" s="42" t="s">
        <v>141</v>
      </c>
    </row>
    <row r="3" spans="1:7" x14ac:dyDescent="0.25">
      <c r="A3" s="32" t="s">
        <v>126</v>
      </c>
      <c r="B3" t="s">
        <v>131</v>
      </c>
    </row>
    <row r="4" spans="1:7" x14ac:dyDescent="0.25">
      <c r="A4" s="32" t="s">
        <v>129</v>
      </c>
      <c r="B4" t="s">
        <v>154</v>
      </c>
    </row>
    <row r="6" spans="1:7" x14ac:dyDescent="0.25">
      <c r="A6" s="32" t="s">
        <v>127</v>
      </c>
      <c r="B6" s="32" t="s">
        <v>125</v>
      </c>
    </row>
    <row r="7" spans="1:7" x14ac:dyDescent="0.25">
      <c r="A7" s="32" t="s">
        <v>121</v>
      </c>
      <c r="B7" t="s">
        <v>111</v>
      </c>
      <c r="C7" t="s">
        <v>107</v>
      </c>
      <c r="D7" t="s">
        <v>105</v>
      </c>
      <c r="E7" t="s">
        <v>104</v>
      </c>
      <c r="F7" t="s">
        <v>108</v>
      </c>
      <c r="G7" t="s">
        <v>123</v>
      </c>
    </row>
    <row r="8" spans="1:7" x14ac:dyDescent="0.25">
      <c r="A8" s="33" t="s">
        <v>115</v>
      </c>
      <c r="B8" s="34"/>
      <c r="C8" s="34"/>
      <c r="D8" s="34">
        <v>1</v>
      </c>
      <c r="E8" s="34"/>
      <c r="F8" s="34"/>
      <c r="G8" s="34">
        <v>1</v>
      </c>
    </row>
    <row r="9" spans="1:7" x14ac:dyDescent="0.25">
      <c r="A9" s="33" t="s">
        <v>116</v>
      </c>
      <c r="B9" s="34"/>
      <c r="C9" s="34">
        <v>1</v>
      </c>
      <c r="D9" s="34"/>
      <c r="E9" s="34"/>
      <c r="F9" s="34"/>
      <c r="G9" s="34">
        <v>1</v>
      </c>
    </row>
    <row r="10" spans="1:7" x14ac:dyDescent="0.25">
      <c r="A10" s="33" t="s">
        <v>118</v>
      </c>
      <c r="B10" s="34"/>
      <c r="C10" s="34"/>
      <c r="D10" s="34"/>
      <c r="E10" s="34"/>
      <c r="F10" s="34">
        <v>1</v>
      </c>
      <c r="G10" s="34">
        <v>1</v>
      </c>
    </row>
    <row r="11" spans="1:7" x14ac:dyDescent="0.25">
      <c r="A11" s="33" t="s">
        <v>119</v>
      </c>
      <c r="B11" s="34"/>
      <c r="C11" s="34"/>
      <c r="D11" s="34"/>
      <c r="E11" s="34">
        <v>1</v>
      </c>
      <c r="F11" s="34"/>
      <c r="G11" s="34">
        <v>1</v>
      </c>
    </row>
    <row r="12" spans="1:7" x14ac:dyDescent="0.25">
      <c r="A12" s="33" t="s">
        <v>120</v>
      </c>
      <c r="B12" s="34">
        <v>1</v>
      </c>
      <c r="C12" s="34"/>
      <c r="D12" s="34"/>
      <c r="E12" s="34"/>
      <c r="F12" s="34"/>
      <c r="G12" s="34">
        <v>1</v>
      </c>
    </row>
    <row r="13" spans="1:7" x14ac:dyDescent="0.25">
      <c r="A13" s="33" t="s">
        <v>123</v>
      </c>
      <c r="B13" s="34">
        <v>1</v>
      </c>
      <c r="C13" s="34">
        <v>1</v>
      </c>
      <c r="D13" s="34">
        <v>1</v>
      </c>
      <c r="E13" s="34">
        <v>1</v>
      </c>
      <c r="F13" s="34">
        <v>1</v>
      </c>
      <c r="G13" s="34">
        <v>5</v>
      </c>
    </row>
  </sheetData>
  <mergeCells count="1">
    <mergeCell ref="A1:F1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13EE79-EA19-4976-BCE2-B3E011A868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</vt:i4>
      </vt:variant>
    </vt:vector>
  </HeadingPairs>
  <TitlesOfParts>
    <vt:vector size="8" baseType="lpstr">
      <vt:lpstr>configuration</vt:lpstr>
      <vt:lpstr>Clients</vt:lpstr>
      <vt:lpstr>Orders</vt:lpstr>
      <vt:lpstr>OrdersStatistics</vt:lpstr>
      <vt:lpstr>OrderBasketItems-ToDo</vt:lpstr>
      <vt:lpstr>QualityCheck-Items NOK</vt:lpstr>
      <vt:lpstr>Delivery-ToDo</vt:lpstr>
      <vt:lpstr>color_code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Traut</dc:creator>
  <cp:lastModifiedBy>Andreas Traut</cp:lastModifiedBy>
  <dcterms:created xsi:type="dcterms:W3CDTF">2015-06-05T18:19:34Z</dcterms:created>
  <dcterms:modified xsi:type="dcterms:W3CDTF">2021-03-09T10:43:43Z</dcterms:modified>
</cp:coreProperties>
</file>